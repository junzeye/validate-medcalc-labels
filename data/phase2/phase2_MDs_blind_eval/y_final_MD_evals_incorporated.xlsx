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unzeye/Desktop/validate-medcalc-labels/data/phase2/phase2_MDs_blind_eval/"/>
    </mc:Choice>
  </mc:AlternateContent>
  <xr:revisionPtr revIDLastSave="0" documentId="13_ncr:1_{F34537D3-3EED-EC4C-A9DA-99F18B7B7787}" xr6:coauthVersionLast="47" xr6:coauthVersionMax="47" xr10:uidLastSave="{00000000-0000-0000-0000-000000000000}"/>
  <bookViews>
    <workbookView xWindow="0" yWindow="700" windowWidth="24000" windowHeight="15940" xr2:uid="{00000000-000D-0000-FFFF-FFFF00000000}"/>
  </bookViews>
  <sheets>
    <sheet name="887_final_labels" sheetId="1" r:id="rId1"/>
  </sheets>
  <definedNames>
    <definedName name="_xlnm._FilterDatabase" localSheetId="0" hidden="1">'887_final_labels'!$A$1:$W$2000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8" i="1" l="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<sst xmlns="http://schemas.openxmlformats.org/spreadsheetml/2006/main" count="2856" uniqueCount="1000">
  <si>
    <t>uid</t>
  </si>
  <si>
    <t>Calculator Name</t>
  </si>
  <si>
    <t>Question</t>
  </si>
  <si>
    <t>Patient Note</t>
  </si>
  <si>
    <t>y_new</t>
  </si>
  <si>
    <t>y_final</t>
  </si>
  <si>
    <t>y* (Physician label)</t>
  </si>
  <si>
    <t>Physician Note (Optional)</t>
  </si>
  <si>
    <t>y_final = y_new?</t>
  </si>
  <si>
    <t>Creatinine Clearance (Cockcroft-Gault Equation)</t>
  </si>
  <si>
    <t>What is the patient's Creatinine Clearance using the Cockroft-Gault Equation in terms of mL/min? You should use the patient's adjusted body weight in kg instead of the patient's actual body weight if the patient is overweight or obese based on their BMI. If the patient's BMI's normal, set their adjusted body weight to the minimum of the ideal body and actual weight. If the patient is underweight, please set their adjusted body weight to their actual body weight.</t>
  </si>
  <si>
    <t>An 87-year-old man was admitted to our hospital for anorexia for several days, high-grade fever from the previous day, and liver dysfunction. Of note, he had a history of hypertension, diabetes mellitus (DM), and angina. Physical examination findings included: clear consciousness; height, 163 cm; weight, 48 kg; blood pressure, 66/40 mmHg; heart rate, 75/min; respiratory rate, 22/min; oxygen saturation of peripheral artery, 96%; and body temperature, 38.1 °C. He had no surface lymphadenopathy. Laboratory findings included: white blood cell (WBC) count, 4.2 × 109/L; hemoglobin, 9.6 g/dL; platelet count, 106 × 109/L; lactate dehydrogenase (LDH), 1662 IU/L; aspartate aminotransferase (AST), 6562 IU/L; alanine aminotransferase (ALT), 1407 IU/L; alkaline phosphatase (ALP), 509 IU/L; γ-glutamyl transpeptidase (γ-GTP), 130 IU/L; total bilirubin, 2.7 mg/dL; prothrombin time (PT), 20.3 s; international normalized ratio (INR), 1.73; blood urea nitrogen (BUN), 34.4 mg/dL; and creatinine, 1.4 mg/dL. Serologic tests were all negative for hepatitis A, B, C, and E. Computed tomography (CT) performed at admission revealed no distinct nodules or masses in the liver, but mild splenomegaly, multiple hypodense splenic lesions, and para-aortic lymph node swelling (Fig. a–c). Antibiotics were administered intravenously for suspected acute cholangitis and sepsis, but the fever persisted. Abdominal ultrasonography (US) and magnetic resonance imaging (MRI) performed 2 days later newly depicted gallbladder wall thickening and ascites (Figs. , ). On the same night, the patient presented with grade II hepatic encephalopathy, with blood tests showing a decrease in platelet count and worsening liver function suggestive of “acute type” ALF with hepatic coma and disseminated intravascular coagulation (DIC). While consideration was being given to treating acute liver failure, the patient suddenly developed ventricular fibrillation and died despite immediate resuscitation measures on day 3 of hospitalization.
Given the rapid clinical course, an autopsy was performed in this patient with suspected ALF likely due to drug-induced liver injury, autoimmune hepatitis, hepatitis of indeterminate etiology, circulatory disturbance, metabolic disease, or malignant cells including malignant lymphoma. This led to the patient being diagnosed with malignant, diffuse large B-cell lymphoma, characterized by multiple lymph-node, as well as multi-organ (i.e., spleen, liver, lung, and prostate) involvement: (1) general swelling of lymph nodes in the para-abdominal aorta (Fig. a), peripancreatic, peribronchial, pulmonary hilar, subclavicular regions, as well as in the pelvis, especially around the iliac arteries, measuring up to 60 mm in diameter; (2) presence of multiple whitish splenic nodules (Fig. b) with the entire spleen shown to be microscopically infiltrated by tumor cells (Fig. a); (3) irregular geographical morphology of the liver (Fig. c) with the lymphoma cells mainly infiltrating the portal areas (Fig. b); (4) involvement of the right lobe of the lung; (5) involvement of both lobes of the prostate consequent to outer connective tissue involvement (Fig. c). Microscopically, the tumor cells in the lymph nodes were shown to have medium-sized irregular nuclei and small nucleoli with a high nuclear cytoplasmic ratio, thus showing diffuse proliferation characterized by the presence of large numbers of small T-cells (Fig. ). Immunohistochemistry revealed the tumor cells to be positive for CD20 (Fig. a), CD79a (Fig. b), bcl-2 (Fig. c), and MUM1 (Fig. d), but negative for CD3 (Fig. e), CD10, bcl-6, and cyclin D1, with a Ki-67 labeling index (Ki-67 LI) of 16% (Fig. f). The causes of death were thus determined as (1) DIC and (2) ALF associated with diffuse large B-cell lymphoma.</t>
  </si>
  <si>
    <t>An 83-year-old man with a past medical history of two myocardial infarctions, chronic obstructive pulmonary disease, and hyperlipidemia presented to the emergency room shortly before midnight with sharp chest pain, nausea, and dyspnea. The patient states he has had chest discomfort and food intolerance for the past week, but that his symptoms were far worse tonight. He notes no inciting event, recent trauma, or aggravating factors. On exam he appears uncomfortable, anxious, and is in a semi-tripod position. Vitals are pertinent for a heart rate of 144, systolic blood pressure in the 180 s, and oxygen saturation of 89% on 1L O2 via nasal cannula. Of note, the patient weighed 67.2 kg, and was 173 cm tall. Chart review showed that he had lost approximately 4 kg (last recorded weight in chart was 71.2 kg), since his last medical visit.
Primary survey was overall unremarkable. Airway was secure, patient’s breathing improved with 3 L oxygen, breath sounds were present and equal bilaterally, vascular access was obtained, and GCS was 15. Intravenous pain medication was given which improved the patient’s blood pressure to systolic 140 s. Given this patient’s overall clinical picture, the most pressing disease processes included myocardial infarction (given history of coronary artery disease and prior infarcts), aortic dissection (given symptoms, hypertension, and medical history), pneumothorax, pulmonary embolism (the previous two diagnoses given his chest pain and decreased O2 even on 1 L of oxygen), and cardiac wall rupture (given multiple prior MIs). Other considerations include congestive heart failure, hypertensive crisis, and an underlying infection.
Labs were drawn to include a CBC, renal panel, cardiac panel, lactate, and a type and cross. EKG was unremarkable. A chest X-ray was obtained which revealed a widened mediastinum (Fig. ).
The patient was stabilized, but the underlying cause of his symptoms had not yet been identified. His widened mediastinum is troubling, and further drives the differential. Aortic (dissection, aneurysm), cardiac (tamponade, wall rupture), and esophageal pathology (rupture versus other masses) now move to the top of the list of diagnoses. Labs continued to be pending. Given his now overall hemodynamically stable status and clinical improvement, the decision was made to obtain a CT chest/abdomen/pelvis which revealed the following (Fig. ).
Along with the CT scan; the initial set of labs resulted and were pertinent for leukocytosis (white blood cell count/WBC) of 19,000/mcL, creatinine of 1.4 mg/dL, lactate of 3.94 mmol/L, and troponin of 0.101 ng/mL. Although no official read of the images were immediately available, a preliminary read by the team was concerning for mega-esophagus versus a strangulated hiatal hernia. Treatment of the pathology to limit the degree of heart strain (increased troponin), ischemia (as evidenced by the WBC and lactate), and possibility for future perforation were now the primary goals. Night Hawk radiology was contacted for an emergent read, who stated that the images were consistent with a severely dilated esophagus. No pulmonary emboli were visualized, and no other acute abnormalities were reported.
The findings, treatment modalities, risks, and benefits were discussed in depth with the patient. Given his dilated esophagus which was severe enough to cause him chest pain, dyspnea, alter his vitals, elevate his WBC, elevate lactate levels, and cause heart strain. Esophagogastroduodenoscopy (EGD) with possible video-assisted thoracoscopic surgery (VATS), possible thoracotomy, possible laparoscopy, and possible laparotomy were recommended to the patient. The goal was for direct visualization of area, decompression, and repair of any defects. The patient was in full agreement with the plan, and was taken to the operating room shortly thereafter. In the mean time, given the location of the pathology and concern for developing septic picture, the patient was started on broad spectrum antibiotics and an antifungal.
On EGD, the patient’s esophageal distention was found to be from a large bezoar which spanned from the broncho-aortic region of the esophagus to his lower esophageal sphincter. The bezoar was a phytobezoar, with evidence of medication and food particles (meat, vegetables) incorporated into it. The esophageal tissue appeared tenuous and appeared to be the cause of the patient’s lab derangements (Fig. ).
The decompression was done carefully and meticulously by fragmenting the bezoar endoscopically using a snare device. About 2 h into the procedure, a repeat set of labs were drawn which showed significant improvement in his labs showing a WBC of now 7600/mcL (from 19,000/mcL), creatinine of 0.9 mg/dL (from 1.4 mg/dL), lactate of 0.86 mmol/L (from 3.94 mmol/L), and a troponin of 0.046 ng/mL (from 0.101 ng/mL). A discussion between the surgical team, anesthesia, and gastroenterology (via telephone) was done in the operating room for planning. Given his hemodynamic stability, improving lab values, and previous CT scan which showed no gross evidence of a leak, the decision was made to end the procedure for further resuscitation with plans to return to the OR for interval endoscopy to re-assess the esophagus. In the meantime, the patient was continued on broad spectrum antibiotics (to include antifungal coverage). He was kept Nil per os (NPO) and was admitted to the intensive care unit.
The patient remained hemodynamically normal and clinically stable throughout the night. The multi-disciplinary team determined the best course of action to be complete bezoar debridement, placement of NG tube, nutrition and medical optimization, workup for possible underlying esophageal pathology (to include completion EGD, manometry, and pH probe), and eventual endoscopic versus surgical management of determined condition. The above was again relayed to the patient and his family who fully supported the plan. The bezoar debridement was completed, and the esophagus was inspected for luminal integrity. An NG tube was able to be carefully placed under direct visualization.
The patient did well and was eventually able to be downgraded to the regular surgical floor. During his stay, a gastrostomy tube was obtained for feeding access and nutritional optimization. He would undergo several follow-up EGDs during his hospitalization to completely clear the bezoar and assess the esophageal lumen (Figs. and ). After discharge, the patient was further worked up and was found to have achalasia and esophagitis. Thorough workup includes a barium swallow study (patient’s barium swallow shown in Fig. ), EGD, manometry, pH study, and a chest CT (for, among other things, surgical planning). He was followed up in the outpatient setting for further management.</t>
  </si>
  <si>
    <t>A 51-year-old woman who presented with diarrhoea containing mucus and blood had initially been diagnosed with acute severe ulcerative pan-colitis and backwash ileitis at the age of 49 years at Peking Union Medical College Hospital (PUMCH) in December 2014. She had poliomyelitis when she was very young, and there was nothing special regarding her family or psychosocial history. Serology was positive for perinuclear antineutrophil cytoplasmic antibody (pANCA) and negative for anti-Saccharomyces cerevisiae antibody (ASCA). Her condition was refractory to steroids and complicated by Cytomegalovirus (CMV) infection. Ultimately, she underwent sub-total colectomy and ileostomy in February 2015. Pathological examination of the resection specimen showed diffuse pan-colitis consistent with UC and no indications of Crohn’s disease (Fig. ). She did well in the following 11 months; prednisone was tapered and stopped within 2 months, and she gained 5 kg of weight after the ileostomy. In January 2016, a scheduled restorative ileal pouch-anal anastomosis (IPAA) with proximal neo-ileostomy was performed.
From one month after the IPAA, her 24-h stool collection slowly increased to 1.5–2 L. Next, she noticed decreased urine output since April. In early May 2016, she presented to our emergency room with repeated unconsciousness over the course of 10 days. Her vital signs were as follows: blood pressure (BP), 74/50 mmHg; heart rate (HR), 90 bpm; additionally, she exhibited a poor nutritional status (160 cm; 39 kg). On physical examination, active bowel sounds were noticed to occur approximately 7–9 times per minute. Her serum creatinine level was 183 μmol/L, indicating acute kidney injury. Treatment with fluid replacement and noradrenaline maintained her BP at 80–90/50–60 mmHg and gradually normalized her creatinine level. However, her 24-h watery stool collection persisted, and she developed fever and vomiting. While many leukocytes were found in stool collected from the diverted ileostomy, repeated stool cultures and tests for Clostridium difficile toxins were negative. Tests for CMV-DNA, CMV-pp65 and EBV-DNA were performed and were all negative. The patient was not on any medications, including NSAIDs, upon verification. Her treatment with steroids was stopped before the end of April 2015. Empirical treatment with antibiotics, including ceftazidime, metronidazole and oral vancomycin, was administered with no response. Due to her reliance on noradrenaline, relative adrenal insufficiency was suspected, and hydrocortisone was initiated at 50 mg q6 h intravenously. Her stool volume decreased to less than 500 ml per day quickly, by which time the treatment with noradrenaline was successfully stopped. The levels of D-lactate, endotoxin and diamine oxidase indicated that the barrier function of the intestine was compromised and that bacterial translocation may have occurred. Oedematous inflamed mucosa with patchy superficial ulcers was observed in the diverted pouch by pouchoscopy. Although an upper endoscopy and an endoscopy through a stoma revealed a normal gross appearance in the stomach, duodenum and pre-stomal ileum (Fig. a, b), the histological examination of tissue biopsies of both the duodenum and pre-stomal ileum revealed enteritis, as indicated by moderate villous atrophy, cryptitis, decreased goblet cells, and severe active inflammation with neutrophil infiltration in the lamina propria, as well as negativity for intraepithelial lymphocytosis (Fig. a-d). From these lines of evidence of histological enteritis presenting in the duodenum, pre-stomal ileum and diverted pouch, we considered pan-enteritis to be present, and we diagnosed the patient with post-colectomy enteritis. The patient was treated with methylprednisolone at 30 mg intravenously once a day with tapering by 5 mg every 7 to 10 days; however, her stool volume from the ileostomy still gradually increased to 3–4 L. After a multidisciplinary team discussion, ileostomy closure was debated as the final rescue treatment and was performed in August 2016. Two months later, her stool volume decreased to less than 1 L per day, and she gained 2.5 kg of weight. Azathioprine at 50 mg/d was prescribed during the tapering of prednisone. Until the last follow-up in March 2018, she performed well, with an increase in body weight to 50 kg, and daily defecation approximately 5–6 times at less than 1 L/day, sometimes with form (Additional file ). Gastroduodenal endoscopy and pouchoscopy were repeated annually and showed normal villi in the descending duodenum and neo-ileum in March 2018 (Fig. c, d). Gradually, the histology changed, showing recovery of the villous atrophy, cryptitis and inflammation in the lamina propria to normal (Fig. e-f).</t>
  </si>
  <si>
    <t>Result was calculated using patient information from May 2016 (weight 39kg, creatinine 183 mmol/L), but the vignette reports that weight and creatinine have improved since then. Updated CrCl cannot be calculated because no creatinine level is given.</t>
  </si>
  <si>
    <t>A 42-year-old woman comes to the physician for a routine health maintenance examination. She has generalized fatigue and has had difficulties doing her household duties for the past 3 months. She has eczema and gastroesophageal reflux disease. She has a history of using intravenous methamphetamine in her youth but has not used illicit drugs in 23 years. Her medications include topical clobetasol and pantoprazole. She is 160 cm (5 ft 3 in) tall and weighs 105 kg (231 lb); BMI is 42 kg/m2. Her temperature is 37°C (98.6°F), pulse is 95/min, and blood pressure is 145/90 mm Hg. The lungs are clear to auscultation. Cardiac examination shows no abnormalities. Pelvic examination shows a normal vagina and cervix. Laboratory studies show:
Hemoglobin 13.1 g/dL
Leukocyte count 7,800/mm3
Platelet count 312,000/mm3
Serum
Na+ 141 mEq/L
K+ 4.6 mEq/L
Cl- 98 mEq/L
Urea nitrogen 12 mg/dL
Fasting glucose 110 mg/dL
Creatinine 0.8 mg/dL
Total cholesterol 269 mg/dL
HDL-cholesterol 55 mg/dL
LDL-cholesterol 160 mg/dL
Triglycerides 320 mg/dL
Urinalysis is within normal limits. An x-ray of the chest shows no abnormalities. She has not lost any weight over the past year despite following supervised weight loss programs, including various diets and exercise regimens.</t>
  </si>
  <si>
    <t>A 45-year-old, 58 kg, 156 cm woman presented with increased and prolonged vaginal bleedings. A physical examination and an ultrasound showed a submucosal leiomyoma of the uterus. There were no other symptoms or pathological findings. Preoperative blood tests, which included electrolytes analyses, a full blood exam, and coagulation parameters, showed no anomalies. Most notably, both creatinine and sodium were within normal levels, i.e. 0.7 mg/dL and 137 mEq/L, respectively. The patient had a history of encephalopathy during childhood of an unknown origin without sequelae, an elective caesarean section (1997) due to leiomyoma, laparoscopic myomectomy and removal of an endometrial cyst of the ovary (1999), and a second caesarean section (2000) due to an uterine instability subsequent to the first caesarean section and myomectomy. The patient had no known allergies. She was taking daily doses of ethinyl estradiol (0.02 mg) and levonorgestrel (0.1 mg) continuously over a period of six months. The patient refused a hysterectomy but an endoscopic removal of the leiomyoma and an endometrial ablation was decided on, subsequent to which the patient gave written informed consent. The patient was administered with 7.5 mg midazolam orally 60 min preoperatively. Subsequent to placing the patient in the lithotomy position, the application of a peripheral venous catheter and the attachment of standard monitoring equipment (electrocardiogram, non-invasive blood pressure cuff and a peripheral capillary oxygen saturation analyzer), anaesthesia was induced intravenously with propofol (2 mg/kg) and sufentanil (0.3 μg/kg).
A laryngeal mask was inserted, and after the correct positioning was verified, the lungs were ventilated with a fraction of inspired oxygen (FiO2) of 0.5 and a minute volume (MV) of 74 mL/min/kg at a ventilation frequency of 10/min in volume controlled mode (IPPV). The positive end-expiratory pressure (PEEP) level was 0 Pa and the peak pressure was 900 Pa. Anaesthesia was maintained with propofol (8 mg/kg/h). After anaesthesiological clearance the endoscopy commenced. Purisole® SM (Fresenius Kabi Inc., Germany) was utilized as the distension medium. This standard hypotonic solution contains 27 g sorbitol and 5.4 g mannitol per liter. A pressure of 16 kPa (120 mmHg) was applied to unfold the uterine cavity. Endometrial ablation and dissection of the submucosal myoma were performed within 70 min by monopolar resection. The duration of the procedure was prolonged due to the reduced visibility caused by excessive bleeding and cervical leakage of distension medium, which impeded proper expansion of the uterine cavity. The ventilation pressure increased slowly and continuously 60 min subsequent to the start of surgery. The compliance of the lungs, as well as the achievable minute volume within the acceptable airway pressure limit of 2 kPa, decreased. It was presumed that the level of anaesthesia was insufficient and was followed by the increased administration of propofol (10 mg/kg/h). The additional inhalation of fenoterol did, however, not improve the situation. As ventilation continued to be difficult, the laryngeal mask was replaced by a 7.0 cm (inside diameter) cuffed tube subsequent to the administration of 100 mg succinylcholine as a muscle relaxant. Approximately 50 mL of a foamy, transparent liquid was aspirated from the trachea. Testing with litmus paper indicated an alkaline pH and, therefore, not the aspiration of gastric content. The amount of the pulmonary oedema increased and, despite high levels of peak airway pressures at this point approximately 3 kPa (= set peak pressure limit), adequate ventilation was not possible. Blood gas and electrolyte analyses indicated acidosis, as well as a severe hyponatremia (pH 7.11; Na 74 mEq/L; partial pressure of CO2 49.9 mmHg; saturation of O2 97 % at FiO2 1.0). Cardiopulmonary changes remained minimal. 40 mg of furosemide and 500 mL of 3 % NaCl solution were immediately administered at an infusion rate of 500 mL/h, with constant monitoring for electrolyte changes. As the patient showed clinical signs of impaired haemostasis, the operation procedure was stopped. The patient was admitted to the intensive care unit with continuous administration of 3 % NaCl at a rate of 50 mL/h and electrolyte control. Plasma sodium levels increased from 74 mEq/L to 103 mEq/L after one hour, and to 130 mEq/L after 7 h (Fig. ). All together 800 mL of 3 % NaCl solution were administered within 7 h totalling at 24 g. Subsequently, sodium replenishment was stopped and the patient was extubated without problems. Immediate neurological assessment revealed no detectable deficits. 20 h after the onset of hyponatremia, the patient’s sodium levels returned to within the normal range. Until then, the cumulative renal excretion was 8.5 L. 9 L of distension medium was used intraoperatively with a calculated uptake of 5 L. The patient was relocated to the gynaecologic ward the following day and was released from the hospital on the third postoperative day without any detectable sequelae.</t>
  </si>
  <si>
    <t>A 41-year-old Japanese man was admitted to our hospital with liver damage, itchy skin, and pyrexia. His medical history was unremarkable, but one year previously his gamma-glutamyl transpeptidase levels had risen to 271 IU/L (normal: &lt; 30 IU/L). Prior to this, the patient had consumed 540 mL of sake three times a week, and he had been reducing the amount of alcohol he consumed for about one year. He did not smoke or take any recreational drugs. He was single, was not homosexual, and he had not had sexual intercourse for over one year.
The patient had undergone treatment of his internal hemorrhoids as an outpatient at a nearby hospital that comprised an aluminum potassium sulfate and tannic acid (ALTA) injection. He developed a fever of 38 °C, dark colored urine, and itchy skin on postoperative day (POD) 1, and he took loxoprofen sodium, as required. He consulted another doctor on POD 7, because the symptoms had not improved, and his blood test results led to a diagnosis of liver dysfunction. His liver dysfunction had not improved by POD 14, and he was admitted to our hospital on POD 15.
The patient was 167 cm tall and weighed 52.5 kg. He presented with a blood pressure of 103/59 mmHg, a heart rate of 82 beats per minute, a temperature of 36.6 °C, and 99% oxygen saturation in room air. No specific physical findings were evident during the clinical examination on the day of hospitalization, but the patient had a rash, edema, hepatosplenomegaly, lymphadenopathy, and jaundice. The subjective symptoms, comprising the fever, dark colored urine, and itchy skin, had disappeared by POD 10.
The laboratory test results showed that the patient’s complete blood count was almost normal with a white blood cell count of 6900 cells/μL, a hemoglobin concentration of 14.7 g/dL, a hematocrit level of 43.1%, and a platelet count of 3.98 × 105 cells/μL, but a higher percentage of eosinophils was present (6.8%) (normal: 1.0%-5.0%), which peaked at 13.9% on POD 20. The patient’s serum liver enzyme and bilirubin levels were elevated at the time of admission. The aspartate aminotransferase (AST) level was 432 IU/L (normal: 10-40 IU/L), the alanine aminotransferase (ALT) level was 911 IU/L (normal: 10-40 IU/L), the alkaline phosphatase (ALP) level was 473 IU/L (normal: 115-359 IU/L), and the total bilirubin level was 1.3 mg/dL (normal: 0.2-1.2 mg/dL). Thus, compared with the ALP level, the AST and ALT levels showed greater magnitudes of elevation. The patient’s other blood test results were within the normal ranges, as follows: serum albumin: 4.0 g/dL (normal: 3.8-5.2 g/dL); serum creatinine: 0.86 mg/dL (normal: 0.65-1.09 mg/dL); C-reactive protein: 0.1 mg/dL (normal: 0-0.3 mg/dL); prothrombin time: 100% (normal: 80%-120 %); thyroid-stimulating hormone: 0.5 μIU/mL (normal: 0.34-4.04 μIU/mL); triiodothyronine: 2.98 pg/dL (normal: 2.36-5.00 pg/dL); and thyroxin: 1.18 ng/dL (normal: 0.88-1.67 ng/dL). The serological tests for autoantibodies generated weakly positive results (1:40) for anti-nuclear antibodies, and negative results for anti-smooth muscle and anti-mitochondrial antibodies. Negative results were obtained from the tests for the hepatitis B virus surface antigen, the hepatitis C virus antibody, rapid plasma reagin, the anti-Epstein-Barr virus immunoglobulin M (IgM) antibody, and the anti-cytomegalovirus IgM antibody, and from the Treponema pallidum hemagglutination test. The IgG level was within the normal range at 1415 mg/dL (normal: 800-1600 mg/dL) and the IgM level was within the normal range at 100 mg/dL (normal: 60-250 mg/dL). The IgE level was elevated at 1333 mg/dL (normal: &lt; 250 mg/dL). Chest radiography did not reveal any abnormalities. No morphological changes were evident following abdominal ultrasonography, magnetic resonance cholangiopancreatography, and abdominal computed tomography (Figure ).
When the patient was hospitalized, we considered viral, alcohol-induced, autoimmune, drug-induced, biliary tract, and thyroid function-based diseases as frequent causes of acute liver dysfunction for the differential diagnosis, and, based on the patient’s medical history, and the serological and imaging results, we considered that alcohol and DILI were highly likely causes of the patient’s acute liver dysfunction. However, the patient had stopped drinking during the past year, so we thought that there was a high likelihood of DILI. Therefore, we began conservative treatment with a small amount of extracellular fluid replacement.
Figure presents the patient’s symptoms, laboratory test results, and treatment over the entire course. The liver transaminase and bilirubin levels decreased rapidly after admission, and the maximum levels were as follows: ALT: 950 IU/L on POD 15; AST: 470 IU/L on POD 17; and total bilirubin: 2.1 mg/dL on POD 17. The ALP and gamma-glutamyl transpeptidase levels showed consistent downward trends from POD 7. The patient's symptoms disappeared on POD 10, and no new symptoms appeared after hospitalization. We performed a liver biopsy on POD 25, and a drug-induced lymphocyte stimulation test (DLST) of the components of the ALTA injection and lidocaine on POD 28. The patient was discharged on POD 29, and he was managed as an outpatient without any prescriptions. At the time of the patient’s first outpatient appointment on POD 35, his liver transaminase and bilirubin levels had declined and were almost within the normal ranges.
Figure presents hematoxylin and eosin (H and E)-stained sections of the liver biopsy performed on POD 25. The H and E staining showed that the basic structure of the liver had been maintained without any hepatocyte dropout or disruption, and that the bile duct had not been disrupted. At a higher magnification, the H and E staining showed that the parenchymal cells were partially dilated and that a mild inflammatory cell infiltration was present in the area of the central vein. Neither eosinophil nor plasma cell infiltrations were detected within the liver tissue. Bile plugs were found at multiple sites within the parenchyma and sinusoids. Masson staining did not show the presence of liver tissue fibrosis.
The lymphocyte proliferation activity levels, which were determined from the DLST performed on POD 28, were 676 counts per minute (cpm) for the control and 871 cpm for the ALTA with lidocaine. The stimulation index, which was calculated as the ALTA with lidocaine cpm divided by the control cpm, was 1.29 (normal in Japanese people: &lt; 1.8).</t>
  </si>
  <si>
    <t>A 68-year-old Indian male patient presented with the complaints of generalized malaise, poor appetite, weight loss, headache and polyuria for last 2 months. He had a chronic ill-looking appearance, a dehydrated tongue and dry skin. Urine output was 5000-5500 mL/day with a history of nocturia and craving for cold fluids. No history of head injury, tubercular meningitis, central nervous system infections or chronic drug intake.
His physical findings on admission were height 156 cm; body weight, 44.5 kg and body mass index, 18.3. Blood pressure was 100/64 mmHg without postural change and pulse rate, 68/min with a regular rhythm. No edema was noted in his legs or feet. He had scant axillary and pubichair. Neurologic examination including visual field was found to be normal.
Laboratory findings were as follows: White blood cell count 6400/mm3 (neutrophils 51%, lymphocyte 42%, monocyte 5%, eosinophils 2%, basophils 0%); hemoglobin, 13.4 g/dL; hematocrit, 35.5%; red blood cell count, 3.4 × 106/mm3; and platelets, 3.3 × 105/mm3 Serum sodium was 137 mmol/L; potassium, 3.9 mmol/L; and chloride, 103 mmol/L. Blood urea nitrogen was 12 mg/dL; serum creatinine, 0.8 mg/dL; and uric acid, 6.1 mg/dL. Fasting plasma glucose was74 mg/dL; hemoglobin A1c, 4.9% and serum calcium of 9.4 mg/dL.
Anterior pituitary function tests revealed panhypopituitarism (serum cortisol 1.8 μg/dL, Adrenocorticotrophic hormone 15.6 pg/mL, total T3 56 ng/mL, total T4 4.2 μg/dL, thyroid stimulating hormone 1.86 mIU/mL, luteinizing hormone 0.8 mIU/mL, follicle stimulating hormone 1.67 mIU/mL, serum testosterone of 122 ng/dL and serum prolactin of 12 ng/mL. Water deprivation test revealed central diabetes insipidus [].
Magnetic resonance imaging (MRI) revealed [Figures and ] a well-defined sellar-suprasellar lesion, which was heterogenous and mildly hyperintense on T1-weighted images and brightly hyperintense on T2-weighted (T2W) images. Internal well-defined hypointense nodule was also seen on T2W images. No obvious post contrast enhancement was seen. Pituitary tissue was compressed and stalk was central. The mass was abutting chiasma, but no obvious mass effect/compression seen. Findings were highly suggestive of RCC.
Transsphenoidal surgery with complete excision of the mass was carried out and histopathological examination revealed cyst wall with columnar lining suggestive of RCC. Patient was started on replacement doses of levothyroxine, hydrocortisone tablets and testosterone injections. His symptoms improved and he was doing well in follow-up. Surprisingly his polyuria improved in postsurgical period without vasopressin replacement.</t>
  </si>
  <si>
    <t>A 71-year-old man, non-smoker (height: 155 cm; weight: 59 kg), was scheduled to receive video-assisted thoracoscopic extended thymectomy with the diagnosis of MG. Two months previously, he developed symptoms of right ptosis and progressive swallowing difficulty. Based on a positive response to edrophonium and increased titers of autoantibodies to acetylcholine receptor (19.3 nmol/L; normal &lt; 0.2 nmol/L), he was diagnosed as having MG with severity belonging to Osserman's classification IIb (ie, generalized moderate weakness and/or bulbar dysfunction). Thoracic computed tomography demonstrated glandular hyperplasia of the thymus (Fig. A). The patient was started on prednisolone 20 mg daily and pyridostigmine 60 mg three times daily. His past history included hypertension without evidence of previous myasthenic crisis or thromboembolic events (eg, history of lower limb swelling). The results of electrocardiography, pulmonary function test [eg, vital capacity: 93%], echocardiography (eg, left ventricular ejection fraction: 85.1%), chest radiography (Fig. B), and laboratory studies (eg, coagulation test) were unremarkable. On the other hand, impaired renal function [i.e., serum creatinine: 1.42 mg/dL; eGFR: 49.1 mL/min/1.73 m2] was observed after admission.
Preoperative physical examination of the patient showed clear consciousness without respiratory distress. Vital signs included a blood pressure of 187/103 mm Hg, heart rate of 82 beats/min, and respiratory rate of 14 breaths/minute. Under real-time neuromuscular monitoring with a train-of-four (TOF) monitor (TOF-watch SX, N.V. Organon, Oss, Netherlands), anesthesia was induced with propofol (130 mg) and rocuronium (0.85 mg/kg). Following successful tracheal intubation with a double-lumen tracheal tube (Broncho-Cath; Mallinckrodt, Athlone, Ireland), general anesthesia was maintained with sevoflurane, rocuronium (total dosage: 40 mg), and a continuous infusion of remifentanil. An 18-gauge peripheral intravenous line and an arterial line were introduced. The surgical time was 4 hours 15 minutes with an estimated blood loss of 100 mL. Upon completion of surgery, sugammadex 4 mg/kg was administered to reverse neuromuscular blockade, with a maximum TOF ratio of 0.93 following reversal. Additionally, intravenous morphine 8 mg was given for postoperative analgesia. After successful extubation in the operating room and resumption of spontaneous breathing, he was transferred to the post-anesthesia care unit (PACU) for further care.
During the immediate postoperative period, the patient was hemodynamically stable without respiratory distress. Because of surgical pain with a numeric rating scale of 5 (scale of 0–10), intravenous morphine was titrated to a total dosage of 7 mg. Forty-five minutes later, respiratory distress with drowsiness was noted. Physical examination found pinpoint pupils with a TOF ratio of 0.9. Blood gas analysis demonstrated severe hypercapnia (arterial carbon dioxide pressure: 117.7 mm Hg) and acidosis (pH: 6.996, lactate levels: 3.3 mmol/L). On suspicion of morphine overdose, intravenous naloxone was administered twice (0.08 mg each time). After 20 minutes, the patient regained consciousness and normal respiratory pattern. Subsequent blood gas analysis demonstrated hyperlactatemia (lactate levels: 6.0 mmol/L) (Fig. ) despite improvement in arterial carbon dioxide pressure and arterial oxygen pressure after naloxone administration. Taking into account the overall clinical improvement, he was transferred to ward with spontaneous breathing and stable hemodynamics after observation for 100 minutes following initial reversal of opioid overdose.
However, one hour after being transferred to ward (ie, three hours after naloxone administration), he was found to exhibit consciousness loss, respiratory distress, and pinpoint pupils. Intravenous naloxone 0.4 mg was given, followed by endotracheal intubation and transfer to the intensive care unit for mechanical ventilatory support. Brain computed tomography showed no intracranial lesion. He regained consciousness two hours after naloxone administration in the intensive care unit without symptoms of opioid withdrawal (eg, pulmonary edema). As weaning from mechanical ventilation was difficult on POD 3, a diagnosis of POMC was made. Steroid therapy (prednisolone 40 mg twice daily) and pyridostigmine (60 mg 3 times a day) was initiated. The patient was extubated smoothly on POD 6 and was discharged from hospital on POD 12. The course of hyperlactatemia was shown in Figure . In addition, his eGFR increased from 49.1 mL/min/1.73 m2 at baseline to 88.9 ml/min/1.73m2 on POD 5. Pathological analysis of the specimen from thymectomy confirmed the diagnosis of type B2 thymoma according to the World Health Organization (WHO) classification.
The patient was readmitted on POD 24 because of left thigh swelling. Ultrasonographic examination showed evidence of DVT involving the left femoral and popliteal veins. Anticoagulant therapy with low-molecular-weight heparin (ie, subcutaneous Clexane 60 mg every 12 hours) was implemented immediately after hospitalization, and he was discharged without sequelae on POD 31. During hospitalization, his eGFR was 86.5 mL/min/1.73m2. There was no recurrence of myasthenic crisis or DVT up to 3 months of follow-ups.</t>
  </si>
  <si>
    <t>The patient was an 82-year-old woman who had a 3-year history of leg cramps and first had chest tightness for two years. She had been treated for ischemic cardiomyopathy with triple vessel disease at another hospital, but had been hospitalized for heart failure 12 times in the last two years. Echocardiography that was performed in the hospital reportedly revealed a left ventricular ejection fraction (LVEF) of 30%. The patient had a history of left thyroidectomy for thyroid cancer at the age of 67 years with no subsequent recurrence. Comorbidities included angina pectoris, chronic heart failure, hypertension, type 2 diabetes mellitus, chronic renal failure, and gastric ulcer (gastrointestinal bleeding with antithrombotic drugs). Her usual medications were tolvaptan 7.5 mg, azosemide 60 mg, furosemide 60 mg, rabeprazole 10 mg, amlodipine 5 mg, bisoprolol 0.625 mg, amiodarone 50 mg, levothyroxine sodium 50 μg, cremedin 6 g, and sodium ferrous citrate 100 mg. Her ability to perform activities of daily living was good, and there was no history of alcohol drinking, smoking, or allergy. She noticed shortness of breath and chest discomfort when she was about to go to the restroom in the morning, and was transported by ambulance to the emergency department of our hospital.
Physical findings on admission were: height, 153 cm; weight, 53 kg; body mass index, 22.6 kg/m2; body temperature, 36.9℃; blood pressure, 155/94 mmHg; heart rate, 83/min and regular; respiratory rate, 22/min; and SpO2, 98% (O2, 6 L). The palpebral conjunctiva was not pale, and jugular venous distention was observed. There were coarse crackles in both lung fields and no murmurs. There was no peripheral coldness in the limbs and lower leg edema was observed. A 12-lead electrocardiography (ECG) showed sinus rhythm at 71 beats/min, no ST elevation, and a negative T wave in leads V3-6 (Figure ). The corrected QT interval (QTc) was prolonged by 556 ms.
Chest radiography showed a cardiothoracic ratio of 70%, indicating cardiomegaly, pulmonary congestion, and bilateral pleural effusion (Figure ).
Echocardiography showed akinesis mainly at the apex and diffuse hypokinesis at the base, showing systolic dysfunction with LVEF of 15%. The blood tests revealed decreased renal function with a blood urea nitrogen (BUN) level of 88 mg/dL, creatinine level of 3.26 mg/dL, and estimated glomerular filtration rate (eGFR) of 11.1 mL/min/BSA.The serum albumin level was 3.3 g/dL and serum potassium level was 4.5 mmol/L. Creatine kinase (CK) was slightly elevated at 191 U/L, but the creatine kinase-myocardial band (2.8 ng/mL) and troponin I (0.02 ng/mL) levels were not elevated. The level of brain natriuretic peptide (BNP) was 802.7 pg/mL. A diagnosis of acute exacerbation of chronic heart failure was made, and treatment with oxygen and diuretics (furosemide 20mg) was started. The patient responded well and urine volumes in the initial three hours were 400 mL; however, 12 hours after admission, she experienced sudden onset chest pain and pain radiating to the neck. Consciousness at the time of the attack was clear, systolic blood pressure was 120 mmHg, heart rate was 80/min with sinus rhythm, and SpO2 was 89% (O2 10 L). The pain extended to the extremities. The 12-lead ECG at the time of the attack was not significantly different from that at the time of admission (Figure ). Chest radiography showed worsening pulmonary congestion (Figure ). Echocardiography and blood sampling showed no marked change from that on admission, no increase in cardiac enzymes, and no findings strongly suggestive of acute coronary syndrome. When respiratory management by noninvasive positive pressure ventilation was continued, symptoms improved after approximately one hour. Although serum calcium and magnesium levels were not measured at the time of admission, additional examinations revealed hypocalcemia with a calcium level of 4.9 mg/dL and hypomagnesemia with a magnesium level of 1.7 mg/dL. The phosphorus level was 6.3 mg/dL. It was considered that the symptoms were due to a tetanic seizure. The cause of hypocalcemia was thought to be chronic kidney disease (CKD) because parathyroid function, as reflected by intact parathyroid hormone (PTH), was preserved (122.7 pg/mL) despite prior operation on the thyroid gland. Since the level of consciousness and symptoms did not deteriorate, calcium correction was started by oral administration while magnesium was corrected by drip infusion. The patient rapidly responded to intravenous infusion of magnesium and oral administration of calcium and vitamin D preparations. Serum calcium normalized on day 6 of hospitalization and the corrected calcium level was 9.1 mg/dL at the time of discharge. The QTc on ECG decreased from 556 to 491 ms (Figure ). The electrolyte abnormality improved without subsequent recurrence of tetany. The LVEF by echocardiography improved from 15% to 27% at the time of discharge. Although coronary angiography was not performed because of renal dysfunction, the LV contraction failure may have been affected by hypocalcemia. Her heart failure was well controlled with tolvaptan 15 mg, azosemide 90 mg, furosemide 20 mg and and bisoprolol 0.625 mg (Figure ), and she left hospital on the 13th day of hospitalization.</t>
  </si>
  <si>
    <t>A 47-year-old female (height, 160 cm; weight, 60 kg) with a giant liver due to polycystic liver disease (PLD) was scheduled to undergo ABO-incompatible living donor liver transplantation because of worsening malnutrition, disability in activities of daily living, and abdominal distention, which were converted to 16 points by the model for end-stage liver disease score. In the past 3 years, coil embolization of the hepatic artery and percutaneous drainage of liver cysts had been performed. After the liver cyst drainage, biliary peritonitis occurred and she was treated with antibiotics.
Preoperative computed tomography revealed remarkable abdominal distension caused by an enlarged polycystic liver (). Results of laboratory tests were as follows: hemoglobin (Hb), 10.1 g/dL; platelet (Plt) count, 27.4 × 104/μL; albumin, 2.2 g/dL; blood urea nitrogen, 31.3 mg/dL; creatinine, 0.90 mg/dL; total bilirubin, 0.31 mg/dL; alanine transaminase, 13 U/L; aspartate transaminase, 15 U/L; prothrombin time-international normalized ratio (PT-INR), 1.18; activated partial thromboplastin time (APTT), 30.0 sec; fibrinogen, 573 mg/dL. An electrocardiogram (ECG) showed normal sinus rhythm, and transthoracic echocardiography showed normal cardiac function. Portal hypertension was not predicted. The surgeons pointed out a risk of bleeding because of surgical difficulties due to PLD and strong adhesion induced by peritonitis. Blood loss anticipated by the surgeon was 15000 ml. The transfusion unit was preoperatively informed about the possibility of massive transfusion. We ordered 5,600 mL of O type red blood cells (RBC), 4,800 mL of AB type fresh frozen plasma (FFP), and 800 mL of AB type platelet concentrate (PC).
After induction of general anesthesia, three 18-gauge peripheral catheters, a 12-gauge triple-lumen central venous catheter, and a pulmonary arterial catheter were placed. Since total clamping of the inferior vena cava requiring veno-veno bypass might be necessary, two 4-Fr introducer sheaths were placed at the femoral vein and the intrajugular vein. Soon after the start of surgery, massive bleeding of more than 4,000 mL/hr occurred (). We started massive transfusion of FFP at a ratio of about 1 : 1 with RBC. We also transfused 5% albumin and restricted the crystalloid solution. Reinfusion of salvaged blood and use of veno-veno bypass with retrieved blood from the operative field were avoided because many cysts of the PLD ruptured during surgery and the blood in the operative field was contaminated by the cystic content. We constantly ordered blood products and communicated with the transfusion unit.
The bleeding rate increased as the surgery progressed because bleeding occurred from the area where the tissue was detached from adhesion. Body temperature rapidly decreased despite the use of a rapid infusion and fluid warming system (Level 1 Fast Flow Fluid Warmer, Smiths Medical ASD Inc., Rockland, MA, USA) through 4-Fr introducer sheaths. Although catecholamine administration and massive transfusion from 5 venous lines including the introducer sheath were performed by many anesthesiologists, it was extremely difficult to maintain blood pressure and a critical situation with a risk of cardiac arrest continued due to hypotension. In addition, even though administration of insulin and calcium was performed, electrolyte disturbances of K+ of 6.3 mEq/L and Ca2+ of 2.1 mg/dL (normal range: 4.6–5.3 mg/dL) with peaked T wave and prolongation of QTc interval (557 msec) occurred (Figures and ). At that time, we visually noticed that the QT interval was shortened in response to bolus calcium administration, and we therefore displayed the QTc interval on a bedside monitor (CSM-1000 series Life Scope G, Nihon Kohden, Tokyo, Japan) and used the change of real-time QTc interval as a supportive indicator for calcium correction (maximum rate: 120 mEq/hr) combined with blood gas analysis. The hepatectomy was performed without veno-veno bypass 4.5 hours after the start of surgery and the bleeding rate at that time was 15,000 mL/hr (). The excised polycystic liver weighed 10.0 kg.
Until portal reperfusion, we continued massive transfusion (approximately 12,000 mL/hr) including 300 mL of PC and sodium bicarbonate with additional fluid warming systems. After portal reperfusion, the bleeding rate gradually decreased and the hemodynamic variables and electrolyte disturbance improved (Figures and ; ). After anastomosis of the hepatic artery, 1 g of tranexamic acid was administered. Except for PC, which was transported from transfusion centers in our region and/or neighboring regions, the supply of blood products was not interrupted and coagulation factors were maintained throughout the surgery by administration of FFP and 3 g of fibrinogen with at least 1.26 of PT-INR, 43.6 sec of APTT, and 116 mg/dL of fibrinogen (). The abdomen was packed with gauzes and closed because complete hemostasis was difficult. The patient was transferred to the intensive care unit (ICU). Soon after arrival at the ICU, she responded to command. On postoperative day (POD) 2, second-look surgery was performed for removal of packed gauzes. She was extubated on POD 3 without pulmonary edema or cardiac overload.
The duration of surgery was 16 hours and 53 minutes and the duration of general anesthesia was 22 hours and 27 minutes. Throughout the surgery, anesthesia was maintained with 1.5% sevoflurane, 0.16–0.33 μg−1 ・kg−1 ・min−1 of remifentanil, and intermittent fentanyl administration (total of 1.5 mg). Bispectral IndexTM (Aspect Medical Systems, Norwood, MA, USA) values were between 30 and 60. Cardiac index was between 1.2 and 2.8 L−1 ・min−1 ・m−2. A total of 742 mEq of calcium ion, 750 mL of 7% sodium bicarbonate, and 18 units of insulin were administered. Postoperative analysis of the relationship between QTc interval and Ca2+ during surgery showed a strong negative correlation (). Representative laboratory data are shown in . Total infusion volume was 88,560 mL (crystalloid solution: 3,450 mL; 6% hydroxyethyl starch: 3,500 mL; 5% albumin: 10,490 mL; RBC: 34,160 mL; FFP: 34,600 mL; PC: 2,400 mL), and total output volume was 86,350 mL (estimated volume of blood loss including ascites and cystic fluid: 81,600 mL; urine output: 4,750 mL); therefore, intraoperative fluid balance was +2,210 mL. Although she suffered from acute rejection and sepsis, she finally regained independent living by rehabilitation and was discharged on POD 156.</t>
  </si>
  <si>
    <t>A 66-year-old Japanese male was admitted to the authors’ hospital for fever and abdominal pain. He had a past history of multiple renal cysts, chronic renal failure on chronic hemodialysis for 2 years, and multiple liver cysts due to autosomal dominant polycystic kidney disease (ADPKD). He showed the relapse of infection of liver cysts and received longtime antibiotics therapies.
On admission, his vital signs were as follows: body temperature, 39.4 °C; heart rate, 101 beats per minutes (bpm); and respiratory rate, 20 bpm. Laboratory examination revealed a white blood cell (WBC) count of 7480 cells/mm3 with a high neutrophil count of 90.7%, and a C reactive protein of 18.08 mg/dl. He was diagnosed as systemic inflammatory response syndrome (SIRS). Diffusion-weighted magnetic resonance imaging (DW-MRI) showed an abnormal high intensity at the multiple liver cysts, indicating that polycystic infection was strongly suspected. Although antibiotic therapy with intravenous meropenem at a dose of 0.5 g/day was started, fever and inflammatory reactions were unable to improve. Therefore, percutaneous echo-guided drainage was introduced for the most accumulated liver cyst. Because of the improvements of clinical symptoms and laboratory findings, the drainage tube was removed at 19 days after drainage. However, the low-grade fever and inflammatory reactions recurred, and the discontinuation of antibiotic therapy was difficult. Because the most of the liver showed multilocular cystic changes, the control of infection was considered to be difficult by conservative treatments such as a local drainage or a partial liver resection, and the severe infection was expected to be repeated in the future.
As a fundamental treatment, a surgical approach was considered to be necessary, and a liver transplantation surgery was considered to be an indication for the disease. Therefore, he was planned to undergo living-donor liver transplantation with a right lobe graft from his wife. The graft was selected with considering a graft-to-recipient weight ratio of 0.88%, which is larger than the minimal recommended ratio of 0.8%.
Before the liver transplantation, he was 168.0 cm tall and weighed 68 kg. Physical examination revealed hepatomegaly extending below the level of the umbilicus. Laboratory data showed anemia (Hb 10.4 g/dL), and the elevation of C-reactive protein (2.61 mg/dL). Liver and renal profiles were as follows: total bilirubin, 0.8 mg/dL; albumin, 3.3 g/dL; aspartate aminotransferase (AST), 17 U/L; alanine aminotransferase (ALT), 10 U/L; international normalized ratio (INR), 1.3; creatinine, 5.09 mg/dL. His Child-Pugh score was 7 (grade B), and Model for End-Stage Liver Disease (MELD) score was 22. Arterial blood gas analysis showed that blood pH was 7.44, PaCO2 32.9 mmHg, PaO2, 82.1 mmHg in room air, and alveolar-arterial oxygen tension gradient (A-aDO2) was increased to 26.8 mmHg. Chest X-ray revealed an elevation of right diaphragm. Computed tomography (CT) showed hepatomegaly with multiple liver cysts, multiple renal cysts, mild ascites, and no abnormal findings in the lung (Fig. ). Respiratory function test showed the forced vital capacity (FVC) was mildly reduced down to 72% of predicted value, and the adjusted diffusing capacity of the lungs for carbon monoxide (DLco) by Cotes’ method was moderately reduced down to 57.8% of predicted value. Venous ultrasonography revealed lower extremity venous thrombosis, and the day before the operation, an inferior vena cava filter was inserted by a right internal-jugular-vein approach without any complications. At 114 days after admission, a living related liver transplantation was performed. After endotracheal intubation, two central venous catheters were inserted from left and right internal jugular veins before surgery without any complications.
General anesthesia was induced with propofol and remifentanil, and maintained with sevoflurane and remifentanil. The artificial ventilation was uneventful, and the airway pressure was kept below 30 cmH2O during the intraoperative period.
The abdominal cavity was reached through the upper abdominal reverse-T incision. The liver was found to swell markedly and to push the right diaphragm upward. Although the liver was firmly adhered to the right diaphragm, the adhesion was sharply dissected by electrocautery under appropriate traction. After the extraction of the liver, the right diaphragm was found to swell markedly and occupy the abdominal cavity. Although there was no significant change in the vital signs, the right pneumothorax was suspected, a thoracic drain was immediately inserted through the right tenth intercostal space, and continuous drainage was initiated. However, the right diaphragm distended by a massive air leak and prevented the operators from anastomosing the liver vessels and the bile duct. Therefore, a small relaxing incision was made in the right diaphragm for depressurizing the right thoracic cavity and making an adequate operative field to anastomose. Thoracoscopic observation was performed through the diaphragm incision. There was no adhesion in the right thoracic cavity, and the visceral pleura of the bottom of the right lung was widely expanded like a giant cyst due to dissection from the lung parenchyma, and a marked air leak was recognized from a pin hole in the dissected pleura. Since controlling the air leakage in the patient was considered difficult only by drainage, a leakage closure operation was decided to be performed after the completion of the liver transplantation. Following the transplantation procedure, the thoracoscopic leakage closure operation was performed for the patient in the supine position.
During operation, a thoracoscope was inserted through the right tenth intercostal space, and endoscopic surgical instruments were inserted through the small diaphragm incision (Fig. ). The expanded visceral pleura was incised by electrocautery to drain air and pooled blood in the cyst, and bleeding sites in the lung parenchyma were identified and controlled by electric coagulation. Because the lung parenchyma and the visceral pleura of the bottom of the lung was widely dissected and the base of the cyst was large, cystectomy was found to be difficult to be performed by a stapler or sutures. For controlling the air leakage, absorbable fibrin sealant patches (TachoSil®, Baxtor Healthcare, Deerfield, Illinois, USA) were patched on the lung parenchyma under dissected visceral pleura, and fibrin glue (Beriplast P®, CSL Behring, Tokyo, Japan) was injected into the dissected space. After no air pooling was confirmed under the visceral pleura with positive pressure ventilation, polyglycolic acid (PGA) sheets (Neoveil®, Gunze, Kyoto) were applied, and fibrin glue was sprayed on the visceral pleura surface (Fig. ). Finally, a 21Fr silicone thoracic tube was inserted through the right 10th intercostal space and placed on the apex of right thoracic cavity, and the diaphragm and abdominal incision was closed. Although a postoperative minor air leakage was observed, chest X-ray showed the complete expansion of the right lung. The patient was treated with water seal drainage. After the air leakage disappeared, the drainage tube was removed at 27 days after surgery. The course after liver transplantation was also smooth, and he was discharged at 67 days after surgery. The cyst on the bottom of the right lung was confirmed to disappear on chest CT after discharge (Fig. ).</t>
  </si>
  <si>
    <t>A 53-year-old man was referred to our hospital for evaluation and management of hypertension and hypokalemia. He was diagnosed with hypertension at the age of 40 years, and his blood pressure was poorly controlled with a calcium channel blocker (nifedipine at 40 mg/d). He also had a past medical history of vasospastic angina and was a nonsmoker and social drinker. In addition, he had no family history of cardiovascular diseases. On admission, the patient was 168 cm tall and weighed 59 kg. He was afebrile, with a blood pressure of 161/96 mm Hg and a regular pulse of 61 beats per minute. There was no evidence of lung rales, cardiac murmurs, or an abdominal bruit. His neurological examination was unremarkable. Laboratory tests revealed that his serum creatinine level was 1.1 mg/dL, urea nitrogen level was 19 mg/dL, and serum sodium level was 140 mEq/L. He also exhibited hypokalemia with a serum potassium concentration of 2.9 mEq/L; however, he had no subjective symptoms, including muscle weakness. Plasma renin activity (PRA), plasma aldosterone concentration (PAC), and aldosterone-to-renin ratio (ARR) were &lt;0.1 ng/mL/h, 292 pg/mL, and &gt;2920, respectively. Other adrenal hormone levels were within normal limits. A chest radiograph and transthoracic echocardiogram showed no significant findings. An electrocardiogram suggested nonspecific ST-T wave changes with premature atrial contractions.
Primary hyperaldosteronism was suspected, and therefore, a captopril challenge test and a saline infusion test were performed. All these investigations revealed positive test results (Table ), which confirmed a diagnosis of PA. A low-dose dexamethasone suppression test to exclude the diagnosis of subclinical Cushing's syndrome was negative. An abdominal computed tomography (CT) scan was performed, which showed a left adrenal mass (13 mm) (Figure ). In adrenocorticotropic hormone (ACTH)-stimulated AVS, although aldosterone hypersecretion was observed in the left adrenal gland, the lateralization of the disease was not determined due to incomplete cannulation of the right adrenal vein (Table ). The criteria of successful cannulation were based on the current Expert Consensus Statement.
131I-adosterol scintigraphy under dexamethasone suppression showed an equivalently increased uptake in both adrenal glands (Figure ). Because we could not exclude the bilateral PA, including aldosterone-producing adenoma (APA) with microadenoma in the right adrenal gland, we performed the medical therapy with mineralocorticoid receptor antagonists (MRA). Although we administrated multiple antihypertensive agents including an MRA (eplerenone at 100 mg/d), an angiotensin II receptor blocker (azilsartan at 40 mg/d), a dual action beta blocker/alpha-1 blocker (carvedilol at 20 mg/d), a calcium channel blocker with an increased dose (nifedipine at 80 mg/d), an alpha-1 blocker (doxazosin at 2 mg/d), and an alpha-2 agonist (guanabenz at 4 mg/d), a home reading of the patient's blood pressure was above 140/90 mm Hg. Moreover, he needed a large quantity of potassium chloride to compensate for his hypokalemia.
Despite intensive medical therapy, he underwent percutaneous coronary intervention due to stable angina. Following this, we performed AVS again, but the right adrenal vein was not successfully cannulated (Table ). We discussed further the indication for surgery and decided to remove the left adrenal gland. After laparoscopic left adrenalectomy, his blood pressure and serum potassium remained normal after the withdrawal of eplerenone, doxazosin, guanabenz, and potassium chloride and a dose reduction of azilsartan (at 20 mg/d), carvedilol (at 10 mg/d), and nifedipine (at 10 mg/d). The PRA and PAC were 0.8 ng/mL/h and 57.1 pg/mL, 3 months after the adrenalectomy, respectively. Macroscopic findings of the resected specimen showed a yellowish colored nodule (13 mm in diameter) in the adrenal gland. We confirmed a diagnosis of an adrenocortical adenoma based on a histopathologic examination (Figure ); we also confirmed that the tumor cells were rich in the cytoplasm and were eosinophilic without malignant cells.</t>
  </si>
  <si>
    <t>JP is currently a 58 year old man with multifocal urothelial tumors of the urinary bladder despite two courses of intravesical mitomycin C and one six week course of BCG.
The patient appears well but has a significant past medical history consisting of diabetes mellitus, coronary artery disease, mild congestive heart failure, chronic renal disease, and peripheral neuropathy. He stopped cigarette smoking at age 35 after 15 years of smoking 1.5 packs/day. He has had a coronary artery stent placed.
The patient has a BMI of 38 kg/m2. He weighs 106 kg and is 168 cm in height. He is thus markedly overweight with a large abdominal girth. His recent creatinine is 2.13, BUN 38. This has been stable for 3 years.
He presented with gross hematuria in 8/15. Imaging disclosed left hydronephrosis with a filling defect in the left renal pelvis. Ureteroscopy and biopsy revealed a low grade urothelial tumor in the renal pelvis. In April 2016 he underwent a robotic assisted left nephroureterectomy. The pathology indicated high grade pT3 urothelial cancer in the renal pelvis with small HG Ta and CIS in the ureter. There was Ta tumor at the distal margin. Adjuvant chemotherapy was discussed but was not given because of his renal failure. Subsequent serial imaging has been negative for any metastasis.
Beginning in July 2016 he has developed multifocal low or high grade Ta urothelial cancer of the bladder. After the resection of over 10 HG Ta tumors in 7/16 he received intravesical mitomycin for six weeks. In 11/16 he had a TUR BT of multiple tumors from one to 5 cm, LG Ta. Although BCG is not likely to be effective for LG Ta he was given intravesical BCG for six weeks. The next TUR BT was 3/17 and once again there was mutifocal HG Ta tumors. This was followed with weekly mitomycin again.
The most recent TUR BT was in 7/17 and the pathology was LG Ta. The largest tumor was at the 1 o’clock position just inside the bladder neck and required a bugby electrode with the 70 degree lens to visualize and remove, as it was not visible with the 12 or 30 degree lens. His most recent cystoscopy was 10/17 and not surprisingly he has developed multiple small and large tumors which all appear Ta.
The patient’s quality of life has not changed as a result of the multiple resections. He has not had gross hematuria since the left nephrectomy. He has not developed an invasive tumor of the bladder.
Alternative considerations for therapy are welcome such as a PDL inhibitor or other experimental treatment.
Photos will be of the tumor and the use of the blue bugby electrode for the tumor at the 1 pm location at the bladder neck.</t>
  </si>
  <si>
    <t>In April 2011, an 81-year-old woman with a history of photosensitivity and hypertension was admitted to our hospital due to bilateral edema of the legs and nephrotic proteinuria (7.0 g/day). Her proteinuria was not detected before March 2011 by screening test by the family doctor. At admission, her height was 153 cm, weight was 40 kg, and blood pressure was 138/70 mmHg with treatment of candesartan 8 mg/day. Physical examination showed bilateral pitting edema of her legs and palpable superficial inguinal lymphadenopathies.
Laboratory results were as follows: serum creatinine 1.27 mg/dL; sodium 138.8 mEq/L; potassium 4.5 mEq/L; hemoglobin 14.6 g/dL; white blood cells 12,300/μL; platelet count 42,000/μL; serum total proteins 7.4 g/dL; and albumin 2.1 g/dL; total cholesterol 224 mg/dl, low-density lipoprotein cholesterol 119 mg/dL, high-density lipoprotein cholesterol 60 mg/dL, triglyceride 96 mg/dL. She had an antinuclear antibody (ANA) titer of 1:40, with a speckled pattern that was associated with the presence of anti-dsDNA antibody (28 IU/mL). Tests were negative for anti-Sm, anti-RNP, anti-SS-B, anti-SS-A, and anti-cardiolipin IgG antibodies. Her CH50 level was low (14.3 U/mL). Microscopic urinalysis showed 51–100 red blood cells and 3–5 white blood cells per hyper field. Proteinuria was 9.3 g/day and selectivity index was 0.01. Chest and abdominal CT revealed no abnormalities. She was diagnosed with SLE based on thrombocytopenia, proteinuria, positive ANA with anti-dsDNA antibody, and history of photosensitivity.
Before renal biopsy, we decided to treat her by prednisolone (PSL) 40 mg/day to normalize platelet count. Five days after the treatment, platelet count increased to 127,000/μL. Renal biopsy was performed 7 days after the treatment. The specimen for light microscopy contained 26 glomeruli; 8 exhibited global sclerosis, 2 revealed focal endocapillary hypercellularity superimposed on several foam cells (Fig. ).
Immunofluorescence (IF) showed low-intensity diffuse global granular capillary staining of IgG, IgA, IgM, C3, and C1q. Analysis by electron microscopy (EM) revealed electron-dense glomerular basement membrane deposits and foot process effacement (Fig. ).
This patient would have been diagnosed as LN class III (A) + V or III (A) because of scanty subepithelial immune deposition; however, we observed focal segmental foam cells closely resembling the cellular variant of FSGS. Based on experience with FSGS from July 2011, we added cyclosporine 100 mg/day on the initiated treatment with PSL. Within 3 months, the patient’s proteinuria rapidly improved from 9.3 to 1.8 g/day, and her leg edema completely disappeared. Her CH50 level gradually increased, and her anti-dsDNA antibody titer decreased below the normal limit (Fig. ). In March 2012, we performed a kidney re-biopsy. We observed focal segmental sclerotic lesions and endocapillary foam cells. IF with IgG, C3, and C1q showed bright granular staining, and EM showed electron-dense deposits at the same site. Diffuse foot process effacement was still present (Fig. ).</t>
  </si>
  <si>
    <t>A 78-year-old man with a history of hypertension and benign prostatic hyperplasia, and no history of any infectious diseases, underwent endovascular stenting (S.M.A.R.T. Control C10060SL, Cordis, Santa Clara, CA, USA) at another hospital for chronic occlusion of the left iliac artery, which had been causing intermittent claudication. No prophylactic antibiotics were administered to the patient during the EVT procedure. The patient was discharged the next day without any complications. However, he developed fever and back pain 20 days later. Contrast-enhanced computed tomography (CT) was suggestive of an infected aneurysm at the site of the left iliac artery stent, and the patient was referred to our hospital.
The patient was 160 cm tall, weighed 62.8 kg, and had a blood pressure of 156/80 mmHg, a pulse of 66 beats/min, and a body temperature of 38°C. Blood tests revealed the following: white blood cells, 13130/µl; red blood cells, 3.33 million/µl; hemoglobin, 9.9 g/dl; platelet count, 190,000/µl; blood urea nitrogen, 26.7 mg/dl; creatinine, 0.93 mg/dl; albumin, 2.4 g/dl; and C-reactive protein, 24.76 mg/dl. CT findings revealed thickening of the arterial wall and an aneurysm of the left common iliac artery at the site of the stent (). On the basis of these findings, he was diagnosed with an infected aneurysm due to bare stent infection and underwent surgical treatment.
The terminal abdominal aorta and bilateral common iliac arteries were removed because the infection had extended to the aortic bifurcation (). The surrounding infected tissue was debrided, and the terminal aorta was replaced with a rifampicin-soaked bifurcated prosthesis. A pedicled omental flap based on the left gastroepiploic artery was then guided in a retrocolic fashion into the retroperitoneal cavity, to wrap the graft around its entire length.
The rifampicin-soaked prosthesis was prepared as follows. First, 300-mg rifampicin capsules (Sandoz Corporation, Tokyo, Japan) were dissolved in a mixture of 6-ml high-pressure sterilized polyoxyethylene sorbitan monooleate (Tween 80, Wako Seiyaku, Tokyo, Japan) and 54-ml distilled water. This solution was then sterilized in a Millex-HV Syringe Filter Unit (0.45 µm polyvinylidene difluoride, Merck Millipore, Carrigtwohill, County Cork, Ireland). Finally, an 18×10-mm prosthesis (Hemashield Platinum, Maquet, San Jose, CA, USA) was soaked in this rifampicin solution for 15 min.
Histopathology of the surgically excised artery specimen revealed many inflammatory cells infiltrating the intima, media, and adventitia. Abscesses and masses of Gram-positive cocci were found in all arterial layers, suggestive of an infected aneurysm ().
Staphylococcus aureus was detected by a bacterial culture of the surgical specimen. Based on the results of his antibiotic susceptibility test, the patient was administered tazobactam/piperacillin 13.5 g/day intravenously for 4 weeks, followed by amoxicillin 750 mg/day orally. However, oral medication was discontinued after 2 weeks due to a side effect, i.e., diarrhea.
Two postoperative complications were also treated. For adhesive bowel obstruction, partial small bowel resection was performed. For aspiration pneumonia, meropenem hydrate 1.5 g/day was administered for 1 week.
The patient was discharged and fully recovered from his illness. The patient still visits our hospital every 3–6 months for blood tests, Doppler ultrasonography, and CT. Postoperative CT images at the 2-year follow-up revealed no signs of reinfection (). At the 3-year follow-up, the graft remained patent, and no complications were observed.</t>
  </si>
  <si>
    <t>A 55-year-old man comes to the physician for a follow-up examination. For the past 6 months, he has had fatigue, headaches, and several episodes of dizziness. Three months ago, he was diagnosed with hypertension and started on medications. Since the diagnosis was made, his medications have been adjusted several times because of persistently high blood pressure readings. He also has hypercholesterolemia and peripheral arterial disease. He smoked one pack of cigarettes daily for 34 years but quit two months ago. His current medications include aspirin, atorvastatin, losartan, felodipine, and hydrochlorothiazide. He is 188 cm (6 ft 2 in) tall and weighs 109 kg (240 lb); BMI is 31 kg/m2. His pulse is 82/min and blood pressure is 158/98 mm Hg. Physical examination shows bilateral carotid bruits and normal heart sounds. Serum potassium concentration is 3.2 mEq/L, plasma renin activity is 4.5 ng/mL/h (N = 0.3–4.2 ng/mL/h), and serum creatinine concentration is 1.5 mg/dL.</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</si>
  <si>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</si>
  <si>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In November 2007, a 49-year-old Japanese woman was referred to our hospital from an orthopaedist complaining of a one year history of sustained difficulty walking and severe bilateral hip pain. Her height was 155.5 cm and body weight was 61.0 kg. Laboratory data showed a creatinine of 1.4 mg/dl, potassium 2.8 mmol/l, calcium 9.5 mg/dl, phosphorus 2.5 mg/dl, uric acid 1.5 mg/dl, normoglycaemic glycosuria and metabolic acidemia (pH 7.30, HCO3− 17.4 mmol/l) (Table ). Bilateral transcervical fractures were confirmed by MRI (Fig. ) and bone scintigraphy showed multiple hot spots in her joints and ribs, compatible with osteomalacia (Fig. ). Hypophosphatemic osteomalacia was diagnosed clinically from a low serum level of phosphorus, 1,25-dihydroxyvitamin D3 (11.0 pg/dl), high levels of bone specific alkaline phosphatase (67.5 IU/l), and the findings of bone scintigram, although a bone biopsy was not performed. Tumor-induced osteomalacia (TIO) was ruled out by total body survey with whole body computed tomography or endoscopic surveillances and a normal blood FGF23 (22.1 pg/ml, 10–50 pg/ml) level.
Urinalysis showed pH 6.0 and twenty four hour urine demonstrated a low renal fractional tubular reabsorption of phosphate (Tmp/GFR 0.91), increased fractional excretion of uric acid (FEUA 43.9 %) and generalized aminoaciduria.
The calculated anion gap was 12.4 meq/l, with an inappropriately alkaline urine (pH 6.0), suggestive of distal type of renal tubular acidosis (RTA). An intravenous bicarbonate loading test to assess the tubular dysfunction demonstrated that the increased fractional excretion of bicarbonate (FEHCO3− 13.25 %) and urine-blood (UB) Pco2 gradient (U-Bpco2 50.1 mmHg), suggesting the presence of proximal type of RTA. NH4Cl loading test was not performed because of the presence of apparent metabolic acidemia. These biochemical data of blood and urine indicated Fanconi syndrome with proximal type of RTA. Tests for anti-SSA and anti-SSB were negative and serum angiotensin converting enzyme levels were normal. Furthermore, serum and urine immunoelectrophoresis revealed no monoclonal component. Any of the patient’s medication did not seem to be related to Fanconi syndrome. Light microscopic examination of a kidney biopsy demonstrated cellular infiltration of interstitium and proximal tubular epithelium composed mainly of CD3+ lymphocytes without glomerular involvement, consistent with features of TIN (Fig. ,).
The patient was also suspected to be diagnosed as PBC because of high levels of alkaline phosphatase (663 IU/l), high serum IgM levels (1084 mg/dl) and the presence of anti-mitochondrial M2 antibody (1:10). Sequential liver biopsy demonstrated the presence of a periportal cellular infiltrate (Fig. ), compatible with PBC though biochemical liver function was normal. The combination of these findings led to the patient’s diagnosis of osteomalacia caused by TIN with Fanconi syndrome in asymptomatic PBC.
The patient was started on therapy with calcitriol (1 μg/day), neutral potassium phosphate and sodium bicarbonate (6 g/day). She was subsequently administered middle-dose corticosteroid (20 mg/day of predonisolone) and ursodeoxycholic acid (300 mg/day). One year after the treatment, the patient became asymptomatic and renal function remained stable. Furthermore, MRI showed the bilateral transcervical fractures of the femoral neck had almost fully repaired (Fig. ). Treatment is currently being continued in the outpatient clinic.</t>
  </si>
  <si>
    <t>A 28-year-old woman presented to the emergency department with sudden-onset abdominal pain. She also had experienced multiple episodes of non-bloody vomitus during the previous 24 hours. One year earlier, she was diagnosed with uncontrolled T2DM but refused to start insulin treatment. Two months before presentation, her hemoglobin A1C concentration was 12%, and she was started on treatment with a combination of dapagliflozin and metformin.
At the time of presentation to the emergency department, the patient was afebrile with a mild increase in blood pressure to 138/86 mmHg. She was also tachypneic and tachycardiac, with a respiratory rate of 25 breaths/minute, a regular pulse with a heart rate of 116 beats/minute, and normal oxygen saturation. Her weight was 99 kg and her height was 179 cm with a body mass index (BMI) of 31 kg/m2. Physical examination revealed an obese dehydrated woman in mild distress and with mild diffuse abdominal tenderness, but no other remarkable findings. Her blood glucose concentration on Accu-check was 252 mg/dl. Laboratory testing showed an initial blood glucose concentration of 268 mg/dl, an anion gap of 18 mmol/l, and a pH of venous blood gases of 7.18. In addition, her bicarbonate concentration was 9 mmol/dl, her blood urea nitrogen was 50 mg/dl with creatinine 1.7 mg/dl, her acetone was elevated, and her hemoglobin A1C was 14.3%. Urinalysis showed moderate ketones with + 3 glucose. Her beta-human chorionic gonadotropin concentration and septic workup were negative, her cardiac enzymes were normal, and electrocardiography showed no signs of ischemia.
Following confirmation of DKA, the patient was admitted to the intensive care unit (ICU) and administered two liters of normal saline. Accu-check one hour later showed a blood glucose level of 55 mg/dl, a finding confirmed by a serum blood glucose concentration of 68 mg/dl, a significant reduction from the initial concentration of 268 mg/dl. The patient was administered 50 ml of a 50% dextrose solution; once her blood glucose stabilized, she was started on continuous insulin infusion along with the dextrose-containing intravenous solution. She was not treated with the dapagliflozin- metformin combination while in hospital. Her acidosis and anion gap were corrected over the following three days; because her hemoglobin A1C level remained elevated, she was discharged on the insulin regimen.</t>
  </si>
  <si>
    <t>CKD-EPI Equations for Glomerular Filtration Rate</t>
  </si>
  <si>
    <t>Using the 2021 CKD-EPI Creatinine equation, what is the patient's Glomerular Filtration Rate (GFR) in terms of mL/min/1.73 m²?</t>
  </si>
  <si>
    <t>A 32-year-old Chinese female attended the outpatient department of hepatobiliary surgery for follow-up of hepatic hemangiomas, and computed tomography (CT) scan revealed incidentally multiple splenic foci without hypersplenism. The patient presented with intermittent abdominal distension, which was slightly under no obvious inducement, with no fever, emesis, nausea, or vomiting. Physical examination found no signs of abdominal tenderness and rebound tenderness, and liver and spleen were impalpable.
Laboratory examination results were as follows: blood routine examination (hemoglobin 132 g/L, red blood cell count 4.61 × 10 12/L, white blood cell count 10.04 × 10 9/L, blood platelet count 180 × 10 12/L), liver enzymes (ALT 10.0 U/L, AST 17.0 U/L, GGT 16.0 U/L, ALP 86.0 U/L, TBIL 12.7 μmol/L) and renal function (BUN 5.65 mmol/L, SCr 42.0 μmol/L). Serum tumor markers AFP, CA19-9, CEA, and CA125 were all within normal limits.
Her past medical history included hemangioma for 20 years, and asthma for 30 years, and she underwent hysteromyomectomy 8 years ago. She did not smoke or drink. The splenic ultrasound revealed multiple hypoechogenic foci measuring 5 to 38 mm in diameter. The contrast-enhanced CT showed multiple space-occupying lesions in the spleen, mottled low-density lesions, multiple hypoattenuating nodules with no contrast enhancement on the arterious phase. Delayed contrast-enhanced helical CT scan displayed incomplete filling of hypodense splenic lesions. Imaging findings raised the suspicion of a vascular neoplasm of the spleen (Fig. A and B).
Given that it was uncertain whether it was a benign or a malignant tumor of the spleen, a laparoscopic total splenectomy was performed for the purpose of diagnosis and treatment and informed written consent was obtained from the patient for publication of this case report and accompanying images. Grossly, the spleen measured 11 cm × 6.5 cm × 2.5 cm. The largest lesion measured 2 cm × 2.3 cm × 3.6 cm. Histopathologically, the tumor was characterized by multiple cystic structures with anastomosing vascular channels (H &amp; E staining ×50) (Fig. ). Photomicrograph of the histologic specimen (H &amp; E staining ×400) showed a high power view of the cystic structures demonstrating tall columnar endothelial cells without cytologic or nuclear atypia that lined the cyst-like spaces (Fig. ). Immunohistochemistry showed that the cells compromising the tumor were positive for CD21, CD31, CD68, and CD163 (Fig. ).
According to the histology and immunohistochemistry findings, the diagnosis of LCA of the spleen was thus established. The patient was discharged 6 days after the splenectomy. Her postsurgical course was uneventful, intermittent abdominal distention disappeared, and no surgery-related complications were found. After surgery, Aspirin (100 mg qd) was used to prevent thrombosis. One month after discharge, the patient's blood routine and clotting routine were normal, and Aspirin was stopped to use. The follow-up imaging findings at 16 months after surgery showed no signs of recurrence. From the patient perspective, the result of surgical treatment was satisfactory.</t>
  </si>
  <si>
    <t>A 74-year-old man was admitted to our hospital for severe mitral regurgitation. Further examination revealed prolapse of the anterior leaflet and rupture of the chordae tendineae. Baseline serum creatinine level was 102.5 μmol/L, and hemoglobin level was 12.6 g/dL. He underwent surgery for chordal replacement with expanded polytetrafluoroethylene chordae tendineae. And mitral annuloplasty was performed with a flexible annuloplasty Medtronic Duran ring. Intraoperative transesophageal echocardiography and postoperative transthoracic echocardiography demonstrated no residual mitral regurgitation. The patient was discharged in good condition one week after surgery. At the time of discharge, serum creatinine level was 87.5 μmol/L.
Seven weeks after surgery he presented with anemia and “dark urine” and was admitted to our hospital. Investigations showed haemoglobin 4.5 g/dL, hematocrit 12%, undetectable haptoglobin, reticulocyte count 9%, slightly depressed platelet count 75,000/μL, serum lactic dehydrogenase 3600 IU/L, and total bilirubin of 69.86 μmol/L (indirect of 57.1 μmol/L). Peripheral blood smear demonstrated mechanical hemolysis with schistocytosis and red cell fragmentation (Fig. ). Creatinine levels ranged from256 to 362 μmol/L. Coomb’s test, Ham test and sugar water test were negative. Expression of CD55 and CD59 for paroxysmal nocturnal hemoglobinuria was normal. Drug-induced hemolytic anemia was not apparent, because there was no reduction of hemolysis after stopping the administration of any drug. On transthoracic echocardiography, mitral valve jet was found and judged to be mild, originating from the centre of the valve and striking the annuloplasty ring (Fig. ). The velocity of the mitral regurgitation jet was 2.3 m/s. The investigation did not show any evidence of a structural defect of the valve or the annuloplasty ring. Predonisolone for the possible microangiopathy was used. Three times of plasmapheresis and blood transfusion of 15 units red blood cells were required. After these treatments, the anemia and dark urine did not improve, with a creatinine level at 256 μmol/L. Based on previous experience with hemolytic patients following MVR and useless of aggressive conservative therapy, we decided to do reoperation for intracardiac inspection and mitral valve replacement after a detailed communication with the patient, despite RF. During the intraoperative inspection, there was no ring dehiscence or suture-related tear of the valve tissue. The annuloplasty ring was well endothelialized. Chordal attachments were intact. However, the new artificial chordae tendinae was completely non-endothelialized (Fig. ). The plasty ring was excised and the mitral valve was replaced with a 27-mm bileaflet prosthesis (Edwards Lifesciences). The hemolytic anemia resolved gradually after the reoperation. But the RF persisted after surgery and the patient was transferred to the department of hematology for hemodialysis. Three months later, the LDH level gradually fell to 224 U/L. His hemoglobin level was stable at 95 g/dL with 3% reticulocytes. Serum creatinine level was 80.4 μmol/L.</t>
  </si>
  <si>
    <t>A healthy 30-year-old female has a measured creatinine clearance of 100 mL/min. She has a filtration fraction (FF) of 25%. Serum analysis reveals a creatinine level of 0.9 mg/dL and an elevated hematocrit of 0.6.</t>
  </si>
  <si>
    <t>An 80-year-old male with a history of gastroesophageal reflux disease, benign prostatic hyperplasia, and diabetes presented with 2 days of gross hematuria, worsening hesitancy, and difficulty urinating. Prior to this, the patient had had a 6-month history of lower urinary tract symptoms for which his primary medical doctor had prescribed an α1 receptor antagonist at a dose of 0.4 mg orally once daily. This initially brought about brief mild improvement in the patient’s symptoms, but ultimately there was an increase in lower urinary tract symptoms. The patient denied renal colic, flank pain, or any constitutional symptoms. He had not suffered any recurrent urinary tract infections in the past and denied taking any anticoagulants other than two aspirin occasionally for headache.
On presentation to the urology clinic, the patient was found to have severe obstructive urinary symptoms. Rectal examination revealed a grossly abnormal prostate gland with nodularity throughout the entire palpable surface. Laboratory information showed a prostate serum antigen of 20.2 ng/mL. His most recently documented prostate serum antigen was 8.5 ng/mL, which was from one year previously. Baseline blood urea nitrogen/creatinine was 32/0.87. Because the patient had obstructive symptoms and a post void residual of 319 mL, a Foley catheter was placed and he was scheduled for a cystoscopy (as part of the hematuria workup)/voiding trial. He was also put on silodosin 8 mg per day orally and ciprofloxacin 500 mg orally twice daily for 7 days. Upon the patient’s return to the office, his Foley catheter was draining adequately. Post void residual was 600 mL. Cystoscopy showed a large amount of clot in the base of the bladder, which was irrigated to clear, and no active bleeding was noted. Significant distortion and posterior impingement of the trigone was noted, left hemitrigone being greater than the right. No diverticulum or stones were noted. Prostatic urethra showed a near visually obstructing prostate but no intraluminal filling defects of the bladder. A computed tomography (CT) urogram showed left hydronephrosis down to the trigone and some mild nonspecific adenopathy. Urine culture and sensitivity was positive for a Proteus urinary tract infection. The patient was already on ciprofloxacin (which was shown to be sensitive) and responding to treatment. Bicalutamide 50 mg orally once daily and finasteride 5 mg orally once daily were prescribed.
The patient underwent transrectal ultrasound and sampling of the prostate gland. It was noted that the patient’s prostatic volume was 14.6 cc. Due to the patient’s age, gross hematuria, and comorbid conditions, a limited six-core prostate biopsy was performed. Biopsy showed six of six cores positive for an adenocarcinoma Gleason grade 9 (5+4) prostate cancer (see ). CT scan and bone scan did not show any evidence of metastatic spread. The patient was diagnosed with clinical stage T2cN0M0 prostate cancer. The patient completed and passed a voiding trial. Bicalutamide, silodosin, and finasteride were continued. A depot suspension of leuprolide acetate (30 mg intramuscularly every four months) was started. Calcium and vitamin D were added for additional support (entirely prophylactic, given that the patient had no vitamin deficits prior to starting leuprolide). At this stage in the patient’s clinical course, his urinalysis was normal and his post void residual was down to 67 mL. The patient was counseled on the management options and chose intensity modulated radiation therapy (IMRT) as treatment for his prostate cancer.
Fiduciary gold seed markers were placed. The patient underwent a planning CT scan which was fused with a magnetic resonance imaging (MRI) scan. The prostate and seminal vesicles were contoured with a planning CT scan, expanded into planning target volumes, and a radiation plan was developed. The patient received 46 treatments over 64 days for a total dose of 8,280 cGy. Phase 1 (planning target volume 1) consisted of the prostate, seminal vesicles, and regional lymph nodes receiving 4,500 cGy in 180 cGy daily fractions. Phase 2 (planning target volume 2) consisted of the prostate alone receiving 3,780 cGy in 180 cGy daily doses. Intensity-modulated radiation therapy using an image-guided linear accelerator (Varian Instruments Inc, Palo Alto, CA, USA) was utilized to minimize both acute side effects and long-term sequelae. The patient tolerated his treatments well. Mild urinary symptoms were experienced, but his urination had been improving and his international prostate symptom score was &lt;15 (9). Therefore, the patient did not require any additional medications and we felt that any surgical intervention (such as transurethral resection of the prostate) for symptomatic relief was not warranted at this time. The patient did develop some bowel symptoms that required a change in diet.
The patient was examined by his urologist post radiation therapy and was clinically doing well. He had a post void residual of 104 mL and a significantly reduced prostate serum antigen of 0.4 ng/mL. Repeat renal and bladder ultrasound showed resolution of his previously noted left hydronephrosis. However, just after intensity-modulated radiation therapy ended, the patient began to experience right lower extremity weakness and intermittent numbness from the mid calf distally. The patient had not experienced any falls or trauma. His serum glucose was under control throughout his entire evaluation (prior to treatment it was noted to be 122 mg/dL and then post treatment measured 88 mg/dL). This progressed to require an evaluation by a neurologist. Physical examination showed a mild wide-based stance with decreased stride length and a tendency to circumduct the right lower extremity, with mild to moderate right foot-drop. Initial evaluation included a lumbar puncture, comprehensive metabolic panel, complete blood count, urinalysis, positron emission tomography scan, renal ultrasound, and CT scans of the head and spine. All initial studies were negative. Further evaluation included an electromyogram, as well as an MRI scan of the brain/cervical and thoracic spines. MRI of the brain specifically showed only mild diffuse cortical atrophy. The cervical and thoracic spine MRI scans showed a T2 hyperintensity spanning the lateral cortical spinal tracts of the entire cervical and thoracic cords.
Blood work was collected locally, sent to the Mayo Clinic, and profiled in their paraneoplastic autoantibody evaluation. The profile was consistent with organ-specific neurologic autoimmunity, which suggested an association with multifocal neurologic mainfestations. Specifically, the blood work revealed a positive neuronal voltage-gated potassium channel antibody. These findings combined with MRI of the spine led the neurologist to diagnose the patient with a paraneoplastic syndrome. Magnetic resonance neurography was not done. The patient’s nerve pain was based solely on his personal perspective. The patient was given an ankle-foot orthosis and a cane for ambulation, was started on intravenous immunoglobulin therapy, and referred for home-based physical therapy. At this time, the patient felt that both his strength and ambulation had improved, and his physical therapist agreed. The patient has not experienced any new complaints.</t>
  </si>
  <si>
    <t>A 71-year-old female with a significant past medical history of hypertension, hyperlipidemia, and hypothyroidism presented to the emergency department with a complaint of chest pain. She had been visiting her granddaughter who was in the intensive care unit in critical condition and developed chest pain after being in significant emotional distress. A rapid response was called, and she was taken to the emergency department. The patient reported having left substernal chest pain without any radiation, 7/10 in intensity. She denied any previous history of angina or similar symptoms in the past. Her home medications included lisinopril 2.5 mg once a day, levothyroxine 88 mcg once a day, metoprolol succinate 25 mg once a day, and pravastatin 10 mg once a day. The initial vital signs were as follows: temperature, 98.1°F; blood pressure, 125/76 mmHg; heart rate, 78 beats/minute; respiratory rate, 22 breaths/minute; and oxygen saturation, 100% on room air. The laboratory values were as follow: white blood cell count, 10.2 K/uL; hemoglobin, 13.2 g/dL; sodium, 139 mmol/L; potassium, 3.9 mmol/L; BUN, 15 mg/dL; creatinine, 0.76 mg/dL; troponin, 4.0 ng/mL; and COVID-19 RT-PCR, negative. An electrocardiogram (EKG) was performed, which revealed ST elevation in the lateral leads (Figure ).
Given her clinical presentation along with abnormal EKG changes and elevated troponin, the patient was taken for a left heart catheterization. She was found to have Takotsubo cardiomyopathy and nonobstructive coronary artery disease (Figure ). An echocardiogram showed an ejection fraction of 25%-30% with hypokinesis of the anterior septum, anterior lateral, and apical segment, mild regurgitation, and tricuspid regurgitation (Figure ).
The patient was diagnosed with Takotsubo cardiomyopathy and discharged home with her home medications along with aspirin 81 mg and instructions to follow up with the cardiologist within one week.</t>
  </si>
  <si>
    <t>A 27-year-old female is brought in by ambulance with altered mental status. She is in a comatose state, but is breathing spontaneously with deep and rapid respirations. Her vital signs are as follows: T 100.2F, BP 92/54 mmHg, HR 103 bpm, RR 28, and SpO2 97% on room air. Complete blood count reveals: WBC 12.7, hemoglobin 11.3, platelets 254. Basic metabolic panel reveals: sodium 137, potassium 4.2, chloride 100, bicarbonate 16, creatinine 1.78 An ABG is performed which showed pH 7.38, PaO2 94, PaCO2 26.</t>
  </si>
  <si>
    <t>A 29-year-old African American lady was brought into the emergency department with abdominal pain and recurrent headaches for four weeks, dizziness for a week, and an episode of syncope. She had crampy abdominal pain that was mild and progressive, associated with constipation but no nausea, vomiting, or abdominal distension. Headaches were mainly frontal, lasting a few hours, and transiently relieved with Tylenol. She denied any visual changes, photosensitivity, or eye pain. She developed dizziness about a week prior, which was worsened on standing, and improved on lying down. She fell a few times. She had a syncopal event lasting a few minutes with altered mental status following awakening, hence she was brought for further evaluation. The review of systems was significant for a 10-pound weight loss in a month, palpitations, fatigue polydipsia, and polyuria.
On presentation, her vital signs were within normal limits, except for mild tachypnea. Physical examination showed an obese lady, who was alert and fully oriented, with dry oral mucosa, pale conjunctiva, and an enlarged neck mass.
Laboratory investigations showed moderate microcystic anemia, creatinine of 1.7 mg/dL (normal range 0.6-1.2 mg/dL), calcium of 21 mg/dL (normal range 8.5-10.5 mg/dL), phosphate of 2.2 mg/dL (normal range 2.5-4.5 mg/dL), and lipase of 450 U/L (normal range 5-55 U/L). Other investigations included parathyroid hormone (PTH) of 4.36 pg/mL (normal range 12-88 pg/L), 25 hydroxy vitamin D of &lt;7 ng/mL (normal range 30-100 ng/mL), 1, 25 dihydroxy vitamin D of 18 ng/mL (normal range 18-72 ng/mL), PTHrP of 33 pg/mL (normal range 14-27 pg/mL), and TSH of 0.20 uIU/mL (normal range 0.34-5.60 uIU/mL)
Magnetic resonance imaging (MRI) of the brain showed a 3.6 cm dural-based left frontal lobe mass invading the inner table of the left frontal calvarium and extending into the left frontal sinus (Figure ). A computed tomography (CT) scan of the neck showed marked heterogeneous enlargement of the right thyroid gland measuring approximately 8.7 x 5.2 x 11 cm (Figure ). CT of the abdomen and pelvis showed an enlarged uterus with heterogeneous attenuation and enlarged endometrial canal, approximately 9.8 x 13.4 x 17.3 cm (Figure ).
Further imaging revealed generalized lymphadenopathy, multiple hypodense liver lesions, infiltrations, and edema of the pancreatic head, and mixed lytic and sclerotic osseous lesions in the pelvis, with pathologic fracture of the right pubic ramus. An assessment of symptomatic severe hypercalcemia likely from metastatic neoplasm, acute interstitial pancreatitis, acute kidney injury, and brain lesion with mass effect was made and she was admitted into the intensive care unit for management. She received high-flow intravenous (IV) fluids, IV pamidronate, IV dexamethasone, and IV levetiracetam. Her calcium down-trended rapidly from 21 to 10.8 in three days of management, and she showed corresponding clinical improvement.
Multiple pathological results from biopsies of uterine, liver, thyroid, and brain masses showed high-grade neuroendocrine neoplasms of an unknown primary site.</t>
  </si>
  <si>
    <t>A 61-year-old lady with nausea, vomiting, weakness, dyspnea, and orthopnea was a known case of hypertension, diabetes mellitus, and end-stage renal disease. She had also a right kidney mass diagnosed about 2 months before and was under workup. She had been under hemodialysis 3 days per week and also had a history of permanent pacemaker implantation 2 months before her last admission due to complete heart block. She was on statins, insulin, and calcitriol.
On physical examination, she had SPO2 = 82%, which improved to 96% with nasal O2, blood pressure = 90/60 mm Hg, and heart rate = 100 bpm and no fever. No other remarkable finding was noted.
Electrocardiogram showed pacemaker's rhythm (Figure -panel A). The baseline laboratory findings are presented in Table . Renal function test was severely disturbed (creatinine = 5.4 mg/dL), and she had also hyponatremia (serum sodium = 126 meq/dL) and mild hyperkalemia (serum potassium = 5 meq/dL). The baseline liver function test was within normal limits.
Emergent limited bedside TTE at emergency department (ED) showed massive pericardial effusion (PE) with a maximal depth of 3 cm and evidence of cardiac tamponade. She was urgently transferred to the operating room for the PE drainage.
Postdrainage TTE showed moderate left ventricular enlargement, LVEF = 30%, moderate-to-severe MR, mild-to-moderate tricuspid regurgitation, a PAP of 45 mm Hg, and small PE. The current echocardiography showed a significant reduction in her LV function considering her previous TTE report (2 months earlier), which was completely within normal limits.
After surgery, the extubation was impossible due to the respiratory distress and development of hypoxemia during the weaning process and she got febrile.
Chest CT showed bilateral confluent consolidations predominantly in upper and middle zones with more severity in right side highly suggestive of COVID-19 (Figure -panel B).
She was isolated in ICU, and the nasopharyngeal swab specimen was reported positive for COVID-19 in RT-PCR test.
The patient's status deteriorated, and she underwent shock and unfortunately died after about 50 days. She received Kaletra and IVIG to control COVID-19 infection, accompanied with vasopressor support and hemodialysis.
The pericardial fluid analysis was compatible with an exudate nature with a negative cytology. The pericardial biopsy was negative for malignancy and tuberculosis.</t>
  </si>
  <si>
    <t>A 60-year-old male patient was admitted to the hospital with several-week history of weakness, adynamia and progressive loss of deambulation, having become bedridden at the last days before the hospitalization.
He was diagnosed 7 months ago with NSCLC in stage IV, with metastasis to the contralateral lung and both adrenal glands. He also had a history of primary hypertension.
On admission, he was dehydrated and his blood pressure (BP) was 77/45 mm Hg. The rest of the physical examination was irrelevant. Laboratory analyses revealed Hb 12.8 g/dL, sodium 117 mmol/L, potassium 6.2 mmol/L, creatinine 3.09 mg/dL, blood urea nitrogen (BUN) 123 mg/dL, and C-reactive protein 5.16 mg/dL. Arterial blood gases sample (ambient air) showed pH 7.437, PCO2 19 mm Hg, PO2 98 mm Hg, HCO3- 12.6 mmol/L, and SO2- 98%.
He initiated normal saline infusion and cation exchange resin. Despite sorotherapy he remained hypotensive (BP 70/40 mm Hg), but had mild improvement on laboratory evaluation as follows: sodium 127 mmol/L, potassium 5.3 mmol/L, creatinine 1.85 mg/dL and BUN 48 mg/dL.
To assess the adrenal function, the next analyses were realized: serum cortisol 3.48 μg/mL (normal 4.3 - 22.4), serum ACTH 181.8 pg/mL (4.7 - 48.8), serum aldosterone &lt; 1 ng/dL (1 - 16), plasma renin activity 31.76 μg/mL/h (0.37 - 3.84) and 24-h urinary cortisol 6.16 μg (28.5 - 213.7). Computed tomography (CT) scan of the abdomen showed a large nodular enlargement of both adrenal glands.
The diagnosis of metastatic primary adrenal insufficiency was established, and he initiated hormonal replacement therapy with hydrocortisone 5 mg tid and fludrocortisone 0.05 mg qd.
In the following days, the patient presented rapid clinical improvement, with normalization of his blood pressure. Laboratory evaluation also showed normal electrolytes and renal function: Hb 9.06 g/dL, sodium 137 mmol/L, potassium 3.9 mmol/L, creatinine 1.17 mg/dL, and BUN 21 mg/dL.
On discharge the patient had BP 118/64 mm Hg, and in the subsequent follow-ups he had recovered his autonomous deambulation.</t>
  </si>
  <si>
    <t>A 38-year-old female was admitted to the emergency ward with altered sensorium and anuria. She had off and on constitutional symptoms of disease such as general malaise, myalgia, polyarthralgia (mainly involved knee, elbow, and ankle joints), anorexia, weight loss, headache, and pyrexia from the last 4 years. She also had a history of recurrent blood-stained nasal discharge, epistaxis, nasal crusting, nasal ulceration, cough, breathlessness, stridor, and wheeze from the last 3 years. She had a history of pedal edema 3 months back. She also complained of diminution of vision with redness of eyes from 3 months. The patient had a history of ulcers on lips and tongue from the past 4 days and decreased frequency of urination from 3 days. There is no history of hematuria, hemoptysis, or cardiovascular manifestations. On examination, her vitals were deranged; she had tachycardia (120/bpm) and hypotension (100/60 mm of Hg). She also had pallor and bilateral pedal edema. There was high suspicion of GPA with acute renal failure or rapidly progressive glomerulonephritis associated with systemic small-vessel vasculitis. Keeping these two main diagnoses in mind, the investigations were ordered accordingly.
It is based on a combination of clinical manifestations of systemic disease, positive ANCA serology, and histological evidence of necrotizing vasculitis, necrotizing glomerulonephritis, or granulomatous inflammation of affected organs such as skin, lung, or kidney.
A trucut biopsy was taken from the right kidney of the patient and detailed analysis was done. On light microscopy, there was focal segmental necrotizing glomerulonephritis involving more than 60% glomeruli associated with extracapillary proliferation with pauci-immune crescent formation. Electron microscopic examination showed fibrinoid deposition in the glomerular basement membrane. In biochemistry, serum sodium (159 mmol/L) and serum potassium levels (17 mmol/L) were deranged. In kidney panel, serum urea (155.8 mg/dL) and serum creatinine levels (8.9 mg/dL) were highly increased suggesting severe form of disease.
On performing ANCA serology, her serum showed a predominantly diffuse, granular cytoplasmic ANCA (c-ANCA) staining pattern on indirect immunofluorescence. By direct enzyme-linked immunosorbent assay, there were high titers of ANCA directed against proteinase-3 (PR-3). PR-3 (1:100 with 1+ intensity) was highly raised and confirmed the diagnosis of granulomatosis with polyangiitis associated with c-ANCA positivity.
The patient underwent two sessions of hemodialysis with a 2-day interval with packed red cell transfusion. Following that, serum urea and creatinine levels were controlled. Due to high levels of circulating c-ANCA autoantibodies, TPE was planned in addition to the standard therapy. GPA comes under category I, Grade 1A; American Society for Apheresis guidelines 2016.[] TPE sessions were started on the 4thday of admission. A total of seven cycles was performed with 1.3 total plasma volumes exchanged on every alternate day. Fresh frozen plasma (FFP) and normal saline were used as replacement fluids. During the third cycle of TPE after 5 units of FFP transfusion, the patient developed allergic reaction in the form of severe itching all over the body. To treat allergic reaction, oral pheniramine maleate 5 mg and injection hydrocortisone 100 mg intravenous (i.v.) were given, and after 20 min, procedure was restarted and completed successfully. Rest six cycles of TPE was done uneventfully. Simultaneously, standard induction therapy was also started that comprised of combination of cyclophosphamide (500 mg, i.v.) and methylprednisolone 1000 mg, i.v. daily for 3 days followed by oral prednisolone 60 mg daily for at least 4 weeks. Mesna 200 mg slow i.v. over 2 h was also given to prevent cyclophosphamide-induced hemorrhagic cystitis. Regular monitoring of full blood count, serum proteins, renal function, liver function, urine cytology, and clinical symptoms were done. After seven cycles of TPE, the patient was improved clinically as indicated by her renal function tests and ANCA serology and hence TPE was stopped. The patient's recovery was faster due to the timely intervention of TPE along with standard immunosuppression therapy. The total hospital stay of patient was 18 days which was lesser in comparison to the patient who were treated with standard therapy alone. After that, the patient was on maintenance therapy with azathioprine (2 mg/kg/body weight) at least for 12 months and advised for monthly follow-up.</t>
  </si>
  <si>
    <t>Our patient is a 65-year-old male with a medical history of hypertension and hyperlipidemia, who was brought in by emergency medical services complaining of right-sided facial droop, slurred speech, and left-sided weakness of one-day duration. The patient reported that he returned home from breakfast one day ago, sat on the front steps of his home, and suddenly felt dizzy and "passed out." It was unknown how long he lost consciousness as it was unwitnessed. He denied a prior history of stroke or myocardial infarction. The rest of the review of systems was unremarkable.
Physical examination showed decreased left arm and leg strength compared to the right side, decreased left facial temperature sensations, decreased left arm and leg temperature sensations, and difficulty sitting upright with an associated leaning towards the left side. Vision tests were difficult to assess and compare as he had a severe right cataract.
Initial laboratory analysis was remarkable for an elevated creatinine of 1.4 mg/dL (normal 0.7-1.3 mg/dL), elevated troponin I high sensitivity of 54.20 ng/L (normal 0-53.53 ng/L), and thyroid-stimulating hormone of 0.14 uIU/mL (normal 0.55-4.78 uIU/mL). Urinalysis revealed moderate leukocyte esterase, positive nitrites, and urine white blood cells greater than 50. Urine culture grew Escherichia coli with a colony count greater than 100,000 CFU/mL and was susceptible to nitrofurantoin.
A computed tomography (CT) scan of the head showed no acute intracranial pathology. A CT angiography (CTA) of the head and neck showed no significant stenosis, aneurysm, or vascular malformation. An echocardiogram was performed and showed a left ventricular ejection fraction of 65% to 70%, normal left ventricular size and systolic function, and no segmental wall motion abnormalities. An initial magnetic resonance imaging (MRI) of the brain with and without contrast revealed no abnormality (Figures , ). In light of such a high suspicion for stroke based on the patient’s neurologic deficits, a repeat MRI of the brain was performed three days later and exposed a small focus of bright signal (hyperintensity) on T2-weighted fluid-attenuated inversion recovery (T2-FLAIR) (Figure ) and diffusion-weighted imaging (DWI) in the left posterior medulla (Figure ). The patient was started on antibiotics for his urinary tract infection, high-intensity statin therapy, low-dose aspirin therapy, and eventually discharged to subacute rehabilitation for further management once medically stabilized.</t>
  </si>
  <si>
    <t>A 58-year-old man presents to the emergency department with rapid onset of severe pain and swelling in his right great toe overnight. He reports experiencing a similar episode several years ago but cannot recall the diagnosis or the medication he was given for treatment. His medical history is significant for hyperlipidemia, poorly controlled diabetes, and stage 3 chronic kidney disease. Laboratory studies are ordered as seen below.
Serum:
Na+: 139 mEq/L
Cl-: 101 mEq/L
K+: 5.9 mEq/L
HCO3-: 22 mEq/L
BUN: 20 mg/dL
Glucose: 259 mg/dL
Creatinine: 3.1 mg/dL
The interphalangeal joint of the right great toe is aspirated, with the synovial fluid aspirate shown under polarized light microscopy in Figure A.</t>
  </si>
  <si>
    <t>A 33-year-old woman presents to the emergency department after she found out she had a blood pressure of 165/100 mmHg at a local pharmacy. The patient is not followed by a primary care physician and is not currently taking any medications. She has no other complaints at this time. A bedside ultrasound with Doppler of the abdomen is within normal limits. Laboratory values are ordered as seen below.
Serum:
Na+: 139 mEq/L
Cl-: 100 mEq/L
HCO3-: 33 mEq/L
BUN: 20 mg/dL
Glucose: 99 mg/dL
Creatinine: 1.1 mg/dL
Ca2+: 10.2 mg/dL
The patient is given hydrochlorothiazide and sent home. An ECG performed at a subsequent follow up appointment is seen in Figure A.</t>
  </si>
  <si>
    <t>A 70-year-old male suffered progressive generalized edema after consuming stale crabs, with only mild abdominal discomfort and no fever or other symptoms. Before this, he was healthy and did not have a history of digestive diseases, diabetes, or chronic obstructive pulmonary disease. The man was a native of Chongqing, the subtropical area in southwest China. He used to be a soldier; he fought in the Vietnam War and joined the police force after returning to his hometown.
In the hospital, his initial vitals were BP 108/78 mmHg, HR 111, respiratory rate 22, and oxygen saturation 98%. Initial laboratories included white blood cells 13.32 × 109/L (neutrophils% 77.5%; lymphocytes% 13.31%; eosinophils% 0.5%), normal hemoglobin and platelets, albumin (ALB) 14.5 g/L, globulin (GLB) 19.9 g/L, alanine aminotransferase (ALT) 78.7 IU/L, aspartate aminotransferase (AST) 90.9 IU/L, creatinine (Cr) 134 μmol/L, 24-hour urine protein 9.61 g, and negative antinuclear antibody spectrum (ANAs) and anti-neutrophil cytoplasmic antibodies (ANCA). Chest X-ray showed mild emphysema but no sign of infection. The patient was diagnosed with nephrotic syndrome but was unable to undergo pathological biopsy due to a renal cyst. He was administered full-dose glucocorticoid therapy alone, with no other immunosuppression. Three weeks later, while still under this treatment, the patient suffered lower limb cellulitis. His procalcitonin (PCT) was 0.3 ng/ml, and he was administrated mupirocin ointment and IV cefuroxime. After those treatments, his status improved and he continued to take oral glucocorticoids after discharge from the hospital.
However, over the next ten days, the patient seemed to get worse and had to return to the hospital due to persistent fever, cough, and intermittent abdominal pain. Initial vitals on admission were temperature 37.8 °C, BP 90/60 mmHg, HR 125, respiratory rate 26, and oxygen saturation 95%. Laboratory tests showed white blood cells 12.36 × 109/L (neutrophils %: 83.5%; eosinophils %: 0.7%). Sputum smear and culture were negative. Imaging examinations included CT scans of the chest, which reported interstitial pneumonia (Fig. ), and the abdomen, which reported no specific findings. The patient was diagnosed with normal gastrointestinal discomfort and pulmonary bacterial infection. A proton pump inhibitor, cefoperazone sodium, and sulbactam sodium were administered. However, the patient then started display hemoptysis, passed occult blood-positive stool, and gradually fell into a state of hyperpyrexia and drowsiness. Soon, Klebsiella pneumoniae (which was sensitized to the previous antibiotic), and unexpectedly, a large number of S. stercoralis larvae (Fig. ) were found in repeated sputum specimens. Meanwhile, the parasite was also found in a repeated brown stool specimen. Blood samples showed eosinophils% reached 18.1% and PCT was 1.01 ng/ml. Because ivermectin is not available in our region, albendazole (400 mg/day) was administered for 3 consecutive days but there was no progress. Subsequently, a mechanical ventilator was administered due to continued severe hypoxia and respiratory failure. The patient was unable to maintain his blood pressure and eventually died after co-infection with S stercoralis hyperinfection and the K pneumoniae found 1 week later. The course of this case has been summarized in Figure . The authorized relative of patient has provided informed consent for publication of the case.</t>
  </si>
  <si>
    <t>A 75-year-old man with a slightly increased serum creatinine level had developed proteinuria and hypertension in 2000. In 2007, he noticed a gradually progressive hearing loss and repeated bloody nasal discharge resulting from a refractory sinusitis. He was admitted to our hospital for evaluation in June 2008.
Initial laboratory findings revealed elevated serine proteinase 3-anti-neutrophil cytoplasmic antibody (PR3-ANCA; 26.2 EU), blood urea nitrogen (35 mg/dl), and serum creatinine (1.62 mg/dl) levels. Urinalysis indicated proteinuria (0.2 g/day) without hematuria. A head CT revealed maxillary sinusitis. Tissue from a nasal mucosal biopsy showed granulomatous inflammation in the extravascular area. Because of these combined findings, he was diagnosed as having granulomatosis with polyangiitis (GPA) according to the American College of Rheumatology 1990 Criteria for GPA and Watts’ algorithm [, ]. The Birmingham Vasculitis Activity Score 2003 was 6. Because of the low disease activity, the slow progression and the advanced age, we did not initiate immunosuppressive therapy at this time.
In October 2008, he developed fever lasting for several days. Laboratory data were as follows: C-reactive protein 11.91 mg/dl, PR3-ANCA 49.1 U/ml, fibrinogen 752 mg/dl, D-dimer 1.7 µg/ml, and urinary protein 0.27 g/day. Activated partial thromboplastin time, prothrombin time and fibrin degradation product were within the respective normal range. A chest CT was normal. Although we administered meropenem (2.0 g/day for 1 week), vancomycin (500 mg/day for 17 days) and itraconazole (200 mg/day for 20 days), the fever and C-reactive protein level did not decrease. On day 12 of admission, he showed mild disorientation, severe hearing loss and hoarseness. A brain MRI revealed a mass lesion in the right frontal lobe and hypertrophic mucosa in the paranasal sinuses (fig. ) in addition to a thickened and strongly enhanced dura mater surrounding the mass lesion (fig. ). He was diagnosed as having GPA with central nervous system (CNS) involvement. The Birmingham Vasculitis Activity Score had increased to 21. We treated him with methylprednisolone 500 mg daily for 3 days. However, he rapidly developed left hemiparesis and deterioration of consciousness [Glasgow Coma Scale (GCS): E1V2M4]. A brain CT revealed that the parenchymal mass lesion had enlarged and the mucous effusion was invading the posterior wall of the right frontal sinus. Due to an impending transtentorial herniation, a decompressive hemicraniectomy and partial right frontal lobectomy were performed, which moderately improved his consciousness (GCS: E2V3M4). After the surgery, he developed bloody sputa, and a chest CT revealed an infiltrative shadow in both lungs. We confirmed alveolar hemorrhage by bronchoscopy.
The biopsied brain material from the surgery revealed a granulomatous inflammation with geographic necrosis and multinucleated giant cells in the perivascular area of the thickened dura mater and leptomeninges (fig. ). Small vessels in the meninges were involved in the granulomatous lesions, and the lumens of the veins were often occluded. In the cerebral cortices and the white matter in these areas, hemorrhagic infarction was widely observed. After treatment with prednisolone (20 mg/day) and azathioprine (40 mg/day), the disturbance of consciousness substantially improved (GCS: E4V3M5), and the epistaxis stopped. In addition, serum creatinine and PR3-ANCA levels normalized. This study was conducted with the approval of the Ethics Committee of Niigata University Graduate School of Medical and Dental Sciences.</t>
  </si>
  <si>
    <t>A 78-year-old man with high-grade T1 urothelial carcinoma status post-transurethral resection of bladder tumor who had been on once-weekly intravesical BCG instillation for 2 months presented to the emergency room (ER) with fever, rigors and altered mental status.111111 He also reported shortness of breath but denied cough or chest pain. He had no urinary or gastrointestinal symptoms. He had his most recent BCG instillation done the day before the index presentation. Vital signs revealed a temperature of 102.8 F, pulse rate of 92/min, respiratory rate of 40/min and blood pressure 78/45 mmHg with oxygen saturation of 93% on ambient air. On physical examination, he appeared toxic, dehydrated and in respiratory distress. Chest examination revealed asymmetric chest expansion with dullness to percussion, decreased tactile fremitus on the left side with reduced air entry on auscultation. The cardiovascular examination was however unremarkable.
Complete blood count revealed marked leukocytosis with a white cell count of 27,200/microliter (Normal 4,800–12,000/microliter) and hemoglobin of 11.5 g/dL (Normal 14.0–17.5 g/dL). Lactate was markedly elevated at 7.8 meq/L (Normal 0.6–1.4 meq/L) and arterial blood gas revealed high anion gap metabolic acidosis. Basic metabolic panel revealed creatinine of 2.31 mg/dL from normal baseline (Normal 0.6–1.3 mg/dL) and blood urea nitrogen of 28 mg/dL (Normal 7–25 mg/dL). Sputum culture with gram stain showed normal oral flora. Urinary streptococcal and legionella antigens were negative. Chest X-ray on admission revealed left basilar pneumonia with small left pleural effusion. CT head showed no acute intracranial abnormalities. The preliminary blood culture result was negative for any micro-organisms.
Due to altered mental status with increased work of breathing and acute hypoxemic respiratory failure, patient was intubated and placed on ventilation in the medical intensive care unit. He was commenced on vasopressors and intravenous Vancomycin and Piperacillin-Tazobactam for septic shock thought to be secondary to community-acquired pneumonia and possible urinary tract infection. Despite the completion of several courses of broad-spectrum antibiotics, he continued to have low-grade pyrexia and failed to improve clinically. Suspicion for rarer etiologies such as systemic BCG dissemination began to grow and blood cultures for acid-fast bacilli initially obtained on admission returned positive for acid-fast bacilli, specifically Mycobacteria bovis in the two sets of samples thus confirming our suspicion. Broad-spectrum antibiotics were immediately discontinued, and he was commenced on triple therapy with Isoniazid 300 mg daily, Ethambutol 1600 mg daily and Rifampicin 30 mg daily. He improved clinically and was discharged 5 days later to complete 2 months of triple therapy with Isoniazid, Rifampicin and Ethambutol followed by 4 months of maintenance therapy with Rifampicin and Isoniazid. He was planned to return for follow up with the infectious disease team.</t>
  </si>
  <si>
    <t>A 64-year-old Brazilian man was admitted to the emergency department of our institution in April 2019 claiming fatigue, malaise, intermittent fever, and weight loss. In the first physical exam he presented hypotension and mental confusion. Three months before he began with progressive prostration, unintentional weight loss of 15 kg, intermittent fever, and night sweats. He was evaluated at an external hematology clinic 2 weeks before to come at our service and was diagnosed with multiple myeloma based on laboratory tests and bone marrow biopsy.
At initial physical examination, he had a temperature of 36.3 °C, a pulse of 81 beats per minute, a respiratory rate of 16 incursions per minute, a peripheral oxygen saturation of 94% in ambient air, a blood pressure of 86/51 mmHg, and a slower peripheral perfusion (4 seconds). He had significant skin-mucous pallor, jaundice 2+/4+, lowered level of consciousness (Glasgow 14), mental confusion, and flapping in the upper extremities. The rest of the physical examination showed no other significant changes.
Initial laboratory evaluation revealed: hemoglobin (Hb) 9.7 g/L, hematocrit (Ht) 28.2%, mean corpuscular volume (MCV) 82.7 fl, white blood count (WBC) 3.02 × 109/L, neutrophils: 2.3 × 109/L, lymphocytes: 0.5 × 109/L, platelets: 39 × 109/L, Na++ 127 mEq/L, K+ 4.3 mEq/L, total Ca++ 9.3 mg/L, P 3.1 mg/L, creatinine 1.84 mg/dL, BUN 122 mg/dL, lactate dehydrogenase (LDH) 648 U/L, and C-protein reactive (CPR) 58.1 mg/L. Hepatic profile showed alanine aminotransferase (ALT) 258 U/L, aspartate aminotransferase (AST) 213 U/L, alkaline phosphatase 386 U/L, gamma GT 473 U/L, total bilirubin: 2.95 mg dL (direct bilirubin [DB]: 2.29 /indirect bilirubin [IB]: 0.66), albumin 2.4 g/dL, prothrombin time/international normalized ratio (PT/INR): 1.27, and activated partial thromboplastin time (aPTT) ratio = 1.23. Laboratory evolution throughout hospitalization is summarized in Table .
In the emergency department, peripheral blood and urine cultures were collected and intravenous saline fluid and ceftriaxone was administered for treatment of supposed infectious etiologies. After initial measurements, blood pressure was normalized and the patient was stabilized. In his previous medical history, he had systemic arterial hypertension, congestive heart failure, and chronic renal failure caused by recurrent nephrolithiasis. He used carvedilol 25 mg twice daily, spironolactone 25 mg once daily, ivabradine 5 mg twice daily, AAS 100 mg daily, and rosuvastatin 10 mg daily.
The patient had external laboratory tests showing 0.8 g/dL of monoclonal protein, IgA kappa paraprotein at serum immunofixation, serum IgA of 1038 mg/dL (70–400 mg/dL), and β2 microglobulin of 20.61 mg/L (0.8–2.2 mg/L). Bone marrow biopsy was hypercellular with monoclonal plasma cell proliferation CD56 (+), kappa light chain restriction, representing 30% of the total nucleated cells. A diagnosis of multiple myeloma (MM) Durie Salmon IIIA, ISS III was established in this moment.
Chest, abdomen, and pelvic computerized tomography (CT) revealed multiple lymphadenopathies up to 5.0 cm and splenomegaly. Positron emission CT with 18-fluoro deoxyglucose (18-FDG-PETCT) showed multiple lymphadenopathies in the neck, chest, abdomen, and pelvis with SUVmax 12.0, liver FDG uptake 15.8 (SUVmax), and 16.4 cm splenomegaly with 15.8 spleen FDG uptake (Fig. ). Echocardiography was negative for endocarditis.
There was negativity for viral hepatitis B and C serology as well as for HIV, HTLV1, chickenpox, toxoplasmosis, herpes, cytomegalovirus, adenovirus, Epstein-Barr virus, parvovirus B19, enterovirus, paraecovirus, and Mycobacterium tuberculosis. Blood cultures were negative. As the patient persisted with fever, ceftriaxone introduced at admission was replaced by Piperacillin/Tazobactam and Teicoplanin. However, the patient evolved quickly with multiorgan dysfunction characterized by liver and renal failure, LDH increase, and coagulopathy characterized by prolonged prothrombin time (PT) and activated partial thromboplastin time (aPTT), fibrinogen, and factor V reduction keeping factor VIII level between the normal range values (Table ).
As the clinician suspected of concurrent HLH further tests showed serum ferritin level of 47.502 ng/mL (30–400 ng/mL) and slight elevation of triglycerides. A new bone marrow aspiration confirmed the presence of 21.6% of aberrant plasma cells with significant macrophage activity with several haemophagocytosis pictures (Fig. ). Immunophenotyping demonstrated 4.9% of anomalous and monoclonal plasma cells expressing CD45dim, CD19partial, CD38bright, CD138bright, CD56dim, CD117dim, and kappa light chain restriction in cytoplasm. Thereafter, the patient was immediately transferred to the intensive care unit and pulse therapy with methylprednisolone 1 g/d for 3 days was administered to control HLH. Afterwards the patient received cyclophosphamide at dose of 500 mg once weekly and dexamethasone 20 mg once daily D1–D4 as anti-multiple myeloma treatment. We were not able to investigate lymphadenopathy because the patient became soon hemodynamically unstable, requiring mechanical ventilation support and renal replacement therapy with hemodialysis. Unfortunately, the patient died 15 days after hospitalization.</t>
  </si>
  <si>
    <t>CHA2DS2-VASc Score for Atrial Fibrillation Stroke Risk</t>
  </si>
  <si>
    <t>What is the patient's CHA2DS2-VASc Score?</t>
  </si>
  <si>
    <t>Our patient is a 38-year-old woman with a past medical history most significant for a Roux-en-Y gastric bypass surgery in March 2017, complicated by a marginal ulcer at the anastomosis site with subsequent perforation. The patient could not tolerate oral nutrition and became severely malnourished, and a PICC line was placed for TPN in December 2017. Chronic TPN use led to recurrent candidemia with blood cultures growing Candida albicans resistant to fluconazole and voriconazole. Over several months, her PICC line was replaced thrice, and she was ultimately treated with micafungin. The patient had multiple admissions over the past few months for workup of altered mental status and unsteady gait. Her other past medical history included systemic lupus erythematosus treated with mycophenolate mofetil and hydroxychloroquine, left portal vein branch thrombosis on enoxaparin therapy, type 2 diabetes mellitus not on insulin, fibromyalgia, depression, and anxiety. She presented to our hospital in July 2018 with complaints of tremors, impaired mobility, confusion, gait instability, falls, and lethargy.
On admission, she was noted to be confused, with horizontal nystagmus and dilated pupils as well as bradypnea. Dilated fundus examination was indicative of candida retinitis. She was lethargic but arousable. Her speech was difficult to understand, and the history of presenting illness was provided primarily by the patient's mother who relayed to the team that she had been having tremors, episodes of confusion, and numerous falls for the past several months. Her mother also noticed that she had increased irritability and emotional lability during this time. She was initially admitted to the intensive care unit for airway management due to her acute encephalopathy. Due to a lack of meningeal signs, a lumbar puncture was not performed.
The infectious disease service was consulted, and she was started on liposomal amphotericin B and flucytosine for a total of 6 weeks. MRI brain showed worsening T1 hyperintensities from June 2018 to July 2018 in the bilateral globus pallidi, as evidenced by the arrows in Figures and , which were thought to be secondary to manganese toxicity from chronic TPN use. Furthermore, a repeat MRI brain was performed in August 2018, one month after discontinuation of TPN, which showed improvement of the T1 hyperintensities in the bilateral globus pallidi, as evidenced by the white arrows in , approaching the intensity level noted in June 2018. Other supporting findings included T1 hyperintensities in the substantia nigra, as evidenced by the arrows in , and decreased signal in the bilateral globus pallidi on T2-weighted images, as evidenced by the arrows in . With antifungal treatment and cessation of TPN, her mentation and neurological symptoms improved within 3-4 days of cessation of TPN.
General surgery was consulted for gastrostomy tube placement in her remnant stomach, as the patient was unable to consume more than 500 calories by mouth per day due to complaints of nausea and vomiting. Although our patient presented to the hospital seven months after initiation of TPN therapy, her Parkinsonian symptoms had begun to manifest after three months on TPN.</t>
  </si>
  <si>
    <t>A 68-year-old woman was admitted to the hospital with dizziness, disequilibrium, and dysarthria, which she had had for about 2 weeks. She had a history of hypertension, but no history of diabetes or heart disease, no familial history of cardiovascular disease, and no use of preventive medication for stroke.
On admission, her neurological examination was normal except for the presence of dysarthria, right central facial and glossary palsy, and bilateral positive Babinski signs.
Laboratory tests, including blood routine test, serum electrolytes, renal and hepatic function, blood sugar, coagulation profile, syphilis and HIV tests, and blood fat, were all normal. There were no abnormalities on her ECG, TEE, or 24-hour Holter monitoring.
DWI showed multiple high signal intensities in the territories of both anterior and posterior circulations. MR angiography showed no stenosis of large vessels. Her chest CT scan showed lung cancer and multiple metastases in the lungs.</t>
  </si>
  <si>
    <t>An 86-year-old woman with a history of atrial fibrillation, aortic stenosis, and hypertension presented to the emergency department due to altered mental status. She was lethargic, confused, and was not answering questions appropriately for the past four days. On arrival, she was afebrile, and her vitals included a pulse of 139 beats per minute, blood pressure of 110/79 mmHg, and a respiratory rate of 16 breaths per minute with saturation of 96% on room air. Physical exam was significant for a slow to respond female, orientated to self, who was able to follow commands with no focal neurological deficit. Her skin was warm and well-perfused with normal capillary refill, with no rashes or petechiae. The cardiovascular exam was significant for tachycardia, an irregular heart rhythm, and a systolic murmur heard best at the right upper sternal border. She had lower extremity pitting edema bilaterally. Her lab results were notable for elevated white blood cell count (WBC) 25.2 x 103 μL (3.9-11.3 x 103 μL), hemoglobin 11.0 g/dL (11.3-15.1 g/dL), platelets 58.0 x 103 μL (165-366 x 103 μL), troponin 0.164 ng/mL (&lt;0.010 ng/mL), lactic acid 2.5 mmol/L (0.5-2.0 mmol/L), and a basic chemistry panel was within normal limits. The urinalysis was remarkable for the presence of WBCs, leukocyte esterase, and bacteria with a urine culture pending. Additionally, two sets of blood cultures were obtained. Her electrocardiogram was significant for atrial fibrillation with a rapid ventricular rate (RVR). She was started on ceftriaxone for probable UTI and was admitted to the hospital for further management. Further diagnostics included lower extremity Doppler ultrasound, which revealed deep venous thrombosis (DVT). A bedside echocardiogram indicated right ventricular strain, and the N-terminal proB-type natriuretic peptide level was elevated at 8,215 pg/mL (&lt;449 pg/mL). Due to concern for possible pulmonary embolism in the setting of known DVT, the patient was started on a continuous heparin infusion. A transthoracic echocardiogram revealed severe aortic valve calcification with new aortic insufficiency. Blood and urine cultures returned positive for Aerococcus urinae. A transesophageal echocardiogram further confirmed moderate to severe aortic regurgitation with findings suggestive of infective endocarditis (IE), see Figures , .
Antibiotics were expanded to include gentamicin with ceftriaxone for IE, and surgical evaluation was consulted. Given she was a high-risk surgical candidate, surgery intervention was not offered at this time unless evidence of further clinical decompensation. Additional surgical recommendations included re-evaluation after completion of antibiotic course. She was therefore discharged on intravenous antibiotics to complete a total of six weeks of treatment with ceftriaxone and two weeks of gentamicin. Soon after completion, the patient returned due to worsening thrombocytopenia that had previously improved upon discharge. On readmission, repeat labs were most notable for worsening thrombocytopenia, leukocytosis, acute kidney injury, and hyperkalemia. The patient was in atrial fibrillation with RVR and physical exam concerning for decompensated heart failure. Despite administration of broad-spectrum antibiotics and heart rate control, the patient continued to decline, and her clinical picture was consistent with cardiogenic shock. In addition to respiratory distress, the patient went into ventricular fibrillation arrest. Due to the patient's wishes to not be intubated or resuscitated, she was made comfortable and passed away.</t>
  </si>
  <si>
    <t>A 68-year-old man with the left hemiparesis from 2 h previously visited the emergency room. His medical history included hypertension and bilateral emphysema due to heavy smoking. Vital sign assessment revealed tachycardia; examination of the heart revealed atrial fibrillation (AF). Neurological examination revealed left hemiparesis and mild disturbance of consciousness. The National Institutes of Health Stroke Scale (NIHSS) score was 12. A magnetic resonance imaging (MRI) (diffusion-weighted image) showed right corona radiate infarction []. MR angiography (MRA) revealed right middle cerebral artery (MCA) occlusion []. Chest X-ray showed no remarkable findings on admission. Initial investigations performed included a white blood cell (13.9 × 109/L; normal 4–11 × 109/L), hemoglobin (14.6 g/dL; normal 13.1–17.3 g/dL), and platelet (147 × 109/L; normal 130–400 × 109/L) count. Prothrombin time (16 s; normal 11.5–14.5 s), activated partial thromboplastin time (40.1 s; normal 27.5–41 s), D-dimer (&lt;0.5 mg/mL; normal &lt;0.5 mg/mL), arterial blood gas (room air; pH 7.35), PaO2 (89.0 mmHg), and PaCO2 (45.1 mmHg) were also analyzed. The patient was negative for antineutrophilic cytoplasmic antibody. Intravenous tPA was administered according to the accelerated regimen (0.6 mg/kg) 3.5 h after onset. Four hours later, consciousness gradually improved, the right MCA recanalized [], and volume of infarction was not changed. The patient experienced hemoptysis and mild shortness of breath 18 h later, with no chest pain or fever. Oxygen saturation dropped from 97 to 90%. Chest computed tomography (CT) revealed multifocal diffuse ground-glass attenuation and patchy consolidation in both lungs [ and b]. Immediate chest X-ray revealed bilateral upper lobe intra-alveolar infiltrate []. The hemoptysis gradually improved after treatment with dopamine, corticosteroids, and bronchodilators, followed by fluid replacement, mechanical ventilation (MV), and administration of rFVIIa (75 mg/kg) with corticosteroids. The improvement was noted on day 3 and resolved completely by day 4. Hemoglobin dropped from 14.9 g/dl on admission to 11.7 g/dl on day 5, with no evidence of bleeding in other sites. Two weeks later, he was put off of the artificial respirator. After 1 month, the chest X-ray was normal []. He was transferred to a rehabilitation hospital after 6 weeks of hospitalization with modified Rankin scale (mRS) score of 3.</t>
  </si>
  <si>
    <t>The patient that admitted into our department was a 75-year-old male, diagnosed with osteoporosis by DXA examination, his serum CTX, P1NP and OC were 0.78 μg/L, 200.70 μg/L, and 24.47 μg/L, respectively. He had a history of 15-year hypertension and 10-year chronic AF. Ten months earlier, he suffered from abrupt dizziness accompanied with nausea and vomiting, right limb dysfunction when he went to the toilet at night. CT scans showed ‘the left basal ganglia infarction foci’. After that, warfarin sodium tablet was orally taken 3 mg/day. The patient's INR was 2.70 when he was admitted into our department. Alendronate sodium tablets were prescribed to the patient at 70 mg once a week. It turned out that the patient serum INR increased from 2.70 to 4.69 at the first 24 hours, the oral taken of alendronate sodium tablets was stopped immediately. Then the patient's serum INR fell to 4.34 at 48 hours; he also had spontaneous ecchymoses and petechiae in the skin during the fluctuation of INR. However, the ecchymoses and petechiae gradually vanished at the following days and INR decreased to 3.32 at the fifth day. The patients denied taken other medication except for warfarin sodium and alendronate sodium tablets, he also denied significant diet change.</t>
  </si>
  <si>
    <t>A 56-year-old woman with a significant history of RCA stenosis with prior bare metal stenting, hypertension, diabetes, dyslipidemia, smoking, and paroxysmal atrial fibrillation presented to the emergency department with anginal chest pain. Initial work up showed significant elevation of cardiac troponin T with T-wave inversion in the inferior leads. She subsequently underwent cardiac catheterization. Coronary angiography revealed a 90% stenosis of the midportion of RCA with patent stent at distal portion of RCA (Figure , ) and only mild disease in left anterior descending coronary and left circumflex coronary arteries. An everolimus-eluting stent, 2.5 mm × 23 mm, was placed in the stenosis of midportion of RCA. Immediately after these interventions, thrombus developed and occluded SN artery. It originated from the proximal one third portion of RCA. Electrocardiographic monitoring showed junctional escape rhythm without P waves at a heart rate of 30 beats/min, suggesting sinus arrest (Figure ). To prevent severe bradycardia and hypotension, transvenous temporary pacemaker was placed. The patient remained asymptomatic and without hypotension. The clot in the SN artery was identified and thrombectomy was performed. Within five minutes after intervention, Thrombolysis In Myocardial Infarction (TIMI) flow 3 was observed in the SN artery within 5 minutes and the transvenous temporary pacer was removed. Electrocardiogram revealed persistent junctional escape rhythm for 5 days after revascularization, with restoration of sinus rhythm on the sixth day. Heart rate showed a gradual improvement and the patient maintained a stable heart rate at 60 beats per minute. The patient remained hemodynamically stable without further need for temporary pacing. Pre-discharge exercise stress test had shown 50% predicted heart rate at 100 beats per minute, without ST segment change.</t>
  </si>
  <si>
    <t>DH 21-year-old primigravida presented for her booking visit at 11+2/40. Her history was notable for a background history of congenital biliary atresia (BA). She had undergone an early Kasai portoenterostomy with Roux-en-Y anastomosis in the early neonatal period. Her subsequent postoperative course was complicated by two episodes of cholangitis. By the age of two she had developed portal hypertension resulting in secondary thrombocytopenia due to hypersplenism. She had developed esophageal varices requiring annual sclerotherapy until the age of sixteen when she underwent variceal banding. Her vaccinations were up-to-date.
General findings on presentation at 11 weeks revealed icterus with scattered spider naevi. On abdominal inspection there was an upper abdominal scar from her prior surgery and on palpation the spleen was enlarged extending to below the level of the umbilicus; there was no evidence of ascites.
An ultrasound confirmed her estimated date of delivery. She was referred to the medical clinic at the hospital to provide a multidisciplinary team input to her care.
At sixteen weeks she developed an episode of cholangitis and she was treated with intravenous antibiotics for seven days. A liver ultrasound was performed. This revealed absence of intrahepatic dilatation with multiple periportal and peripancreatic varices and 14 cm splenomegaly. During the pregnancy her platelets remained low (29–55 × 109 L) and hemoglobin ranged from 8.8 to 10.5 g/dL. Her transaminases were marginally elevated (AST/ALT, 46/67) and coagulation parameters were normal. Significant concern remained about her thrombocytopenia and degree of hypersplenism.
A multidisciplinary meeting was convened with hepatology, hepatobiliary surgery, and interventional radiology. Concerns for this patient included her significant splenomegaly and thrombocytopenia, risk of recurrent cholangitis, potential for massive variceal hemorrhage, and potential for preterm delivery, either spontaneous or iatrogenic. Abdominal delivery would also be compromised by large venous anastomoses in the anterior abdominal wall. A plan for management of gastrointestinal hemorrhage was outlined. Further imaging of her portal vessels was recommended as this would inform the interventional radiologists as to which was the optimum surgical intervention should bleeding develop from intraabdominal varices. The option of a splenectomy in pregnancy was excluded as this was deemed likely to cause portal vein thrombosis and would compromise any future candidacy for liver transplantation. At twenty weeks she underwent MR venography of the portal vessels. Her spleen measured 23 cm, there was evidence of extensive splenic and esophageal varices, and no lienorenal shunt was identified.
She had bimonthly antenatal visits with her obstetrical and hepatology teams. Her anatomy scan was within normal limits with a well-grown fetus on the 31st centile. Due to the complexity of the case and the potential for preterm delivery she received two doses of betamethasone at twenty-six weeks of gestation to aid lung maturation.
At 26+3 she presented to the maternity hospital with vaginal bleeding, suprapubic pressure, and uterine contractions for 24 hours with increasing intensity and duration. The fundal height was consistent with 26 weeks of pregnancy and cardiotocography was reassuring. Sterile speculum examination confirmed that the cervix was 5 cm dilated and fully effaced and the amniotic membranes were bulging through the cervix. A bedside ultrasound scan confirmed a breech presentation. Her platelet count was 33 × 109/L. Following consultation with perioperative medicine, the hepatobiliary team, and neonatology the decision was made to perform an emergency caesarean section. It had been planned to perform her surgery in a general hospital; however, due to the acute nature of her presentation the caesarean section was undertaken in the obstetric facility, with hepatobiliary surgery and interventional radiology on standby in the general hospital. Pooled platelets were administered immediately prior to surgery. Magnesium sulphate was administered to provide fetal neuroprotection. The caesarean section was performed via a vertical subumbilical incision, with a lower segment transverse incision on the uterus. The vertical incision was utilized both to provide greater access to the abdominal cavity should bleeding occur, either from the uterus or the varices, and to avoid large venous collaterals running vertically in the abdominal wall. A live male baby was delivered by breech extraction and transferred to the pediatric team following delayed cord clamping of 45 seconds. Apgar's scores were 61, 65, and 710; the cord blood gases were pH 7.27 (arterial) 7.29 (venous). The infant weighed 890 grams. The remainder of the surgery was uneventful. Perioperatively she received a further pooled platelet transfusion with good hemostasis and no transfusion of packed red cells was required. Her baby was transferred to intensive care and initially required CPAP. He had an uncomplicated neonatal course. Histology of the placenta was unremarkable. The patient had an uneventful postpartum course. She was advised against further pregnancies in view of her significant risks and underwent insertion of a levonorgestrel coil at three months postpartum for contraceptive purposes and she is currently awaiting liver transplantation. Despite the premature gestational age, the infant had an essentially uneventful postnatal course. He was discharged home at ten weeks of age and as a one-year-old boy he has met all his expected developmental milestones.</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</si>
  <si>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</si>
  <si>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A 90-year-old African American female with a history of type 2 diabetes, essential hypertension, deep venous thrombosis, pulmonary embolism, and atrial flutter on chronic anticoagulation with apixaban presented for new-onset general tonic-clonic seizures, witnessed by her family. The patient had been bed-bound from arthritis in a nursing home, but her mental status had been intact. The patient had recently been hospitalized over 3 weeks ago for COVID-19 pneumonia and was discharged home with home hospice one week before readmission.
According to her family, the patient's mental status had severely declined during her previous hospitalization with COVID-19. She developed staring spells after discharge that culminated into generalized tonic-clonic seizures on the day of the current admission. The episode lasted two seconds. Per her hospice nurse, blood pressures and blood glucose were well controlled at home. The home medications were thoroughly reviewed and found not to have any typical pharmacologic culprits. When she presented to the emergency department, she had two more witnessed seizures. Her blood pressure during this episode was 227/95 mm Hg, her heart rate was 98 beats/min, the temperature was 36.7°C, her respiratory rate was 16 breaths/min, and oxygen saturation was 93% while she breathed room air. Intravenous labetalol, lorazepam, and levetiracetam were administered. Her blood pressure decreased to 160/70 mm Hg and remained well controlled during her hospitalization. Head CT and basic laboratory work () were unremarkable. Her physical exam was notable for postictal confusion. She was alert and only oriented to person. An electroencephalogram (EEG) detected no evidence of seizure or epileptiform discharges, but generalized slowing with an intermittent focal slowing in the bilateral temporal regions was noticed (). Brain MRI demonstrated subcortical and cortical FLAIR signal abnormality involving the left greater than right parieto-occipital lobes and the left temporal lobe, in a pattern most compatible with posterior reversible encephalopathy syndrome (PRES) (Figures –). There was no acute intracranial hemorrhage or infarction.
The patient had no further seizures after being treated with levetiracetam. Her mental state gradually returned to normal. She became more eager to participate in physical therapy and be more independent. She set a goal to walk without her walker and to cook for her family and friends. Her family was pleasantly surprised by this improvement in her mentation. She had no further seizure activity in the hospital and was discharged back home with home care services. She is doing well six months after discharge, is seizure-free, and follows her scheduled appointments. Follow-up MRI four months later after presentation showed complete or near resolution of the lesions (Figures –).
No written consent has been obtained from the patient as there is no patient identifiable data included in the case report.</t>
  </si>
  <si>
    <t>A 55-year-old right-handed male presented to the emergency department after a syncopal episode. He was teaching a karate class when a coworker saw him fall to the ground. He spontaneously regained consciousness after a few seconds but was confused for ∼15–20 min. He had no recollection of the event, and was hemodynamically stable and neurologically intact. He denied illicit drug use. Vitals, physical examination and laboratory studies were within normal limits. ECG showed normal sinus rhythm with normal PR and QT intervals and no ST-T wave changes. He was on no AV blocking agents. Head CT showed no intracranial bleed or mass lesion.
He had a history of five similar episodes in the past. During the last episode, he had been noted to have sinus arrest on telemetry and underwent single atrial lead pacemaker placement. The pacemaker was programmed to AAI mode. AV conduction was tested and was normal. Coronary angiogram showed no evidence of coronary artery disease. EEG had been minimally abnormal with left temporal theta slowing, suggestive of an area of neurophysiologic dysfunction, but no epileptiform activity was noted. He had no history of febrile seizures, central nervous system infection or cranial trauma.
The patient was admitted for further work up. Continuous EEG monitoring was ordered to evaluate for seizure activity. At ∼7 min and 36 s, the patient started to have recurrent automatisms and became unresponsive, with the EEG showing complex partial seizure activity emanating from the left anterior temporal region with continued post-ictal right temporal delta slowing. The seizure lasted ∼1 min. The simultaneous ECG lead demonstrated heart rate slowing toward the end of the seizure episode, with the rhythm changing from sinus to atrially paced at 60 beats min−1 with 1:1 conduction, to atrially paced with 2:1 AV block, followed by complete heart block for 4 s, followed by resumption of the baseline atrially paced rhythm with 1:1 conduction (Fig. ).
Cardiac electrophysiology recommended treating the seizure episodes before considering upgrade of the pacemaker to a dual-chamber device. The patient was started and subsequently discharged on levetiracetam. More than 15 months later, he has had no seizures or syncopal events.</t>
  </si>
  <si>
    <t>A 63-year-old man with history of hypertension and glucose intolerance since age 59 years was emergently admitted to our Institution from a peripheral Hospital for evaluation of a severe, constant posterior chest pain, radiating forward, and dyspnoea with a suspected diagnosis of acute aortic dissection.
On physical examination the patient was not shocked, his pulse was 87 beats/min, blood pressure 150/105 mmHg. He had truncal obesity, a "moon face" and proximal muscle weakness. An electrocardiogram showed left ventricular hypertrophy. His laboratory work-up revealed anaemia (Hb 10.7 g/dl), hypokaliemia (3.4 mEq/L), metabolic alkalosis (HCO3- 35 mmol/L) and hyperglycaemia (170 mg/dl). A CT scan of thorax and abdomen demonstrated a dissection starting just below left succlavian artery and extending downward to the left renal artery, involving the celiac tripod and superior mesenteric artery (). The dissection was classified as Stanford B, De Bakey III. Moreover CT scan of abdomen revealed incidentally a left adrenal tumour of 25 mm of diameter.
The patient was pharmacologically treated and was felt at risk for impending aortic rupture. Therefore, an emergent endograft positioning was planned. Our goal was to exclude the damaged segment of the aorta and to obliterate the entry of blood into the false lumen (both at the initial intimal tear and at the secondary tears along the vessel). Through an inguinal incision, the right common, superficial and profunda femoral artery were dissected free. A prosthetic graft (Valiant, Medtronic, Sunnyvale, CA, USA 42 mm x 198 mm) was placed just below the origin of the left succlavian artery up to the diaphragmatic hiatus. A postoperative control CT scan demonstrated the correct graft positioning, not endoleaks and the closure of all secondary tears ().
This patient was evaluated for hypercortisolism and the plasma cortisol was increased to 33.9 μg/dl (vn, value of normal, 5.6-23 μg/dl) without circadian rhythm and not suppressed by the administration of 1 mg of dexamethasone (overnight text: 9.8 μg/dl; vn &lt;1.8 μg/dl ). The plasma adrenocorticotropic hormone (ACTH) was less than 10 pg/ml (vn 12-60 pg/ml) and 24h urinary free cortisol excretion (UFC) was elevated 465.6 μg/24 h (vn 26-135 μg/24h ).
A MRI of abdomen was performed to have a more accurate evaluation of the adrenal mass, it was of 2 cm of diameter, well capsulated, hyperintense in T1 sequences with a normal reduction of signal in T2 weighted sequences ().
A diagnosis of CS was made on basis of the endocrinological tests and for the presence of left adrenocortical lesion. Via laparotomic approach, a left adrenalectomy was performed during intravenous replacement of hydrocortisone, ACE-inhibitor, aspirin and insulin therapy.
Six months after adrenalectomy, blood pressure was controlled (135/75 mmHg) with anti-hypertensive therapy, laboratory analysis revealed glycaemia 102 mg/dl, glycated haemoglobin (HbA1c) 5.7%, potassium 4.26 mEq/l, sodium 139.7 mEq/L, plasma creatinine 1.05 g/dl, a.m. plasma cortiso l9.7 μg/dl, plasma ACTH 28 pg/ml and UFC 45 μg/24h.</t>
  </si>
  <si>
    <t>A 59-year-old man diagnosed with obstructive hydrocephalus was scheduled for an ETV. The patient had a medical history of well-controlled diabetes mellitus and hypertension that was being treated with an angiotensin receptor blocker, a calcium channel blocker, and a beta blocker. The body mass index was 33.8, but he had no respiratory symptoms, including sleep apnea. A preoperative chest X-ray showed mild cardiomegaly but electrocardiography and echocardiogram findings were normal. The patient's symptoms were amnesia, gait disturbance, and urinary incontinence that had persisted for 5 months; preoperatively, he was alert and cooperative and had no problem communicating. The preoperative vital signs were: blood pressure, 110/70 mmHg; heart rate, 59 beats/min; respiratory rate, 18 breaths/min; and oxygen saturation, 96%. Since the appearance of the patient suggested a possible difficult intubation, a video laryngoscope was used for tracheal intubation after induction of general anesthesia with 150 mg propofol 1%, 40 mg lidocaine 2%, and 60 mg rocuronium. The vocal cord was clearly visible on the video laryngoscope and the intubation was accomplished without trauma or other difficulties. Anesthesia was maintained with 5% desflurane and 0.02 µg/kg/min remifentanil, and air with 50% oxygen. The surgery lasted 2 hours and required no additional muscle relaxants. During the surgery, there was sudden and sustained hypotension (mean blood pressure 52–57 mmHg) with bradycardia (heart rate 45–55 beats/min) that did not respond well to ephedrine; these complications began about 10 min after the beginning of the surgery and lasted for 25 min until a dopamine infusion was administered that restored normal blood pressure. Remifentanil infusion was discontinued at the onset of hypotension and bradycardia. After the purge of volatile agents at the end of the surgery, the train of four (TOF) count was 4, and the ratio was 50%, so 2 mg/kg of sugammadex was injected. The patient recovered muscle power within a few minutes, showing firm hand grip, head elevation, and mouth opening, and was fully obeying verbal commands, but was not opening his eyes. As he was alert and cooperative at that point and no other neurologic deficit was observed, the neurosurgeons thought that the inability to open his eyes was not related to the surgery. We relieved the bandage on the head in order to reduce the chance of unintended pressure or tension on the forehead, and suggested that further neurologic examinations be done after full recovery from anesthesia. Spontaneous respiration was present, showing expired tidal volumes reaching 500 ml each time, but was tachypneic; the patient's respiratory rate ranged from 40 to 50 breaths/min. This condition continued for 5 min, at which time the patient was extubated and transferred to the PACU under mask ventilation. The patient showed signs of inspiratory stridor, chest retractions, and hoarse voice after the extubation. The patient's accessory respiratory muscles were not involved in the hyperventilation. There was no crackle or wheezing clear on auscultation besides the inspiratory stridor, but the findings were not clear on account of the hoarse voice and the rapid and dynamic ventilation. An additional 2 mg/kg of sugammadex was injected in the PACU under the theory that the patient's upper airway was obstructed because of possible residual paralysis but the condition did not change. The patient was fully responsive to verbal commands but was still unable to open his eyes or hold his breath and he complained of feeling like he was choking despite the hyperventilation. Arterial blood gas analysis (ABGA) at that point showed: pH, 7.35; pCO2, 37 mmHg; pO2, 76 mmHg; HCO3, 20.4 mmol/L; and O2 saturation, 94%. The vital signs at that point were: blood pressure, 150/90 mmHg; heart rate, 110 beats/min; and respiratory rate, 44 breaths/min. Since tachypnea (40–50 breaths/min) persisted for 20 min in the PACU and oxygen saturation started to drop under 95%, 200 mg thiopental sodium and 100 mg succinylcholine were injected and endotracheal intubation was performed. Endotracheal suction was done immediately after intubation and there was no sputum or discharge. Auscultation right after the re-intubation sounded smooth, without crackle or wheezing, and the oxygen saturation rapidly corrected to 100%. Tachypnea persisted even under sedation after the succinylcholine wore off, so a central cause was suspected. Computed tomography (CT) revealed a massive pneumocephalus with pneumoventricle and hydrocephalus (). A chest X-ray taken after the brain CT showed no pathologic findings such as pulmonary edema, congestion, or pneumothorax. On the neurosurgeon's recommendation, the patient was transferred to the intensive care unit and was kept there for three days under mechanical ventilation with sedation with midazolam, cisatracurium, and rocuronium until the pneumocephalus and tachypnea spontaneously resolved. Follow-up chest radiographs were taken over the next 3 weeks and showed nothing abnormal. According to a pulmonology consultation, the tachypnea was not likely to have originated from pulmonary problems. ABGA results stayed within normal limits under fully controlled mechanical ventilation but showed hypoxemia when the patient gained spontaneous respiration during the sedative period before the resolution of the pneumocephalus. Since the follow-up chest X-rays showed no abnormal findings, pulmonary embolism evaluation including embolism CT and laboratory examinations, which also showed nothing abnormal, were done on the recommendation of a pulmonologist. When a follow-up brain CT showed resolution of the pneumocephalus on the 3rd day after the surgery, sedative and neuromuscular blocking agents were discontinued and the mechanical ventilation mode was switched to synchronized intermittent mandatory ventilation. The respiratory rate at that point ranged from 15 to 20 breaths/min and ABGA results remained normal when the patient gained consciousness and self-respiration, so the endotracheal tube was extubated. The patient is now (30 days post-operation) in the general ward; he is mentally alert and has stable vital signs but still is unable to open his eyes because of bilateral ptosis and is receiving conservative treatment.</t>
  </si>
  <si>
    <t>A 78-year-old female patient, temporarily admitted to the recovery department after ECT, developed atrial fibrillation and chest pain. Her medical history showed hypertension, severe depression and paroxysmal atrial fibrillation. Her ECG 3 months before ECT was completely normal. Immediately after ECT her blood pressure was 230/140 mmHg, but later decreased to 110/45 mmHg. Examination of heart and lungs revealed no abnormalities. The ECG showed atrial fibrillation with a ventricular rate of 140 beats/min and new negative T waves in leads I, II, aVL and V2-6. The second ECG showed sinus rhythm and persisting negative T-waves (Fig. ). Troponin T level was 0.02 μg/l (normal) and no other laboratory abnormalities were found. A differential diagnosis was made and the following possible causes were taken into account: post ECT, post tachycardia due to atrial fibrillation, severe hypertension or myocardial ischaemia. Since the patient reported to have had previous anginal complaints, coronary angiography was performed. In the left anterior descending artery two significant stenoses were identified in the proximal and the mid section, respectively. Furthermore, a stenosis was found in the right coronary artery. Due to her psychiatric condition, PCI was not performed and she was treated with anti-anginal medication and warfarin.</t>
  </si>
  <si>
    <t>A 62-year-old male presented to Samsung Medical Center with a 40-year history of paroxysmal palpitations. Although diagnosed with atrial septal defect (ASD) 30 years previously, the patient elected not to undergo surgical repair. Approximately 1 year prior, he began to visit the pediatric ward of Samsung Medical Center more frequently with symptoms of palpitations and dyspnea lasting 2 to 3 days and occurring in 2- to 3-month intervals. An electrocardiogram showed paroxysmal atrial fibrillation, and secundum-type ASD (22.3 mm) with a left-to-right shunt was diagnosed by echocardiogram. Device closure (Amplatzer septal occlude 28 mm; AGA Medical, Golden Valley, MN, USA) was then performed; however, 1 week after the procedure, the patient continued to experience dyspnea and chest pain after 10 to 20 minutes of walking. Sustained atrial fibrillation was seen on the electrocardiogram and 24-hour Holter monitor. Cardioversion was performed following hospitalization with the opinion that the persistent atrial fibrillation was due to device closure. The patient was discharged from the hospital after cardioversion to sinus rhythm at 100 J; however, the symptoms recurred. Since it was difficult to perform radiofrequency catheter ablation (RFCA) due to the recent device closure, the patient was referred to the thoracic surgery department for totally thoracoscopic ablation. Surgery was performed under routine procedures. Intubation was performed using a double lumen endotracheal tube. For the surgery, a 10-mm trocar was inserted in the fourth intercostal space (ICS) of the right anterior axillary line, a 5-mm trocar in the third ICS along the anterior axillary line, and a 10-mm trocar in the sixth ICS on the mid-axillary line. Right pulmonary vein ablation, right ganglionated plexi ablation, and ablation of the right half of the space between the right lower pulmonary vein and the left lower pulmonary vein were performed. Between the procedures, we conducted a high-frequency stimulation test for finding ganglionated plexi. Sutures were placed after chest tube insertion. On the left side, ports were placed in the same positions, and ablations were performed in the same order as on the right side after dividing Marshall’s ligament (). A left atrial auricle resection was then performed using an Echelon Flex 60 articulating endoscopic linear cutter (Ethicon Endo-Surgery Inc., Cincinnati, OH, USA). Upon confirmation of the conversion to sinus rhythm, the patient was transferred to the intensive care unit. He was then transferred to the general ward on postoperative day 1 and discharged from the hospital on postoperative day 6. During this 6-day postoperative period, the sinus rhythm was maintained continuously. Six months later, the sinus rhythm was seen on the 24-hour Holter monitor; the patient showed none of the earlier symptoms, and therefore, amiodarone and warfarin were stopped. The patient is currently being followed as an outpatient, and his sinus rhythm has been well maintained as seen on the last electrocardiogram at the 8 month follow-up.</t>
  </si>
  <si>
    <t>Straightforward.</t>
  </si>
  <si>
    <t>A 73-year-old female presented with a chief complaint for evaluation of an incidental finding of peripancreatic lymph node.
She underwent computed tomography (CT) of the abdomen and pelvis as part of her routine surveillance for extranodal marginal zone B-cell lymphoma of mucosa-associated lymphoid tissue (MALT-lymphoma) of the lung and was found to have peripancreatic lymph node. She denied any abdominal pain, change in bowel habit, weight loss, nausea, or vomiting.
Her medical history was significant for MALT-lymphoma, invasive lobular breast carcinoma, hypertension, atrial fibrillation, mitral valve prolapse, mitral valve stenosis, and actinic keratosis. Her surgical history included a mastectomy with sentinel lymph node dissection, laparoscopic cholecystectomy, tonsillectomy, left knee replacement, and bilateral carpal tunnel repair.
Her family history was significant for colon cancer in maternal grandmother at the age of 65 years, prostate cancer in brother at the age of 63 years, and melanoma in mother. She had no history of alcohol or tobacco abuse. She has 2 children and attained menopause at the age of 52 years. Her medications included aspirin, furosemide, carvedilol, rosuvastatin, amiodarone, digoxin, anastrozole, and Eliquis.
Her physical examination was unremarkable, and her abdomen was soft nontender, nondistended with no palpable mass.
Laboratory exam including fractionated metanephrines, chromogranin, and gastrin were negative.
CT of the abdomen and pelvis showed 2 cm × 1.1 cm lymph node adjacent to the pancreatic head (Figure ).
EUS showed a 19 mm × 11.5 mm hypoechoic lesion near the pancreatic head (Figure ). Two FNA passes using a 25-gauge needle were performed via transduodenal approach (Figure ).
Direct FNA smears showed tumor with neuroendocrine features. Initial immunoperoxidase stains performed on cell block sections were positive for synaptophysin and chromogranin, which seemed to confirm the morphologic impression of PNET. The pathologist was subsequently informed about the peripancreatic location and lack of a definite pancreatic lesion.</t>
  </si>
  <si>
    <t>The patient was a 76-year-old man with a history of mild dysphasia. He had a prior history of cerebral infarctions (x3) at the age of 66, 74 and 75 years, with a first instance of swallowing difficulties after the third stroke. At that time, dysphasia rehabilitation was initiated within 3 days of the stroke, and he recovered the ability to eat a regular meal within 2 weeks. In January 2018, 1-year after his last stroke, he underwent surgery for spinal stenosis, followed by a 10-day period of bedrest. His physical activity level subsequently declined due to back pain, and he lost 10 kg within the 10 months after surgery. Swallowing difficulties re-emerged in September 2018, with the patient only able to tolerate soft meals. His dysphasia worsened, with an increase in sputum and development of a chronic cough.
His medical history included cerebral infarctions (x3), diabetes mellitus, spinal stenosis, and hypertension. His height was 168.8 cm, with a body weight of 56.5 kg. He had a right hemiplegia, with the following functional measures: grip strength, 25 kg; gait speed, 0.7 m/s, assessed using the 5-m walk test; and skeletal mass index, 6.6 kg/m2. His score of 5 points on the Mini Nutritional Assessment Short Form was indicative of malnourishment. Absence of another cerebral infarct was confirmed by magnetic resonance imaging. Video-endoscopic swallowing assessment showed saliva pooling in the pharynx, widening of the pharyngeal space, vallecular and pyriform sinus residue, and aspiration (A). Video-fluorography revealed a decrease in the forward movement of the larynx, a widened pharyngeal space, weakened pharyngeal constriction, vallecular and pyriform sinus residue, and aspiration (A–C). Functional swallowing scores were as follows: Hyodo score, 9; Fujishima grade, 6; FILS, 8; and dysphasia severity scale, 4. A probable diagnosis of sarcopenic dysphagia was made, based on the criteria defined by Mori et al. [] Clinical management included swallowing training, a high-protein diet, and nutritional guidance. The patient declined additional rehabilitation, due to his previous experience post-stroke. Therefore, we presented laryngeal suspension as a possible alternative treatment, which was performed in December 2018.
Laryngeal suspension was performed via a minimally invasive thyromadibulopexy, using two skin incisions: one (2-cm) incision at the level of the mandible and the other (3-cm) between the hyoid bone and the superior border of the thyroid cartilage (A). Identified the white line, divided aside the anterior cervical muscles, and exposed the thyroid cartilage. Also the mandible was exposed. Two holes in the mandibular and six holes in the thyroid cartilage was made by using drill. The thyroid cartilage was fixed to the mandible using No. 2 nylon. No. 2 nylon thread was passed through the Gore-tex sheet cut to the size of thyroid cartilage. And it was passed through the thyroid cartilage, subcutaneous tunnel on the hyoid bone, mandible, subcutaneous tunnel on the hyoid bone, and tied to the other side of the nylon. As the two holes of the middle of the thyroid cartilage, two No. 2 nylons was crossed to fix the thyroid cartilage and mandible. The larynx was suspended about one vertebral body by totally using five No. 2 nylons (B), confirmed by X-ray fluoroscopy. A 1-cm incision was performed for tracheotomy, and cuffed tracheal cannula was inserted for airway management.
Maintaining some neck flexion for a period of 1-week was conducted. Nutritional support was initiated via gastrostomy tube feeding. The cuffed tracheal cannula was changed to an uncuffed cannula on postoperative day (POD) 1. The wound was stable and there was no pain. Swallowing was initiated using jelly and cold tea, with the patient in a flat lateral position. The tracheal cannula was removed on POD 4. Video-fluorography revealed contrast agent residue in the vallecular but with a decrease in residue in the pyriform sinus compared to pre-operative measures, with no evidence of aspiration on POD 6 (A–C). Anterosuperior movement of the larynx was improved, reaching one vertebral level higher than before surgery. The swallowing reflex was maintained, with sufficient opening of the esophageal orifice, avoiding the need for mandibular protrusion to swallow. Swallowing using modified food was initiated in a sitting position on POD 6 and the gastrostomy tube was removed on POD 7. Video-endoscopic examination confirmed his ability to eat a rice cracker and noodles without aspiration and no evidence of pharyngeal residue on POD 11 (B). The patient was able to eat soft meals on POD 14, and a regular meal on POD 18, and was discharged on POD 21. The patient gained 2 kg in the 2 months after surgery, with improvement in functional scores: Hyodo score, 5; Fujishima grade, 8; FILS, 8; and dysphasia severity scale, 6. There was no exacerbation of the condition over a 10-month period after surgery, and the patient has a normal diet and is able to travel. Neck movement restriction was not severe.</t>
  </si>
  <si>
    <t>An obese 42-year-old African American male with diabetes mellitus, hypertension, heart failure with reduced ejection fraction, coronary arterial disease, and atrial fibrillation presented with new onset right-sided chest pain and a palpable right chest mass. Ultrasound showed an anterior right chest, well-demarcated 7.5 × 6.5 × 4.8 cm, intramuscular mass, 0.6 cm deep to the skin. CT demonstrated a 9x9x9cm necrotic mass arising from the pectoralis major. CT-guided core biopsy was positive for high-grade spindle cell neoplasm (positive for smooth muscle actin, desmin, S100, and CD31; negative for CD34, PAX8, and beta-catenin) and verified by two independent pathologists.
Unfortunately, the patient was lost to follow up after referral to Oncology and Thoracic Surgery. He presented to oncology clinic with progressive symptoms including a rapidly enlarging chest mass, increasing pain, and new onset chest wall numbness. A repeat CT showed that the mass increased in size to 21.4 × 17.8 × 13.7 cm without evidence of metastatic disease over course of two months. MRI was consistent with 23 cm mass within the right pectoralis major without vascular or bony invasion. The patient chose to undergo neoadjuvant chemotherapy given his multiple comorbidities. He was hesitant to pursue resection and elected to attempt to shrink the tumor before resection.
Patient underwent neoadjuvant chemotherapy with gemcitabine and docetaxel for 2 cycles followed by radiation therapy (50Gy over 2 months to tumor bed + 3 cm margins). Restaging CT showed a stable tumor at 23 cm without any evidence of local or distant metastases.
The patient returned to Thoracic surgery clinic to discuss options for resection and reconstruction. He then underwent wide local surgical resection for definitive therapy. Tumor was removed en bloc with resection to the intercostal fascia including pectoralis major and minor (Fig. ). There did not appear to be any violation of the intercostal investing fascia and no entry into the thoracic cavity was made. Negative pressure dressing was used until post-operative day 7 when Plastic Surgery performed advancement flap coverage and skin grafting to the &gt; 1,000cm2 defect (Fig. a, b).
Final pathology demonstrated 38x20x18 cm tumor with 70% gross necrosis and R0 resection. Microscopic examination confirmed high-grade sarcoma with smooth muscle differentiation (Fig. ). Final pathologic staging based on AJCC 7th edition was Stage III G3 pT2bNxMx.</t>
  </si>
  <si>
    <t>An 83-year-old male with a history of arterial hypertension and diabetes developed acute right-sided hemiparesis and fluent aphasia (NIHSS score on admission: 4). He arrived at our hospital 45 min later. On admission, his blood pressure was 160/70 mm Hg; atrial fibrillation was detected on electrocardiography. Cranial computed tomography (cCT) revealed no early signs of cerebral ischemia or intracranial hemorrhage (ICH). The patient was unable to self-report his drug history due to persisting aphasia. The INR measured by a commercial POC device was within normal range (1.00; normal 0.85-1.18). IVT (rt-PA 0.9 mg/kg) was initiated 80 min after symptom onset and before all laboratory findings were received. Around 20 min after IVT had commenced, coagulation parameters were normal [including INR (1.10), thrombin time (18.8 s; normal 14-21), partial thromboplastin time (34.8 s, normal 23-36) and platelet counts]. A follow-up cCT ruled out IVT-induced ICH and the patient fully recovered within 48 h (NIHS score: 0). At this stage, he was able to report regular intake of apixaban (Eliquis®, 2.5 mg t.i.d.) since April 2014 due to atrial fibrillation. The last apixaban tablet had been taken 13.5 h before IVT.</t>
  </si>
  <si>
    <t>Mean Arterial Pressure (MAP)</t>
  </si>
  <si>
    <t>What is patient's mean arterial pressure in mm Hg?</t>
  </si>
  <si>
    <t>A 46 year old male, a known hypertensive on treatment for the past 10 years, was diagnosed to have chronic renal failure 3 years ago. Consequently he progressed to ESRD and hemodialysis was initiated in December 2006 for the same, with the creation of a brachiocephalic arteriovenous fistula over the left arm. He has been undergoing regular thrice weekly hemodialysis since then. He is a school teacher by occupation. He had no past history of diabetes mellitus, hypothyroidism, coronary artery disease, or hepatic disease. No past history of Tuberculosis or TB contact. He is married and has two sons. He was a non-smoker and a non-alcoholic.
Over the past year, the artificial AV fistula enlarged in size to attain its current dimensions (Figure ). On 3rd June 2008, he presented to the emergency department of our tertiary care hospital with complaints of progressive breathlessness over the past 15 days. There was no history of associated chest pain, palpitations, syncope, cough, expectoration, or orthopnea.
On examination, he had pallor and bilateral pitting pedal edema. He was afebrile, with a pulse rate of 108/min, BP of 140/80 mmHg, respiratory rate of 28/min. A giant arteriovenous fistula was seen extending from the cubital fossa of the left arm up to the left supraclavicular region (Figure ). Respiratory system examination revealed stony dullness over the left mammary, infra-axillary and sub-scapular areas on percussion. On auscultation, there was decreased intensity of breath sounds over the above mentioned areas. Normal vesicular breath sounds were heard over all other areas. Other systems examination was unremarkable.
His blood investigations showed hemoglobin of 4.5 g/dl, BUN – 13 mg/dl, creatinine- 2.6 mg/dl, with other parameters being within normal limits. His coagulation profile was slightly deranged with a raised INR (Table ). Chest X-ray revealed a massive pleural effusion on the left side (Figure ). USG guided pleural aspiration revealed a hemorrhagic fluid. Pleural fluid analysis showed no WBCs, RBC – 5000/mm3 (normocytic 22%, crenated 88%), sugar – 70 mgs/dl, protein – 4.3 g/dl. Doppler study of the AV fistula showed a high peak velocity of 350 cms/sec, with no evidence of thrombosis or stenosis. In order to drain the hemorrhagic pleural effusion, an intercostal drain was placed. Patient was managed with 5 units packed red cell transfusion, oxygen and other supportive measures. With this presentation the possible cause for the left hemothorax was suspected to be due to the AV fistula. Hence after the patient was stabilized, the giant AV fistula was ligated on the 6th day after admission. Following ligation of the fistula, the patient's left sided pleural effusion decreased. The chest drain was removed after 7 days and patient was discharged after 3 more days. On follow up 6 weeks later, the patient did not have a recurrence of pleural effusion (Figure ). For further hemodialysis, the creation of a new fistula on his right arm has been planned.</t>
  </si>
  <si>
    <t>A 40-year-old unrestrained passenger is brought into the emergency room after a motor vehicle collision. The patient is awake and alert, though he complains of chest and back pain. Soon after he is brought in, the patient loses consciousness. His vitals are: Temperature 96 deg F (35.6 deg C), pulse 120/min, blood pressure 80/45 mmHg, and respirations 22/min. His physical exam is significant for bruising on his chest along with crepitus present with sternal palpation. His chest radiograph is shown in Figure A.</t>
  </si>
  <si>
    <t>We describe the case of a 70-year-old woman who developed sudden-onset vertical separation of images. This occurred only when she specifically gazed at a distance. For example, when she looked at a plant, she saw a double image that was completely vertically separated, without overlap. The bottom image was blurry and with color but of a similar size. It appeared ghostly and almost transparent. She could almost see through it; it was diaphanous. However, it did not disappear with either eye closed. The blurry second-bottom image disappeared only with the closure of both eyes or by looking away from the object. Hence, there was no evidence of palinopsia or bona fide diplopia. This phenomenon occurred for both stationary and moving objects. A moving truck was experienced as two vertically separated images, with the bottom image described as blurry. She knew that the bottom duplicated image was not real. The duplicated image was of the same size and receded as she approached it, as demonstrated by the patient's own original rendition (Figure ).
She denied any visual field loss or scotoma. The color perception was preserved. She denied photopsia, micropsia, macropsia, or metamorphopsia. Visual acuity was not diminished, and she was still able to read and write with ease. She denied a headache or weakness of the arms or legs. She saw an ophthalmologist who noted full ocular motion without any subtle ophthalmoparesis on double Maddox rod testing.
Her past medical history was significant for asthma and ulcerative colitis. Her medications included azathioprine, lansoprazole, mesalamine, and montelukast. Her mom had coronary artery disease and her dad had cerebrovascular disease. She was a non-smoker.
On examination, her blood pressure (BP) was 150/92 with a pulse of 71, which was regular. Her height is five feet with a weight of 185 pounds and a body mass index (BMI) of 36.1. The precordial examination was negative for a murmur and carotid bruits were absent in both internal carotid arteries. Her neurologic examination was non-revealing. Her gait station, cadence, and tandem walking were normal. Her cranial nerve examination was entirely normal. Specifically, the ocular motion was full without strabismus with a cover/uncover test and an alternate eye cover test. Accommodation was preserved without pupillary asymmetry, and visual field confrontation was normal. We were careful not to miss visual field neglect by sequential hemifield visual confrontation followed by simultaneous double hemifield confrontation. The rest of the cranial nerve function was normal. Visuomotor praxis was preserved with pantomime. No limb-kinetic or ideomotor apraxia was noted with coin deftness and transitive motor acts respectively. Ishihara plate color testing was normal. Power function was normal throughout and graded at 5/5 with the Medical Research Council (MRC) grading. Sensory examination was normal to graphesthesia and stereognosis in both hands. And deep tendon reflexes were symmetric and lively in the arms and legs. No dysmetria or intention tremor was noted in the arms. Heel to shin motion was normal in the legs bilaterally.
A magnetic resonance image (MRI) of the brain shows a diffusion-weighted image (DWI) hyperintensity involving the left mesial occipital lobe; striate cortex, V1, spilling over into the adjacent visual association cortex, V2, indicating an ischemic infarct (Figure ).
There was a corresponding hypointensity on gradient echo imaging (GRE) in the region of V2 (Figure ).
A carotid duplex scan was normal. A transcranial Doppler (TCD) with a two Megahertz crystal with the insonation of temporal, transorbital, and sub-occipital windows bilaterally showed monophasic waveforms with no high-velocity jets, which was normal. Due to the embolic nature of the ischemic infarct and a normal event monitor, a cardiac loop monitor was implanted to rule out paroxysmal atrial fibrillation. A transthoracic echocardiogram with a bubble study did not reveal a patent foramen ovale or any evidence of cardiac vegetations or intra-cavitary thrombus. The automated Humphrey visual field test showed a subtle and patchy incongruous right homonymous hemianopia (Figure ); the patient herself did not notice any visual field deficits.
The patient was defaulted to 81 milligrams (mg) of aspirin daily.</t>
  </si>
  <si>
    <t>A 10-year-old male patient was brought to our department with premature pubarche and onset of facial acne at the age of 8 years and increase in penis size at the age of 9 years. Concomitantly, he had a progressive, gradually worsening holocranial headache associated with drowsiness and loss of appetite. The patient denied deterioration of vision. Previously, he was a healthy patient, born by spontaneous vaginal delivery at term weighing 3510 g and measuring 50 cm. He was breastfed for 3 months and had normal neuropsychomotor development. The patient had no family history of endocrine disorders, sexual precocity, or consanguinity. The mother's and father's self-reported height was 155 cm and 175 cm respectively. Physical examination revealed height of 148 cm (90-95th percentile), weight of 39 kg (75-90th percentile), blood pressure of 90/60 mmHg, heart rate of 60 beats per minute, facial acne, abdominal fat deposition in the periumbilical region, bilateral, symmetrical and prepubertal sized (3 mL) testes within the scrotum, 8-cm long penis, and Tanner stage P3-G2. Papilledema was detected on fundoscopy.
Magnetic resonance imaging (MRI) of the brain showed a large, hyperintense tumor in the suprasellar region, with hypodense areas inside the tumor, which was located in the anterior third ventricle, measuring 3 cm in the largest diameter and causing triventricular dilatation []. Radiographs of the hands and wrists revealed significant acceleration of bone age (BA) in relation to chronological age (CA) (BA: 13 years; CA: 10 years and 8 months; standard deviation: 10 months). MRI of the abdomen yielded normal results. Laboratory tests revealed that the values for serum glucose, albumin, calcium, sodium, potassium, renal function, and liver function were within the normal limits. Hormonal tests showed increased hCG levels in both blood and cerebrospinal fluid (CSF), increased total testosterone levels, and hypopituitarism (unresponsiveness to gonadorelin stimulation test) []. The results of tumor marker tests are also described in .
The patient was diagnosed with an hCG- and testosterone-producing tumor associated with hypopituitarism and intracranial hypertension. Hormone replacement therapy was initiated with levothyroxine and hydrocortisone, and transcranial surgery was performed. Anatomopathologic examination confirmed the diagnosis of germinoma []]. Radiotherapy was performed after surgical resection of the tumor. The patient showed complete regression of sexual characteristics and acne, with normal laboratory tests post-operatively.</t>
  </si>
  <si>
    <t>An 82-year-old Japanese man was transferred to the emergency unit of Shimada Municipal Hospital, Shimada, Shizuoka, Japan, with complaints of severe watery diarrhea and hematochezia. The patient had suffered from hypertension and hyperlipidemia since the age of 50. He had undergone total hip replacement for right femoral head fracture caused by a traffic accident at the age of 71, and he received a surgical procedure for lumber spinal stenosis at the age of 74. Borderline diabetes mellitus with HbA1c levels ranging from 6.0% to 6.6% was pointed out since the age of 72, while the blood glucose level remained within a normal range. At the age of 76, the diagnosis of hypertensive and diabetic chronic kidney disease was made. The patient suffered from pneumonia when he was 78 years old. One year before admission, an infected cyst (abscess) around the right femoral prosthesis was indicated by fluorodeoxyglucose-positron emission tomography. Staphylococcus aureus was cultured, and the first and third-generation Cefem plus new quinolone were continuously administered. Three months before admission, continuous drainage from the infected lesion was conducted. No gastrointestinal complaints were recorded prior to the final admission.
His watery diarrhea was severe, more than 10 times a day, and hematochezia was associated. The body temperature was 37.5°C, blood pressure 138/90 mm Hg, heart rate 100 beats per minute, and oxygen saturation 96% while breathing ambient air. The body weight was 57.0 kg with a body mass index at 22.0. Systolic heart murmur was auscultated. The abdomen was soft with weak bowel sounds. There was tenderness of the whole abdomen on palpation, without guarding, rigidity, distention, or mass formation. Main results of laboratory tests on admission included the following: white blood cells 4400/μL, hemoglobin 13.3 g/dL, platelets 305 000/μL, Na 135 mmol/L, K 3.6 mmol/L, Cl 102 mmol/L, Ca 6.4 mg/dL, Pi 4.6 mg/dL, albumin 1.8 g/dL, blood urea nitrogen 49.9 mg/dL, creatinine 5.3 mg/dL, and C-reactive protein 26.1 mg/dL. The electrocardiogram showed a normal sinus rhythm with long PR and QT intervals. Deterioration of renal functions for the last 10-year period is illustrated in Figure . For the last 3 months, hemodialysis was needed.
Plain and contrast-enhanced computed tomography scans, performed on the first and eighth days of hospitalization, respectively, indicated significant ischemic changes of the sigmoid colon through the rectum with wall thickening of the sigmoid colon, ascites retention, bilateral pleural effusions, and mild renal atrophy. Colonofiberscopy indicated diverticulosis in the sigmoid colon and ischemic changes and erosions of the stenotic sigmoid colon through rectum (Figure ). Microbiologically, the stool proved normal flora, and fecal Clostridium difficile toxin test and blood microbial culture were negative. The clinical diagnosis of ischemic and infectious colitis secondary to the long-term usage of antibiotics was made. Intravenous infusion of ceftriaxone for 5 days was chosen empirically because it is metabolized in the liver. However, it was ineffective for relieving diarrhea and colitis, and then meropenem was chosen for controlling the intractable colonic symptoms. Inflammation peaked out 14 days after the treatment, but soon, the inflammatory reaction and diarrhea re-exacerbated. The patient expired 26 days after admission. No free air was observed in the abdominal cavity on the contrast-enhanced computed tomography scan 3 days before death.
The autopsy was conducted 6 hours after death. In the sigmoid colon, fibrosing and adhesive diverticulitis with mucosal ischemic changes and erosions were grossly observed. Microscopically, eosinophilic hyaline material was deposited throughout the gut wall. The deposits were congophilic. Immunohistochemically, amyloid A, visualized by the monoclonal antibody mc-1 against serum amyloid A1 (SAA1), was identified in the lamina propria mucosae through the subserosa, including diverticular and vascular walls (Figure ). In the prepylorus of the stomach, a large perforating ulcer measuring 12 mm was found, and purulent peritonitis with turbid ascites was associated (Figure ). Candida infection was microscopically demonstrated on the involved mucosa and serosa at the site of gastric perforation (Figure ). Candida albicans were cultured from turbid ascitic fluid containing a total of 1150 mL. Candidal esophagitis was also noted. Deposition of amyloid A was evident in the gastric mucosa through the subserosa, and the amyloid deposition was especially prominent and seen in the full-thickness of the mucosa at the site of gastric perforation (Figure ). Amyloid A was also diffusely deposited in the wall of the esophagus through the rectum. Pleural effusion was associated (left: 150 mL, right: 300 mL).
Systemic congophilic deposition of amyloid A was further demonstrated in the tongue, salivary gland, thyroid gland, lung, heart, pancreas, splenic white pulp, adrenal glands, kidney, urinary bladder, and ureter. The deposition was especially pronounced in the thyroid gland (38 g) and urinary tract.
Atrophic kidneys weighed 72 g (left) and 73 g (right). Microscopically, amyloid A deposits caused amyloid glomerulopathy in association with vascular wall involvement. Features of diabetic glomerulosclerosis were indistinct because of marked amyloid deposition, while arteriolosclerosis was observed. Pancreatic islets focally showed diabetes-related localized hyaline (amyloid) deposition. Characteristically, co-deposition of amyloid A and IgM in the renal glomerulus was demonstrated by immunostaining using formalin-fixed, paraffin-embedded sections after prolonged protease-1 digestion (Figure ). IgG and IgA were undetectable. The co-deposition of amyloid A and IgM was scarcely observed in the systemic amyloid A deposits outside the kidney (Figure ).
Most of the hepatocytes were immunostained with the anti-SAA1 monoclonal antibody mc-1. Cytoplasmic granular positivity was evident. The acinar cells of the pancreas and salivary gland were also positively stained. These findings indicated accelerated production of SAA1 protein by these cells as a prolonged inflammatory response (Figure ).
Another incidental finding included aortic stenosis caused by dystrophic calcification in the cusps of the aortic valve. Left ventricular hypertrophy (heart weight 415 g) was caused by both aortic stenosis and amyloid deposition. The aorta revealed severe atherosclerosis. The abscess lesion around the right femoral prosthesis was not evaluated.</t>
  </si>
  <si>
    <t>A 67-year-old woman has fallen from the second story level of her home while hanging laundry. She was brought to the emergency department immediately and presented with severe abdominal pain. The patient is anxious, and her hands and feet feel very cold to the touch. There is no evidence of bone fractures, superficial skin wounds, or a foreign body penetration. Her blood pressure is 102/67 mm Hg, respirations are 19/min, pulse is 87/min, and temperature is 36.7°C (98.0°F). Her abdominal exam reveals rigidity and severe tenderness. A Foley catheter and nasogastric tube are inserted. The central venous pressure (CVP) is 5 cm H2O. The medical history is significant for hypertension.</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</si>
  <si>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t>
  </si>
  <si>
    <t>A 50-year-old female patient with a known case of diabetes mellitus and end-stage renal disease due to hypertension was started on hemodialysis in March 2014. Permanent tunneled catheters were placed into the right internal jugular vein as the patient was not fit for AVF creation due to vascular occlusions.
On 7 April 2019, at the end of a dialysis session, the patient developed fever (39°C) and chills. Fever was documented at 39°C, was associated with chills and rigors, and was not responding to antipyretics. In the emergency department, the patient reported no change in weight, loss of appetite, or night sweats. She denied any history of respiratory, gastrointestinal, neurological symptoms. On examination, the temperature was 39°C, the blood pressure 150/75 mm Hg, the heart rate 110 beats per minute, and the respiratory rate 18 breaths per minute. The patient was fully conscious and oriented. The remainder of the general medical examination was normal.
She was admitted to our nephrology unit with possible source catheter-related blood stream infection. She was started on ceftazidime 2 gm IV once daily and vancomycin 1 gm IV Q HD as per the protocol. The white blood cell count was 13.3 × 103 cells, C-reactive protein was 278 mg/dl, and procalcitonin was 52.27. The electrocardiogram revealed sinus tachycardia, and chest radiography was negative.
Blood culture from venous and central catheters was sampled separately, and the causative microorganism was identified as a Gram-negative, motile, lactose-fermenting bacillus, which was identified by the Vitek MS automatic identification system using a GN card as Leclercia adecarboxylata. Antibiotic sensitivity testing using Vitek 2 showed that it is an extended-spectrum beta-lactamase producer. The results are summarized in (). The L. adecarboxylata strain was resistant to most beta-lactams, including narrow, expanded, and broad-spectrum cephalosporins. But it was susceptible to all quinolones and carbapenems tested.
The treatment regimen was changed to meropenem 500 mg IV once daily and gentamicin based on antibiotic susceptibility tests (ASTs) from blood cultures. This targeted therapy was successful, and the patient became afebrile. The patient received meropenem and gentamicin for two weeks, and then she was discharged in good condition.</t>
  </si>
  <si>
    <t>A 59-year-old man was admitted to the emergency department with a carrot in the rectum and mild lower abdominal discomfort. He had no specific history and denied homosexual identity. The patient's blood pressure was 132/78 mm Hg; pulse rate, 88/min; respiration rate, 18/min; and body temperature, 36.5℃. Abdominal examination revealed a soft and flat abdomen with normal bowel sounds. Digital rectal examination revealed the hard bottom of the carrot near the rectal angle and normal anal sphincter tone. His laboratory data were as follows: hemoglobin level, 14.7 g/dL; white blood cell count, 17,270/mm3; and CRP level, 6.55 mg/L. The results of evaluations for hepatitis B surface antigen, hepatitis C antibody, and HIV antibody were all negative. The foreign body was not observed on abdominal radiography, and no evidence of peritoneal or perirectal free air was observed ().
The carrot observed during endoscopy was deemed to be too large and heavy for removal using endoscopic devices. Hence, we decided to use tenaculum forceps from the start. By using the same techniques described previously, we were able to remove the carrot successfully (). The patient's abdominal discomfort subsided immediately, and he was discharged from the hospital.</t>
  </si>
  <si>
    <t>A 35-year-old man is brought to the emergency department 30 minutes after being involved in a motor vehicle collision. The patient was on his way to work before he lost control of his car and crashed into a tree. On arrival, the patient appears weak and lethargic. He has pain in his abdomen. His temperature is 37°C (98.6°F), pulse is 121/min, respirations are 22/min, and blood pressure is 85/60 mm Hg. He is oriented to person but not to place or time. The lungs are clear to auscultation. Cardiac examination shows tachycardia but no murmurs, rubs, or gallops. Abdominal examination shows several bruises above the umbilicus; there is diffuse abdominal tenderness. Focused assessment with sonography in trauma (FAST) is performed but the results are inconclusive.</t>
  </si>
  <si>
    <t>A 56-year-old man presents to the family medicine office since he has been having difficulty keeping his blood pressure under control for the past month. He has a significant medical history of hypertension, coronary artery disease, and diabetes mellitus. He has a prescription for losartan, atenolol, and metformin. The blood pressure is 178/100 mm Hg, the heart rate is 92/min, and the respiratory rate is 16/min. The physical examination is positive for a grade II holosystolic murmur at the left sternal border. He also has diminished sensation in his toes.</t>
  </si>
  <si>
    <t>A 34-year-old Surinamese female was referred to the Department of Vascular Medicine of our hospital because of right-sided blurred vision, caused by ischemic retinopathy and neovascularisation (Fig. ). Her medical history was remarkable for heterozygote alpha-thalassemia, but negative for thrombotic and recurrent infectious events. The family history was also negative for thrombotic events or bleeding tendency. The patient was not treated with anticoagulants or platelet inhibitors. Physical examination was normal (BMI 23.0 kg/m2, blood pressure 125/70 mmHg, heart rate 85/min, normal heart sounds, and no vascular murmurs). After the exclusion of hypertension, diabetes mellitus, vasculitis, hyperviscosity, and sickle cell disease, a thrombophilia workup was performed. All hemostatic laboratory parameters were found normal except for an increased protein S activity (179%) with high free protein S level (207%), despite a normal total protein S antigen level (98%) (Table ). This suggested that, in contrast to normal conditions, all protein S was free protein S, instead of 30–40% free and 60–70% bound protein S. High activity and antigen levels of free protein S were confirmed in a separate sample 3 months later. Clinically, a protein S deficiency is considered as a possible cause of hypercoagulation, which in turn could have led to the retinopathy. The incidental finding of elevated protein S levels were not considered explanatory of the condition. We did not initiate anticoagulation or thrombocyte aggregation inhibition. The patient's vision did not improve remarkably, nor did it deteriorate in the subsequent months after her initial visit.
The high free protein S level in the proband was caused by a reduced level of C4BP (18%), as measured with an ELISA against the α-chain of C4BP. To identify a possible molecular defect underlying the C4BP deficiency, we sequenced the protein-coding regions and exon/intron boundaries of C4BPA (encoding C4BPα, ) and C4BPB (encoding C4BPβ, ).
We identified two previously reported non-synonymous variants in C4BPA, that is, c.719G&gt;A (p.R240H), rs45574833 ((A=0.0140/1686 (ExAC), A = 0.0030/15 (1000 Genomes), A = 0.0095/124 (GO-ESP), A = 0.0078/227 (TOPMED)), and c.899T&gt;C (p.I300T), rs4844573 (C = 0.4014/47780 [ExAC], C = 0.4898/2453 [1000 Genomes], C = 0.4841/6296 [GO-ESP], T = 0.4689/13653 [TOPMED]).
In addition, we screened the father and brother for these mutations. Both are also Surinamese. Only p.I300T was present in the father (Fig. ). Both father and brother had normal free protein S levels. Mother, second sister, and second brother were unavailable for testing.
Discordant data concerning the association between C4BP polymorphisms and atypical hemolytic uremic syndrome have been reported , . Furthermore, these two variants have also been identified in women experiencing recurrent miscarriages, but due to equally high frequencies between patients and controls, the importance of these variants in this particular clinical situation may be questionable . No mutations were found in the C4BPB gene.
Because we could not find clear molecular defect in the C4BP gene responsible for the reduced expression, and a recent report indicated that binding of protein S to C4BP promotes cellular secretion of C4BP , we also sequenced the sex hormone-binding globulin (SHBG)-like region of protein S (), responsible for binding to C4BP using the previously published primers , . No mutations explaining a reduced binding of protein S to C4BP were found in the SHBG-domain of protein S.
Although the medical records did not report any use of vitamin K antagonist, we excluded the interference of any form of vitamin K antagonists by the measurement of coagulation factors II, VII, and X which were all normal, except for factor X which was slightly increased (163%) (Table ). Furthermore, there was no indication of reduced capacity of liver synthesis with normal antithrombin and factor V levels. Furthermore, we also did not find a clear effect of decreased C4BP levels on the complement route, with normal complement pathway activities (Table ).</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</si>
  <si>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</si>
  <si>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A 44-year-old man comes to the physician for a routine health maintenance examination. He had not seen his primary care physician for 7 years. He has no complaints other than feeling easily fatigued. He has no significant medical history. He reports drinking half a pint of liquor a day. His temperature is 98.7°F (37.1°C), pulse is 65/min, respiratory rate is 15/min, and blood pressure is 120/70 mm Hg. Physical examination shows reddish color to both of his palms. His abdomen has no focal tenderness but is difficult to assess due to distention.</t>
  </si>
  <si>
    <t>A 72-year-old woman presented to the emergency room with dyspnea and myalgia that developed 2 weeks after undergoing acupuncture therapy on both knees due to arthralgia. Vital signs on admission showed hypotension (80/40 mm Hg), tachycardia (118 beats per minute), tachypnea (20 per minute), and hypothermia (35℃). On physical examination, the patient had multiple needle scars on both knees with dappled rashes on her entire body (). Her laboratory results showed elevated white blood cell counts (10100/mm3), with neutrophil 88%, elevated high sensitive C-reactive protein level of 36 mg/dL (reference range, 0-0.5 mg/dL), blood urea nitrogen/creatinine 71/4.5 mg/dL, myoglobin 5169 ng/mL (reference range, 16.3-96.5 ng/dL), creatine kinase myocardial band 9.7 U/L (reference range, 0-3.6 U/L), Troponin I 0.28 ng/mL (re-ference range, 0-0.1 ng/mL). A chest radiograph showed cardiomegaly and an electrocardiography showed atrial fibrillation with rapid ventricular response. A transthoracic echocardiogram demonstrated concentric left ventricular hypertrophy with fluid collection in the posterolateral wall of the pericardium with no evidence of valvular vegetation or tamponade physiology (). Pericardial aspiration of the fluid revealed a bloody material () and cultures grew Staphylococcus aureus. Blood cultures showed staphylococcal bacteremia (). Lab analysis of aspiration fluid showed elevated white blood cell counts &gt;50000/mm3), with polymorph-onuclear neutrophil 90%, pH 7.3, glucose 5 mg/dL, lactate dehydrogenase 12397 U/L, albumin 2.4 g/dL and total protein 6.2 g/dL. Percutaneous drainage and empiric antibiotic treatment were started immediately. However, the patient expired due to refractory sepsis and organ failure.</t>
  </si>
  <si>
    <t>A 12-year-old girl, the youngest of three siblings, born of a nonconsanguineous marriage, and who had a normal perinatal history, was referred for evaluation of an incidentally detected cardiac murmur. There was failure to thrive but otherwise the patient was asymptomatic. There was no history of chest pain, syncope or palpitations. There was no family history of cardiac disease or genetic syndromes. The child had normal motor and mental development with normal intelligence. She had not attained menarche and her physical examination revealed short stature, craniofacial disproportion, shrunken facies, alopecia, prominent scalp veins, prominent eyes, micrognathia, a “beaked” nose, prominent and stiff joints, dystrophic nails, thin wrinkled skin and absent secondary sexual characteristics suggestive of a premature ageing syndrome [Figures and ]. The above-mentioned abnormal features were noted to appear after infancy.
The blood pressure was 128/92 mmHg, and all pulses were palpable, but feeble. There was bilateral carotid shudder. There was no brachiofemoral delay and clinical findings suggestive of severe aortic stenosis were present. Electrocardiography revealed left ventricular hypertrophy with a strain pattern. Echocardiography showed calcified aortic cusps with severe aortic stenosis (peak systolic gradient of 72 mmHg, mean gradient of 52 mmHg), mild aortic regurgitation and moderate mitral regurgitation []. There was concentric left ventricular hypertrophy with normal function (ejection fraction 57%). The aortic valve area was estimated to be 0.7 cm2. The patient's lipid profile revealed hypercholesterolemia with elevated low-density lipoprotein cholesterol and normal high-density lipoprotein cholesterol. It was decided to manage the patient conservatively as the outcome of aortic valve balloon dilatation/surgical replacement in this condition is not well documented and also because of the extremely fragile general condition of the patient.</t>
  </si>
  <si>
    <t>A 65-year-old African American woman was rushed to the hospital by ambulance following an episode of syncope at a community supermarket. She regained consciousness within a few minutes. There was no tongue biting, urinary incontinence, or postictal confusion. She reported some premonitory symptoms of warmth and sweating and gave a history of light-headedness, weakness, and fatigue over the last 2 weeks. She denied palpitations, chest pain, shortness of breath, fever, dizziness, or visual changes. She denied headache or weakness.
Over the last couple of months, she had multiple episodes of fall but no loss of consciousness. The falls were increasing in frequency over the last 2 weeks. She lived alone and had a history of hypertension for almost thirteen years for which she was noncompliant with her medications. She did not smoke, drink alcohol, or use any illicit drugs. Her mother had hypertension and died at the age of 80 years from heart disease.
On examination, her temperature was 37°C, the respiratory rate was 24 breaths per minute, and blood pressure while supine was 89/52 mm Hg, with a heart rate of 52 beats per minute; on standing, her blood pressure fell to 69/40 mm Hg, with a heart rate of 74 beats per minute. Her blood glucose level was 120 mg per deciliter. Oxygen saturation was 100 percent on 2 liters of oxygen via nasal cannula.
Physical evaluation showed no signs of head trauma. Her respiratory, cardiovascular, and abdominal examinations were unremarkable. Neurological examination showed decreased sensation to light touch in a stocking and glove distribution. Upper limb reflexes were brisk and lower limb reflexes were absent. Vibratory sensation and position sense were decreased in both upper and lower limbs. An extensor plantar response was noted bilaterally and Romberg's test was positive. There was hyperpigmentation of both palms with dark discoloration of the nails (). Axillary and pubic hair was normal in distribution and density. She was admitted to the hospital for further investigation and workup.
Contrast computed tomography (CT) of the head showed no obvious lesion. An electrocardiogram revealed sinus bradycardia at a rate of 50 beats per minute with no ST or T wave changes. A 24-hour holter monitoring was performed which revealed sinus bradycardia without other arrhythmias.
Her laboratory studies were as shown in .
Serum alcohol levels were undetectable and urine toxicology was negative. Esophagogastro-dudodenoscopy was performed and the gastric biopsy was suggestive of chronic atrophy of the body and fundus. The endoscopic findings were further reinforced by high serum levels of antibodies to intrinsic factor and gastric parietal cells confirming malabsorption of vitamin B12 due to lack of intrinsic factor. Thus, the diagnosis of pernicious anemia was established.
The patient was started on intramuscular injection of vitamin B12 (1,000 μg) daily for one week, then weekly for one month. She was later lost to followup, and posttreatment evaluation of the skin hyperpigmentation and neurological evaluation could not be done.</t>
  </si>
  <si>
    <t>A 48-year-old morbidly obese African-American male with a medical history of congestive heart failure, hypertension, obstructive sleep apnea on 2 l of home oxygen and non-complaint with continuous positive airway pressure at night presented to the emergency department (ED) with worsening shortness of breath and lower extremity oedema over one week. Vital signs in the ED were temperature, 98.7 degrees Fahrenheit; blood pressure, 116/66 mmHg; heart rate, 130 beats per minute; respiratory rate, 30; oxygen saturation, 85% on 2 l nasal cannula; weight, 162 kg and body mass index, 47. Physical examination revealed a morbidly obese male in acute respiratory distress with an irregularly irregular pulse and one plus lower extremity pitting oedema. Laboratory values in the ED include white blood cell count, 9 800/μl; haemoglobin, 14.2 g/dl; platelet count, 230 000/μl; sodium, 140 mEq/l; potassium, 4.5 mEq/l; chloride, 104 mEq/l; bicarbonate, 29 mEq/l; blood urea nitrogen (BUN), 38 mg/dl; creatinine, 1.4 mg/dl; glucose, 105 mg/dl; aspartate aminotransferase (AST), 51 U/l; alanine aminotransferase (ALT), 40 U/l; alkaline phosphatase, 68 U/l; total bilirubin, 1.5 mg/dl; albumin, 3.4 g/dl; total protein, 7.1 g/dl; international normalised ratio (INR), 1.2; myoglobin, 97 μg/l; troponin, 0.07 ng/ml and B-type natriuretic peptide, 934 pg/ml. Urine toxicology screen was positive for cocaine. Arterial blood gas showed a pH 7.33, paCO2 68.5 and paO2 88.6 on FiO2 of 40%. Electrocardiogram confirmed atrial fibrillation with a rapid ventricular response. Echocardiogram revealed a myopathic severely enlarged left ventricular chamber with moderate concentric left ventricular hypertrophy and severe global hypokinesis with an ejection fraction of 8 to 10%. The patient's work of breathing and oxygenation improved with Bipap. He was started on diltiazem and diuresis was initiated. The patient was admitted to the step-down unit with a new diagnosis of atrial fibrillation.
On hospital day number eight, the overnight nurse found the patient unresponsive. A code blue was called. His initial rhythm was ventricular fibrillation and he was shocked with 200 J twice before regaining pulses. When stabilised, he was transferred to the intensive care unit (ICU) where he regained consciousness and full neurologic function within one hour of the event. The following day, an automatic implantable cardioverter defibrillator (AICD) was placed. Intraoperatively, the patient had runs of ventricular tachycardia with hypotension to 80 mmHg systolic. Postoperatively, the patient was found to have a right fixed mid-dilated pupil, flaccid paralysis of the left arm and leg with hyperreflexia throughout the left side. Computed tomography (CT) of the head revealed a right midbrain and thalamic stroke thought to be secondary to transient arrhythmia-induced hypoperfusion, intraoperatively.
On postoperative day number three, after AICD placement and stroke, the patient acutely developed a rigid distended board-like abdomen with dullness to percussion. Vitals at that time were temperature, 98.4 degrees Fahrenheit; blood pressure, 112/67 mmHg; heart rate range, 55 beats per minute, and respiratory rate 26 on ventilator settings of assist control volume control with a rate of 26; tidal volume, 500 ml; FiO2, 40% and positive end-expiratory pressure of 5. His peak inspiratory pressure on the ventilator had risen from 26 to 72 mmHg; his plateau had risen from 15 to 48 mmHg with oxygen desaturation from 93 to 85%. The patient had received 1.5 l in and urinated 4.5 l over the 24 hours, leading up to this event. His laboratory values from that morning were unchanged from previous (white blood count, 10 400/μl; haemoglobin, 12.6 g/dl; platelets, 200 000/μl; sodium, 139 mEq/l; potassium, 4.7 mEq/l; chloride, 100 mEq/l; bicarbonate, 34 mEq/l; BUN, 36 mg/dl; creatinine, 1.41 mg/dl; glucose, 78 mg/dl; calcium, 8.3 mg/dl; magnesium, 2.0 mEq/l; phosphorus, 3.0 mg/dl; AST, 77 U/l; ALT, 94 U/l; alkaline phosphatase, 186 U/l; total bilirubin, 1.3 mg/dl). This constellation of findings prompted the team to measure an abdominal compartment pressure which was elevated to 53 cm H2O (40 mmHg) with an abdominal perfusion pressure (APP) of 42 mmHg. A CT scan of the abdomen and pelvis was performed which showed no dilated loops of bowel, no ileus, no evidence of free air, abscess or obstruction and minimal free fluid []. Pertinent labs from the event revealed a lactate of 1.0 mg/dl; lipase, 159 U/l; amylase, 76 U/l; creatinine, 1.53 mg/dl. Surgery was consulted and the FiO2 was increased to 100%, which improved his oxygen saturation to 96% despite his elevated peak inspiratory pressures.
Surgical recommendations were for an emergent bedside surgical abdominal decompression. The patient was administered 10 mg of intravenous cisatracurium besylate by anaesthesia in preparation for surgical management. Shortly following paralytic administration, his peak inspiratory pressure corrected from 72 to 23 mmHg, his plateau pressure from 48 to 16 mmHg and his oxygenation status tolerated a decrease in FiO2 down to 40% with his oxygen saturation returning to baseline. Measurement of his abdominal compartment pressure revealed a drop from 53 (40 mmHg) to 23 cm H2O (17 mmHg) and then normalised to 15 cm H20 (11 mmHg) over a three-hour period. During this entire event, the patient averaged 100 to 200 cc/hr of urine output and laboratory values from the following day showed a drop in creatinine from 1.53 to 1.29 mg/dl. Given this correction, surgical management was postponed and the patient was monitored. The patient remained hospitalised for an additional 73 days. He was ultimately transferred to a skilled nursing facility without return of symptoms.</t>
  </si>
  <si>
    <t>Patient A is a 30-year-old male who was admitted to the hospital after 10 days of cough, profuse nocturnal sweating and loss of appetite. He had traveled to India 1 months ago and has not any positive history of TB vaccination. He is a previously healthy man, working as an engineer in a high tech company. He doesn't smoke o use any illicit drugs. He was febrile (38 c) with heart rate of 115 b/min, respiratory rate of 22, BP of 125/75 mmHg and O2 sat of 97%. Chest X-ray showed infiltrate in the middle of left lung with diameter of 1.8 cm with signs of cavitation. The sputum smear revealed positive sputum culture for Mycobacterium tuberculosis which are sensitive of the first-line TB drugs (isoniazid, streptomycin, rifampicin and ethambutol). Lab study is reported bellow:
Hgb: 13 g/dl
WBC: 14000 /mm3
Plt: 300000 /ml
AST: 13 U/L
ALT: 15 U/L
Alk P: 53 U/L
Bill total: 0.6 mg/dl
Na: 137 mEq/l
K: 4 mEq/l
Creatinine: 0.5 mg/dl
BUN: 10 mg/dl
ESR: 120 mm/hr</t>
  </si>
  <si>
    <t>A 76-year-old man presented with typical chest pain and ST-elevation inferior MI. He was a smoker with diabetes and chronic kidney disease Class 3a with a glomerular filtration rate (GFR) 48 mL/min/m2. The hospital had no coronary intervention facilities, so he received thrombolytic therapy. Two weeks later, he presented to our emergency department with typical chest pain and exertional dyspnoea (New York Heart Association Class III). He was on dual antiplatelet therapy, Bisoprolol, Atorvastatin, and Isosorbide dinitrates. There was no echocardiogram report with the patient.
Auscultation confirmed a harsh pansystolic murmur V/VI on his left parasternal area and across the precordium. He had bilateral, fine basal crepitations. His heart rate was 88 b.p.m. and blood pressure was 115/67 mmHg.
Transthoracic echocardiogram (TTE) and transoesophageal echocardiogram (TOE) demonstrated an akinetic inferior wall and inferior septum with an ejection fraction (EF) of 45%. A large, true aneurysm in the mid-cavity inferior wall was identified by its wide neck and contracting muscle layer ( and ). The inferior septum was ruptured and dissected with a large, left-to-right shunt ( and ). A TOE X-plane transgastric short-axis view in diastole showed an inferior wall aneurysm with a wide neck of 2 cm (). The aneurysm cavity connected to the RV through the ruptured part of the inferior septum, creating an LV-to-RV-to-aneurysm communication ( and ). We noted mild tricuspid regurgitation with an estimated systolic pulmonary artery pressure of 75 mmHg. RV function was mildly reduced (tricuspid annular plane systolic excursion of 1.6 cm). Cardiac magnetic resonance imaging showed non-viable inferior segments, and a 4.2 cm × 4.3 cm × 5.8 cm cavitary lesion. The LV showed a mid-inferior and inferoseptal wide-neck true aneurysm () with a focal area of ventricular septal rupture in the inferior aspect of the aneurysm with a turbulent high-velocity flow across it (). The patient’s coronary angiography displayed tight proximal and middle right coronary artery lesions, as well as a severe ostial left main, a severe mid-left anterior descending artery lesion, and severe ramus intermedius disease.
The patient was considered high surgical risk because of his age, general condition, renal impairment, and difficult anatomy of the post-infarct VSD and aneurysm. Transcatheter closure of the post-infarct VSD and inferior wall aneurysm was performed. Because of the two different pathologies, we closed the VSD first using an antegrade approach from the venous side. Next, we closed the neck of the aneurysm using a retrograde approach from the arterial side. A Terumo guidewire (260 cm) was introduced from the right common femoral vein. The wire passed from the RV to the inferior wall aneurysm to the LV and finally to the aorta. We then exchanged the Terumo guidewire with an Amplatzer stiff guidewire (260 cm).
We used an 8 French Amplatzer delivery sheath to deploy an 18-mm ASO (AGA Medical Corporation, USA) to close the VSD completely (, and ). We selected the size based on TOE measurements. The RV-to-aneurysm communication measured 14 mm, so we oversized the ASO device by 4 mm to fit inside the defect. The aneurysm was engaged in retrograde from the LV using a 6 French PG catheter introduced from the right common femoral artery and over the Terumo guidewire (260 cm), which was then replaced by a Confida stiff guidewire (Medtronic) of the same length. We cannulated the inferior aneurysm mouth with a Torque-Vue 10 F/45 delivery sheath. The ASO (26 mm) device was deployed with a large disc in the aneurysm (, and ). We selected the size based on the TOE measurement. The aneurysm mouth measured 20 mm, so we increased the ASO length by 6 mm to fit inside the aneurysm. We assured enough distance between the aneurysm mouth and the mitral valve so that the deployed disc would not affect the mitral valve. Both devices were established with the aneurysm device resting on the post-infarct VSD device ( and ).
Left ventricular (LV) injection and TOE showed complete occlusion of the post-infarct VSD and aneurysm. Both devices established contact and showed the angulated relation of their two different planes (, and ). The akinetic inferior wal procedure and fluoroscopy times were 60 min and 25 min, respectively, and the total contrast amount was 40 mL. The patient recovered uneventfully within 6 days in the intensive care unit. As EF was 45%, we selected to do full revascularization. The patient underwent complete revascularization for his right coronary artery, left main artery, proximal left anterior descending artery, and ramus intermedius (). The patient was discharged after 14 days. At his 3-month follow-up, he remained well with reasonable exercise tolerance, NYHA Class I. A repeat transthoracic echocardiogram demonstrated no flow across the devices, no residual shunt, and a left ventricular ejection fraction of 45%, akinetic inferior wall, and inferior septum (, and ). The systolic pulmonary artery pressure improved to 35 mmHg (). His renal function remained stable at follow-up with GFR 46 mL/min/m2.</t>
  </si>
  <si>
    <t>Body Mass Index (BMI)</t>
  </si>
  <si>
    <t>What is the patient's body mass mass index (BMI)? Your answer should be in terms of kg/m².</t>
  </si>
  <si>
    <t>Patient 1(individual II:1) is an 18-month old Pakistani female affected with bilateral dense central congenital cataract (Fig. Table ) which were visually significant and required extraction at 2 months of age, mild asymmetry of the palpebral fissures, and left nasolacrimal duct obstruction; her development is normal and growth parameters are generally normal with the exception of borderline microcephaly (length 83.8 cm, 75–90th centile; weight 10.2 kg, 25–50th centile; and head circumference 44 cm (3rd centile)). Physical exam at 4 months of age identified hypotelorism (familial) and mildly widely-spaced nipples. Her younger brother, age 6 months, was similarly affected with visually significant bilateral dense central congenital cataracts requiring extraction around 2 months of age; his length (67.5 cm, 25–50th centile), weight (6.8 cm, 5–10th centile), and head circumference (42.5 cm, 10–25th centile) are all within the normal range (Table ). Family history shows unaffected second-cousin parents with additional endogamous mating within the family. A double second-cousin to the proband is affected with bilateral non-syndromic anophthalmia/ microphthalmia with no additional details available.</t>
  </si>
  <si>
    <t>A 76-year-old woman presented at our outpatient clinic with symptomatic OA of the right knee. At admission her height was measured to be 139.8 cm and her weight was measured to be 46.5 kg. Her past medical history included NF, congenital pseudarthrosis, and combined deformities of the tibia and fibula that resulted in the shortening of the right lower limb. At presentation, her examination revealed a limited active range of motion at the right knee joint (from 0 to 90°), a valgus deformity of 14° using the femoro-tibial angle measurement, severe pain, and a progressively worsening antalgic gait due to the preexisting limb shortening. These deformities, including pseudoarthrosis, are consistent with skeletal deformities previously described in patients diagnosed with NF. She was diagnosed with Grade 4 OA as per the Kellgren-Lawrence (KL) classification based on the results of radiographic imaging and the physical examination (). Her walking distance was limited due to pain. Passive range of motion studies revealed significant hyperextension (−10°) consistent with an increased risk for dislocation. The physical exam also revealed peroneal nerve palsy and café au-lait spots across her entire body, the latter finding indicative of advanced NF. She had previously undergone a bone transplant at the fibula with a graft taken from the tibia approximately 50 years prior; as such, there was only a limited amount of viable bone remaining to support the successful implantation of a prosthesis. As there was not sufficient viable bone stock available to support the ready-made intramedullary stem used in total knee arthroplasty (TKA; ), our initial plan was to perform a bicompartmental knee arthroplasty (BKA). Furthermore, as part of the preoperative procedure at our hospital, we conducted a bone density test. This evaluation revealed a femoral bone density of 0.525 g/cm3, which affirmed our decision to avoid a TKA, as the quality of the available bone stock would unlikely be sufficient to support adequate fixation of the larger implants required in this procedure. Magnetic Resonance Imaging (MRI) was performed to provide maximum visualization of the lesion, given the discrepancies in the anatomical structures and also to evaluate the soft tissue condition (). Although a bicompartmental knee implant was templated, the cartilage on the medial side of the joint was found to be intact on the coronal MRI scan, thereby presenting a contraindication to this procedure (). Additional radiographic studies revealed that the patient had both femoral and tibial insufficiency and a significant reduction in the bone stock available for the positioning of an implant that required a tibial stem. As this patient also exhibited problems with osteogenesis due to NF, all procedures were planned with the goal of limiting the degree of tissue damage. With this in mind, we considered unicompartmental knee arthroplasty (UKA) as a minimally invasive procedure that might be used for the successful amelioration of her OA symptoms. A lateral UKA to fix the valgus deformity was discussed with the patient as a means to provide adequate relief from the pain resulting from the bone-on-bone contact at the lateral side as well as to address the problem of hyperextension. The patient agreed to this course of action. Preoperative planning focused on addressing the issues associated with bone-on-bone contact as well as repair of the valgus deformity with the goal of promoting stability at the knee. The range of motion was verified preoperatively, and femoral and tibial contact points were mapped across the full range of motion to determine the degree of the anterior slope. Unfortunately, the dimensions of the anterior slope precluded the use of an implant of the size that would be desirable given the patient’s tibial dimensions. We were also aware of the fact that the risks of dislocation are increased in NF patients due to characteristic joint hypermobility and problems with soft tissue in areas such as the skin, menisci, and musculature.
During surgery, the surrounding tissue was debrided, and a large fragment of debris was removed from the joint space. Visual inspection of the knee confirmed the diagnosis of isolated lateral OA with intact medial articulation (). A femoral unicompartmental knee system (Physica ZUK; size D) implant and a 29 mm × 50 mm tibial implant (Zimmer®) were inserted. Perioperative radiographs revealed that, although the trial implant was slightly larger than ideal, synchronous soft tissue balance of the knee was confirmed (). Unfortunately, as customized implants were not available, space remained between the femoral implant and the femoral condyle.
Prior to final fixation, the articulation site was copiously irrigated to facilitate the penetration of cement into the femur and tibia. The final implant was then inserted into small holes that were drilled into the tibia and femur that also facilitated cement adhesion. The cement was molded to fill the gap observed during the trial implantation ().
Postoperative imaging and physical examination revealed that the anterior tibial slope was repaired and that the valgus deformity was reduced to 5° from the 14° determined preoperatively (). The patient was capable of ambulation within 24 hours after completion of the procedure. However, the patient developed a varus thrust and continued to require epidural analgesia for 48 hours after the procedure. The rehabilitation plan included assisted range of motion and partial weight-bearing walking exercises. The patient exhibited a myopathic gait; this was deemed acceptable given her preexisting musculoskeletal condition. One week after the procedure, the patient continued to ambulate with the assistance of two walking poles and a knee brace. She reported that soreness developed after walking for approximately 20 meters; this was attributed to preoperative muscle stiffness (). The active range of motion extended from 0 to 110°; this represented a significant improvement over her preoperative range of 0 to 90°. Ankle movement was restricted due to preexisting peroneal nerve palsy and mild pain was present after the surgery. The most substantial functional gains from the lateral UKA procedure were the improvements in the knee alignment and the reduction in the valgus deformity. Both of these corrections contributed to significant improvements in patient ambulation.
Two weeks after the procedure, the patient experienced a fall that resulted in a stress fracture of the tibial plateau. The lesion was diagnosed as a proximal oblique fracture of the tibia. This was most likely due to a mismatch between the implant and patient-specific mechano-physiology which may have potentially resulted in sagittal overcutting. The tibial UKA component was not displaced (). Three days post-fracture, a surgical procedure involving a locking plate was planned. A distal tibia anterolateral plate (A.L.P.S®) with nine holes was rotated upside down to achieve successful fixation of the fracture. Eight locking cortical screws were inserted; postoperative imaging documented adequate fixation and support (). Given the high risk for dislocations, continuous passive motion therapy was contraindicated. Within five days after the second procedure, the patient reported only minimal pain and was able to undergo successful rehabilitation to improve her range of motion. We note that her participation in the standard rehabilitation program was interrupted due to the ongoing impact of the COVID-19 pandemic. This was unfortunate, as adequate postoperative rehabilitation can be critical for recovery. The patient was provided with a fixed knee brace to stabilize her leg during the first two months after the insertion of the locking plate. As the COVID-19 pandemic was then under adequate control in the region, the patient was able to follow a rehabilitation plan that included both passive and active progressive range of motion exercises, partial weight-bearing walking regimens, and measures designed to manage pain and swelling. The patient was put on a partial weight-bearing walking regimen (30% to start, gradually increased to 100% body weight every week) beginning at one week postoperatively. At the two-month postoperative checkup, the patient was able to walk with a full weight load without assistance (). Four months after the procedure, the patient reported significant improvements with respect to pain and active range of motion. The patient returned to her activities of daily life and did not need a knee brace or supporter (). Radiographic images revealed callus formation at the fracture site, indicative of new bone formation. We planned to follow this patient on a more long-term basis to manage pain and swelling and to maintain the improved range of motion and weight-bearing capability. However, the overall impact of COVID-19 limited the extent to which we could follow this patient after the five-month check-up. Nonetheless, the patient planned to continue with the prescribed rehabilitation plan. The patient presented for a 7-month postoperative checkup and reported some residual pain that she managed effectively with the pain medication regimen that was prescribed. She reported that she was able to walk on most days and carry out day-to-day activities without difficulty. On certain days, she noted some instability at her knee joint which is likely attributable to the postoperative fracture. Further radiographic studies revealed appropriate fracture healing, and her physical exam documented appropriate knee alignment.
Although the patient was capable of ambulation prior to the UKA procedure, she relied on external support and experienced substantial pain due to osteoarthritis and poor knee alignment. The contraindications to a conventional TKA outweighed the possible benefits that might be achieved in this case. A UKA seemed to be a more appropriate solution toward resolving the pain resulting from bone-on-bone contact and the valgus deformity. The UKA procedure is less invasive, maintains the kinematics at the knee, preserves more bone, and facilitates easier revision surgery if this becomes necessary.
The decision to perform a UKA was controversial due to the unique complexities associated with this patient. However, these therapeutic modalities resulted in a significant improvement in the patient’s quality of life. This outcome was evaluated quantitatively by the Knee injury and Osteoarthritis Outcome Score (KOOS) which is included in the (). An increase of 8–10 points on the KOOS total score has been clearly established as a clinically significant improvement. Our patient exhibited a 23.2-point increase in KOOS in response to treatment. This finding indicates that the patient experienced significant benefit from the complete treatment plan. Specifically, the patient reported improvements in areas including but not limited to, a reduction in pain, reduced stiffness, improved mobility, and a better quality of life.</t>
  </si>
  <si>
    <t>When waking in the early morning (3:30 am), a 33-year-old male presented with persistent right limb weakness and verbal confusion. There was no record of special past history or family history. He smoked 2–5 cigarettes per day and had been drinking for 10 years. His height was 170 cm and weight 81 kg, while his blood pressure was 155/110 mmHg. The subject was alert and conscious and his speech was dysarthric with right central facial weakness. Found with extensor plantar response on right lower extremity was mild weakness of the right upper limb extensors and right lower limb flexors. Abnormal long signal of the left pontine was showed in brain MRI by FLAIR sequences (Fig. A). Conducting Computed Tomography Angiography (CTA) of neck and intracranial arteries revealed limited narrow on the right anterior cerebral artery A2 segment and the left anterior cerebral artery segment A3 and limited moderate stenosis on the initial segment of the right vertebral artery (Fig. B). Echocardiography on dynamic ECG, color Doppler ultrasound of the neck and echocardiography were found to be normal. Measurements of hemoglobin 170 g/L, hematocrit 46.1%, ALT 48 U/L, GOT 278 U/L, blood glucose 7.6 mmol/L, homocysteine 17.2 umol/L, triglyceride 10.5 mmol/L, LDL 3.38 mmol/L. Results of the examination of anti-neutrophil cytoplasmic antibodies, anticardiolipin antibodies, antinuclear antibodies, ENA spectrum and antithrombin III were all normal (Table ). Two emboli were detected during 9th cardiac cycle when the patient breathed quietly by c-TCD test. During the 8th cardiac cycle (rain curtain) after Valsalva action, a large number of embolus signals were revealed (Fig. C). After Valsalva action, embolism rain disappeared (Table ). TEE examination is not tolerated by patients. Sleep stage test reviewed normal sleep latency after whole night PSG examination. The lowest and average oxygen saturation was 72% and 93%, respectively. Snoring time accounted for 38.0% of sleep time. In summary, the diagnosis for the patient was “obstructive sleep apnea syndrome” (Table ).</t>
  </si>
  <si>
    <t>A 50-year-old male patient visited the hospital to undergo synovectomy for left knee ostarthritis and tenosynovitis. The patient had suffered difficulties in walking from weakening of both lower limb muscles since 25 years ago, and recently the symptom of weakness of lower limb muscles became more serious and dyspnea at the level of ATS (American Thoracic Society) Dyspnea Grade I had occurred due to the weakening of the respiratory root. A molecular genetics examination conducted at another hospital discovered a deficit of the SMN1 gene, and considering the time of onset and clinical conditions, the patient was diagnosed with type IV spinal muscular atrophy. The patient stood 168 cm and weighed 63 kg, and there were no special opinions from ECG and simple radioactive examination before operation. Arterial blood gas analysis (ABGA) showed pH 7.435, PaO2 74.6 mmHg, PaCO2 36.9 mmHg, and HCO3- 24.2 mmHg. The patient was under drug treatment for hypertension. Administration before anesthesia was not conducted and vital signs examined after going into the operating room were blood pressure: 160/100 mmHg; respiration rate per minute: 20 times; ECG: normal sinus rhythm; and pulse oxymetry: 98%. From a manual muscle test before operation, both legs were at the 4th stage. At the genupectoral position, the epidural space was identified by loss of resistance technique using an 18 G Tuohy insertion needle in between the L2-L3 lumbar, and after a test dose injection of 1.5% lidocaine 3 ml containing 1 : 200,000 epinephrine, no increase of heart rate or spinal anesthesia symptom was detected. After injecting 0.75% ropivacaine 12 ml, a catheter was placed and maintained. To measure the level of motor block by time after anesthesia, a modified Bromage scale (0: One can stretch and raise his/her leg; 1: One cannot raise his/her leg and cannot bend his/her knee; 2: One cannot his/her knee but can bend his/her ankle; 3: One cannot bend his/her ankle) was applied.
The level of modified Bromage scale before anesthesia was 1, and 20 minutes after injecting ropivacaine, the level of modified Bromage scale was 3. The sensory nerves were blocked by T8 segment on pinprick examination. Vital signs during operation were blood pressure: 120-140/60-80 mmHg and pulse rate per minute: stable at 70-80 times. A Venti® mask with 35% of oxygen fraction in inspired air was used, and an ETCO2 capnometer was placed under the nose of the patient to monitor the end-tidal CO2. ETCO2 was stable at 35 mmHg and the pulse oxymetry was 100%. Due to the risk of aspiration of saliva or bronchial secretion during operation, sedation was not operated. The surgery was operated for an hour, and the epidural catheter was removed after operation. After finishing the operation, the level of modified Bromage scale was 3 and the sensory nerve block was decreased up to the T9 segment. Three hours after the operation, the level of modified Bromage scale was dropped to 2 and the sensory nerve block to the T11 segment; 5 hours after the operation, the stage of modified Bromage scale was 1, and the sensory nerve was declined to the L1 segment. Since the patient did not show adverse effects including vomiting, nausea, and dizziness in the recovery room, he was moved to a patient room. Twelve hours after finishing the operation, both the level of the modified Bromage scale and sensory nerve were recovered to the condition before operation, and also for the manual muscle test, both legs were maintained at the 4th stage. A physical exam conducted 24 hours after finishing surgery did not show special opinions. The patient recovered smoothly without complications and left the hospital 2 days after the operation.</t>
  </si>
  <si>
    <t>A 48-year-old female patient (weight: 66 kg, height: 166 cm) with multiple millimetric gallstones was due to undergo intraoperative ERCP followed by LC. She had a history of caesarean section and appendectomy and had elevated transaminases plus hyperbilirubinemia. She was accepted as being American Anesthesiology Association (ASA) Class 1. ESP block was planned as part of her multimodal analgesia protocol.
After premedication (midazolam 1 mg), anesthesia induction was performed using lidocaine 1 mg/kg, fentanyl 100 mcg, propofol 3 mg/kg, and rocuronium bromide 0.6 mg/kg. Following intubation, anesthesia was maintained with 0.6 MAC sevoflurane in air-oxygen mixture and remifentanil infusion of 0.08–0.1μg/kg/min. After hemodynamic stability, the patient was placed in the prone position. Bilateral ESP block was performed. After completing ERCP, the patient was positioned supine and LC was performed. Total surgical time was 74 minutes and time under anesthesia was 93 minutes. Perioperative intravenous paracetamol (1 gr) and tenoxicam (20 mg) were given.
She was transferred to the postoperative recovery room after extubation. The patients numeric rating scale (NRS) was 1/10 at rest and when coughing. After follow-up of 1 hour the patient was transferred to the general ward. Postoperative analgesia was ordered as 1 gr intravenous paracetamol every 8 hours. Rescue analgesia was planned as being intramuscular diclofenac sodium 75 mg. The patient's NRS was &lt;3/10 during the first 16 hours of follow-up. Planned analgesia was not applied during this time. At 17th hour, NRS scores were 5/10 when coughing and 4/10 at rest. Rescue analgesia was performed. The patient was externalised home at the 24th hour with prescription pain medication.</t>
  </si>
  <si>
    <t>A 4 month-old-male patient presenting weakness and decreased movement of the left lower extremity was transferred to our institute. He was born from an uneventful pregnancy and delivery. He was in good health until 1 month before the visit when his parents noticed weakness of left lower extremity. He received OPV with DTaP at local health center 1 month before presenting those symptoms. Making the diagnosis in this case was somewhat delayed because his parents hesitated to seek a proper medical help initially and took him to an orthopedics clinic where he was evaluated and treated under a misdiagnosis. His family history and past medical history of perinatal period were unremarkable.
His body weight was 8.1 kg, length 66 cm, and head circumference 41.2 cm and those growth indexes measurements continued to be in the 50-90th percentile at the time of this report (2 yr old). Vital signs were not remarkable. The physical examination revealed alert mental status, and cranial nerve function tests were all normal. Neurologic examination revealed markedly decreased spontaneous movement and flaccid paralysis on the left lower extremity (GI/V) with knee jerk (+/-), biceps tendon reflex (+/+), and ankle clonus (-/-). The response to painful stimuli on the left lower extremity was markedly reduced, but there was normal in other part of his body. He had no history of intramuscular injection or trauma on the left side buttock area. Laboratory evaluation, simple skeletal radiography, hip joint sonogram, and 3-phase bone scan were all within normal ranges. Brain and spinal MRI showed no abnormalities. Electrodiagnostic evaluations showed normal sensory nerve action potentials and low amplitudes in left tibial and deep peroneal nerve.
Up to the time of this presentation, he was able to sit alone at 10 months old and walk unaided (left side heel walking) at 16 months of age. His development quotients (by Korean developmental screening test) of gross motor, fine motor, personal-social, language, and cognitive-adaptation were all 100 in each category. Bayley scales of infant showed mildly delayed performances. His upper limb diameters (mid-arm) were 7.5/7.5 cm, diameters of lower extremities were 30.5/28 cm at the mid-thigh and 22/20 cm at the mid-calf level. At the time of presentation, he had muscle weakness (GIV/V), hypotonia, and atrophy on the left lower extremity with ipsilateral claw foot (). Other aspects of his growth and development were excellent.</t>
  </si>
  <si>
    <t>A 33-year-old woman was referred to a university hospital for the evaluation of secondary amenorrhea for 4 months. The patient had spontaneous thelarche at age 11 years and menarche at age 13 years. She denied experiencing vasomotor symptoms. A human chorionic gonadotropin (hCG) urine test was negative. The results of the physical examination were as follows: height 165.0 cm, weight 60.2 kg, systolic blood pressure 132 mmHg, and diastolic blood pressure 77 mmHg. Breast development and pubic hair growth were both stage 5 according to the Tanner staging system. Basal hormonal tests revealed highly elevated serum FSH and luteinizing hormone (LH) levels (52.7 IU/L and 33.2 IU/L, respectively), a low estradiol (E2) level (17.8 pg/mL), and high AMH level (5.04 ng/mL). Serum levels of prolactin, thyroid-stimulating hormone, and free T4 were all normal. A transvaginal ultrasound revealed a normal-sized uterus with polycystic ovarian morphology (&gt; 20 antral follicles measuring 2–9 mm) observed in the right ovary ().
The patient was unmarried and wanted to preserve her fertility; therefore, she was advised to visit an infertility hospital for oocyte cryopreservation. The repeated basal hormonal tests were unchanged, and serum levels of androgens including total testosterone, free testosterone, 17α-hydroxyprogesterone, and dehydroepiandrosterone sulfate were all normal. Induction of superovulation was attempted with a starting dose of 150 IU recombinant FSH (Follitrope®; LG, Iksan, Korea) daily for oocyte cryopreservation. The dose of recombinant FSH was increased to 225 IU after one week because follicular development was not observed on ultrasound. However, follicular development was not observed despite the increase in FSH dose, and cycle cancellation was determined at that time. Further evaluation included karyotype, FMR1 premutation, and 21-hydroxylase antibody tests. The karyotype analysis revealed 47,XXX[1]/46,XX[29]; however, it was read as a normal variant by the specialist in laboratory medicine. The FMR1 premutation test revealed no abnormal CGG trinucleotide repeat expansion. The patient tested negative for 21-hydroxylase antibodies. In addition, anti-thyroglobulin antibodies and anti-thyroid peroxidase antibodies were negative. She was prescribed oral contraceptives (Yaz®) for hypoestrogenism associated with POI.</t>
  </si>
  <si>
    <t>The case we present was a 71-year-old Japanese man. When he was being treated for pneumonia at another hospital, CT image incidentally revealed a BT and mild right-sided hydronephrosis (Fig. ) without metastasis. After his pneumonia had been cured, the patient was referred to the SIMC to receive treatment for his BT (SIMC-Uro# 11116, a unique non-sequential patient control number issued at the Department of Uro-Oncology, SIMC). At his first visit, the patient's physical (height: 1.56 m, weight: 48.9 kg) and routine laboratory data were within the normal ranges. He had been diagnosed with diabetes mellitus, which required regular insulin injections. MRI showed many BTs (Figs –). The largest tumor detected on MRI is indicated by the blue arrowhead in Figure a. The tumor indicated by the yellow arrowhead was observed as it progressed between the right ureteral wall (white arrowhead in Figure a) and bladder wall (red arrowhead). Moreover, a tumor was found within the right orifice of the ureter (green arrowhead), which had presumably caused the mild right-sided hydroureter (“u” in Figure a, see also Figures –). Thus, the patient was diagnosed with bladder carcinoma, which was suspected to have infiltrated into the ureter (green arrowhead). No apparent muscle invasion, lymph node metastasis, or distant metastasis was observed (clinical classification: T1, N0, M0, according to the classification of the Union for International Cancer Control).
The patient underwent oral-PDD-TUR-BT (20 mg/kg of 5-ALA was administered 2 hours before surgery) using the D-LIGHT system (Table ). As suggested by MRI (blue arrowhead in Figure a), the main papillary tumor was located on the right ureteral orifice (blue arrowhead in Figure b), and it clearly emitted fluorescence under blue light (Fig. c). It had invaded the bladder neck, the prostatic urethra, and the right posterior wall of the bladder (Video ). In addition, three daughter tumors were found on the posterior wall of the bladder (Video ). Random bladder biopsy samples were obtained from the surrounding normal tissue (the posterior, left, and right walls) and the tumor-infiltrated tissue (the bladder neck and prostatic urethra). Subsequently, we deeply resected the largest tumor (Fig. b,c). The right ureteral orifice was exposed, and it was found to have been blocked by papillary tumors (the tumors in the ureter and the ureteral wall are indicated by green and white arrowheads, respectively; Fig. d,e). We deeply resected the tumors in the ureteral orifice; however, after the resection procedure residual tumors were identified within the ureteral orifice (green arrowhead in Figure f), which emitted potent fluorescence under blue light (Fig. g, see also Video ). We decided to attempt to remove the remaining tumors. After the second and third attempts to resect the ureteral tumors (deep resections, Video ), no tumors were visible under white light in the right ureter (Fig. h); however, marked fluorescence was observed from the ureteral mucosa (Fig. i), which was indicative of residual cancer. If the patient had undergone TUR without PDD, we would have finished the surgery at this point. Instead, we performed a biopsy of the fluorescence-emitting tissue. We then attempted to remove the suspected residual carcinoma. After the fourth resection of the ureteral orifice, the hydroureter-affected lumen was exposed, the mucosa of which was smooth and did not emit fluorescence (Fig. j,k). Subsequently, we performed a biopsy of the ureteral mucosa (Video ).
The pathological diagnosis of the BT was low-grade urothelial carcinoma, which had not invaded the muscular layer (pTa). No cancer cells were detected in random biopsy specimens. As expected from the PDD, low-grade cancer cells were detected in the ureteral mucosa after the third resection of the ureteral orifice, in which an irregular and fluorescent mucosa was identified (Fig. h,i). On the other hand, no cancer cells were found in the smooth and non-fluorescent mucosa after the fourth resection procedure. To prevent tumor recurrence, the patient is currently being treated with intravesically administered BCG via a right ureteral stent, which exposes both the ureter and the bladder to BCG. We concluded that the ureteral tumor was a BT that had infiltrated into the ureter because (i) preoperative MRI (Fig. a) showed that the main tumor was located in the bladder, (ii) the hydronephrosis was mild (CT findings, Figure ; the hydronephrosis would have been severe if the ureteral tumor had originated from the ureteral orifice), and (iii) the pathological analyses did not show muscular invasion. Thus, we succeeded in resecting the tumor in the ureteral orifice, which was accomplished via PDD using orally administered 5-ALA.</t>
  </si>
  <si>
    <t>A 37-year-old female patient was referred to Hacettepe University, Pediatric Genetics Department following complaints of atypical facial features. She was the second child of non-consanguineous healthy parents. She was born at term by spontaneous vaginal delivery with a birthweight of 1,500 g (lower than 3rd centile). Her birth length and head circumference were not recorded. The patient had delayed psychomotor development and began to walk and speak after the age of 3 years. She has been able to read and write after attending a rehabilitation program. She was evaluated for developmental delay, short stature, learning disability, recurrent upper respiratory system infections, and constipation in childhood, but no diagnosis was made. Laboratory work-up, including cranial imaging, echocardiography, and blood biochemistry were all normal except for subclinical hypothyroidism and osteoporosis. The patient had generalized anxiety disorder and hypochondriasis since her adolescence and her symptoms had deteriorated over time. She started to suffer from difficulty falling asleep, especially during the last five years. She was described as over-friendly by her family members. On her admission, a physical examination revealed a weight of 42 kg (lower than 3rd centile), a height of 145 cm (lower than 3rd centile), and a head circumference of 52 cm (−2 standard deviations). Among the facial features, a long face, a long neck accentuated by sloping shoulders, low-set ears, periorbital fullness, a short nose, a wide mouth, a small jaw, and malar flattening were noted (). She was talkative and gregarious. The patient exhibited prolonged phases of staring into our faces and maintained eye contact throughout the physical examination. Based on these findings, the patient was clinically diagnosed with Williams syndrome. Fluorescence in situ hybridization analysis revealed 46,XX.ish del(7)(q11.2 q11.2) (ELN-), which confirmed the clinical diagnosis (). Genetic counseling was provided to the family and a follow-up plan was created. An informed consent was obtained from the patient.</t>
  </si>
  <si>
    <t>A 51-year-old man was admitted to our hospital for renal biopsy. Proteinuria had been detected when the patient was approximately 30 years of age, and he had experienced tonsillitis several times. The patient had been diagnosed with PV with an abnormality of the JAK2 gene 3 years earlier. Renal biopsy was planned because his proteinuria had become more apparent over the past 2 years.
The patient’s height, weight, and blood pressure were 165 cm, 66 kg, and 120/73 mmHg, respectively. His consciousness level was alert, and he appeared healthy. No remarkable abnormalities were found in the heart, lungs, or abdomen, and pitting edema was not observed.
The laboratory data were as follows: hemoglobin, 15.3 g/dl; hematocrit, 48.1 %; platelets, 326,000/μl; white blood cells, 8,400/μl; C-reactive protein, &lt;0.2 mg/dl; blood urea nitrogen, 22.2 mg/dl; serum creatinine, 1.4 mg/dl; total cholesterol, 194 mg/dl; total protein, 7.1 g/dl; albumin, 4.1 g/dl; globulin, 3.0 g/dl; lactate dehydrogenase, 169 IU/l; aspartate aminotransferase, 17 IU/l; alanine aminotransferase, 23 IU/l; total bilirubin, 0.5 mg/dl; γ-glutamyl transpeptidase, 21 IU/l; alkaline phosphatase, 276 IU/l; Na, 139 mmol/l; K, 4.7 mmol/l; and Cl, 106 mmol/l. Urinalysis showed 4+ proteinuria (1.2 g/day) and no evidence of hematuria.
Renal biopsy was performed (Fig. ) and 22 glomeruli could be evaluated, 5 of which showed global sclerosis. Histological findings included mesangial proliferative glomerulonephritis with crescents and focal segmental necrosis. Arteriosclerotic changes were also observed. Immunofluorescence staining was positive and revealed strong immunoreactivity for IgA and C3. Electron microscopy showed electron-dense deposits in the mesangium. He was diagnosed with IgA nephropathy. Tonsillectomy plus steroid pulse therapy and an angiotensin II receptor blocker were selected as treatments for the patient. His proteinuria and hematuria disappeared after 6 months.</t>
  </si>
  <si>
    <t>An 8-year-old girl arrived at the emergency department with severe respiratory obstruction following interhospital transport. She weighed 42 kg and was 137 cm in height. Treatment for asthma that had been initiated about 1 month before had not improved her respiratory condition. She presented with marked stridor and cough, severe intercostal and subcostal chest retraction, and developed acute respiratory distress. Her parents mentioned that her respiratory condition might have been worsened by an external traumatic event at the neck that had been caused by her younger brother a few months earlier. At that time, while she had been playing with her younger brother, his elbow had bumped into her neck violently.
On admission, computed tomography (CT) of the neck showed that severe subglottic stenosis has developed with minimal cross-sectional diameters of 3.5 × 1.8 mm at the narrowest point (0.05 cm2) (Fig. ). Laryngoscopy revealed that her airway was almost completely obstructed by severe subglottic stenosis. Findings from other preoperative investigations including laboratory tests, chest X-ray, and electrocardiography were normal. The preoperative vital signs were blood pressure of 120/59 mmHg, temperature of 37.5 °C, respiratory rate of 20/min, and SpO2 of 98% (O2 5 L/min via mask). Because the cause of the severe subglottic stenosis was unclear and her symptoms were worsening day by day, we decided to perform emergency tracheostomy to prevent further worsening of her symptoms and a life-threatening condition.
The case was discussed in detail among otolaryngologists and anesthesiologists. Because we anticipated intubation to be impossible, emergency tracheostomy was planned. She was transferred to the operation room for emergency tracheostomy. Intraoperatively, the girl was monitored for oxygen saturation, end-tidal carbon dioxide, and non-invasive blood pressure, with electrocardiography performed as well.
We judged that it would be difficult to obtain the patient’s cooperation with only regional anesthesia. Emergent tracheostomy was therefore planned under general anesthesia. Sevoflurane was administered with sufficient titration to maintain spontaneous breathing. Anesthesia was maintained via the inhalation of air, oxygen, and sevoflurane. We considered that the use of a face mask instead of supraglottic airway devices during anesthesia might minimize the risk of tracheal injury or laryngospasm. The lungs were fully preoxygenated. The sevoflurane concentration was increased to 3%, at which point the patient was unresponsive.
The patient initially continued breathing spontaneously, but ventilation later became impossible because the otolaryngologists pulled her trachea. Before the oxygenation and hemodynamics became unstable, tracheostomy was successfully performed by the otolaryngologists. The patient was admitted to our pediatric intensive care unit (PICU) for postoperative airway management.
On postoperative day (POD) 3, because her airway had been stabilized by tracheostomy, she was discharged from the PICU. On POD 4, CT of the neck still showed narrowing of the subglottic portion. On POD 7, a laryngoscope under general anesthesia revealed severe edema at the subglottic stenosis (Fig. ). The otolaryngologists considered that the cause of the subglottic stenosis might be edema due to cricoid fracture, given her medical history.
At five months after surgery, a laryngoscope was again inserted under general anesthesia, revealing large granulomas surrounding an object in the subglottic wall. Surprisingly, this object turned out to be a circular plastic foreign body (cross-sectional diameter of 1.2 × 1.0 cm) (Fig. ). Surgery was performed to remove the object. On showing the foreign body to the patient and her parents, they did not remember her aspirating the object. She was discharged from our hospital and placed under home care after removal surgery.</t>
  </si>
  <si>
    <t>A 30-year-old G4, P2 female, 160 cm tall, and weighing 68 kg, was admitted at 38 weeks of her third gestation for vaginal bleeding and hypogastralgia at her local hospital. Due to the combination of hypoxemia and abnormal electrocardiograph (ECG) findings, she was advised to transfer to our hospital; the patient did not receive prenatal obstetric care in our hospital. The admitting diagnosis was cardiac insufficiency, cyanotic CHD (dubious) and scarred uterus. The physical examination revealed blood pressure of 130/80 mmHg, a pulse of 90/min, a respiratory rate of 25/min, slightly cyanotic lips and the same on her cheeks, coarse breath sounds to auscultation in the lungs, and a regular heartbeat. A loud P2 and grade 3/6 systolic murmur was heard at the third and fourth ribs on the left edge of the sternum. The ECG showed sinus rhythm, complete right bundle branch block (CRBBB), first degree A-V block, inverted T wave, right ventricular hypertrophy, and severe cardiac clockwise rotation.
The obstetricians felt that the manifestations of cardiac insufficiency in the mother put her at high risk in a vaginal delivery. The fetus presented with abnormal heart rate variability, with no further evidence that the fetus was in a state of emergency. Considering that the mother had been in a condition of hypoxia, which would result in hypoxia in the baby, the obstetricians recommended emergency cesarean section for the benefit of both the mother and the baby.
The patient was transferred to the operating theater with a temperature of 36.8 °C, a heart rate of 92 beats/min, a respiratory rate of 23breaths/min, a blood pressure of 138/88 mmHg, and an oxygen saturation of 83-90% in air. With the administration of a fractional inspired concentration of oxygen (FiO2) of 0.5 to 0.6 via a Venturi mask, the patient’s oxygen saturation increased from 88 to 92%. Peripheral venous access was sited, and a 400-ml bolus of compound sodium chloride was commenced, after which a radial arterial line was placed under local anesthesia for beat-to-beat blood pressure monitoring.
Combined spinal-epidural anesthesia (single-shot spinal anesthesia) was administered in this case. The puncture point of spinal anesthesia was selected in the L2-3 interspace, and the procedure was performed using a needle-through-needle technique in the left lateral decubitus position. After cerebrospinal fluid (CSF) could be slowly aspirated through the needle, doses of 1.4 ml of 0.5% hyperbaric bupivacaine made up with 10% glucose for a hyperbaric solution that made it easy to adjust and control the anesthetic plane were injected into the subarachnoid space slowly towards the head, and an epidural catheter was inserted into the epidural space. The patient was then placed in the supine position with a left lateral tilt of at least 30 degrees; [] the patient’s abdomen could be raised softly if necessary to relieve vena caval compression. Within 20 min later of the anesthetic injection, we tested the block height every 1-2 min and adjusted the head-up or head-down tilt position to strictly control the blockade under the level of T6-8. Twenty minutes later, the level of spinal block was static at T8. One minute later, the patient was returned to the supine position, with a slight decrease arterial pressure to 122/82 mmHg and a heart rate of 97 beats/min. As small doses of metaraminol could resist the vasodilatation caused by anesthesia to maintain the afterload, 100 μg of metaraminol was administered, after which the patient’s arterial pressure increased to 130/84 mmHg, with a heart rate of 91 beats/min.
During the entire procedure, the key for safely administering anesthesia on such a patient was to keep her blood pressure stable and to carefully address the side effects of the changes in the hemodynamics []. Because the spinal anesthesia took action faster and due to the rapid sympathectomy in the intra-vertebral anesthesia, great care should be taken of the changes in arterial pressure and heart rate after puncture and injection.
A male baby was smoothly delivered 10 min after the surgery began; the baby had Apgar scores of 8 at 1 min and 9 at 5 min. In addition to the caution that must be paid due to the change in the patient’s venous return at the time of the delivery of the baby, some factors need to be given attention to avoid the occurrence of great amounts of intra-cardiac shunt changes and even heart failure. First, because the oppression of the inferior vena cava was relieved after childbirth, the lower limb venous blood flow increased rapidly, and the venous return increased in a short amount of time as a result. Abdominal sandbags were adopted to add pressure to reduce the returned blood volume. Further, the maternal “autologous blood transfusion effect” had to be considered: after the fetus was delivered, the myometrium contracted, and intrauterine blood flowed back to the blood vessels rapidly, thereby increasing the cardiac preload in a short amount of time. If the initial transfusion was too great, it could lead to heart failure. According to the patient’s fluctuations in blood pressure, a bolus of ephedrine 3 mg or metaraminol 100 μg was used to restore the blood pressure to 130 ~ 140/82 ~ 87 mmHg, with a heart rate of 90 ~ 98 beats/min and an SpO2 of 89 ~ 93% during the surgery. The goal was to balance the preload and afterload and to try to maintain the intra-cardiac shunt in the preoperative level of stability.
Uterine atony was noted by the surgeon after delivery of the placenta. Oxytocin is usually administered to increase the contractions so as to reduce bleeding; however, a rapid infusion of oxytocin could increase the patient’s heart rate, reduce the cardiac output and coronary blood flow, and break the balance of the intra-cardiac shunt, which could lead to cardiac insufficiency. Therefore, the application of oxytocin must begin with small doses, and the dosage should be adjusted over time. Thus, oxytocin (10 mIU/min) was intravenously infused, and the infusion was adjusted in accordance with the patient’s changes in heart rate and blood pressure. Continuous post-cesarean analgesia was provided through an epidural catheter. The patient was transferred to the intensive care unit (ICU) and was then sent to the ward in stable condition the following day.
We advised the patient to have an echocardiogram examination, which revealed CHD, a single atrium, and defects of the endocardial cushions (Fig. ). Thus, we made a complementary diagnosis of CHD: single atrium. The patient was in good condition at the 6-month follow-up.</t>
  </si>
  <si>
    <t>A 67-year-old man with a height of 183 cm and a weight of 105 kg was admitted for urgent resection of a left atrial mass. He presented with progressive heart failure that could not be alleviated by inotropic or vasodilating drugs and had been coughing for 10 days. The symptoms had aggravated, and he had been unable to keep supine position for the last 3 days. He denied any previous heart disease. He had a history of right elbow leiomyosarcoma and underwent resection surgery 1 year previously.
On physical examination, the patient showed orthopnea and a compulsive position of slight left tilting. Wet rales could be heard on bilateral lung base. III/6 diastolic rumble was heard through the apex of the heart, which attenuated with upright position.
The preoperative laboratory data were within normal limits, except for NT-proBNP 1,190 pg/L. The electrocardiogram showed sinus tachycardia and minor ST segment change. Chest X-ray demonstrated prominent pulmonary patches infiltration, suggesting possible pulmonary edema. A mass was noted on the left lung. Combined with the malignancy history of the patient, pulmonary metastasis was suspected, whereas primary pulmonary tumor could not be ruled out (). Transthoracic echocardiography (TTE) showed a mobile isoechoic to hyperechoic lumpy mass (54×27 mm, ) and medium pulmonary hypertension (67 mmHg), and the ejection fraction of the left ventricle was 65%.
According to symptoms of left-sided heart failure, signs of mitral stenosis, and ultrasound imaging, myxoma was highly suspected. The TTE image indicated that the mass originated from the posterior wall of the left atrium (the typical myxoma is pedunculated with a stalk commonly attached to the fossa ovalis of interatrial septum). Differential diagnoses included idiopathic pulmonary arterial hypertension (IPAH), pulmonary embolism, pulmonary tumor thrombotic microangiopathy, and acute respiratory distress syndrome (ARDS). There is not enough evidence to support the differential diagnoses above.
In the operating room, monitors consisting of noninvasive blood pressure (NIBP), five-lead electrocardiogram, and pulse oximetry (SpO2) were applied. Radial arterial line and central venous catheter in the right subclavian vein were inserted, and then, arterial blood pressure (ABP) and central venous pressure (CVP) were monitored. Vital signs of the patient were basically stable with continuous intravenous nitroglycerin at the rate of 0.5 μg/kg/min. ABP was 121/82 mmHg, and CVP was 8 cmH2O, while heart rate (HR) was 111 bpm. His SpO2 was 92%–93% (fraction of inspired oxygen [FiO2] 60%). Airway assessment indicated several risk factors: obesity, short neck, impaired neck mobility, and Mallampati classification grade III. When the patient was awake with topical anesthesia of the tongue and pharynx, partial glottis was observed (Cormack–Lehane 2b) with direct laryngoscope. Thus, we considered the mask ventilation was feasible and anesthesia induction was conducted. After preoxygenation with oxygen (10 L/min) for 5 min via a face mask, general anesthesia was induced using Renfushufen® (sufentanil) 1 μg/kg, etomidate 0.15 mg/kg, and rocuronium 0.6 mg/kg (ideal body weight). Orotracheal intubation was performed with video laryngoscope when the patient was kept in the 60° Semi-Fowler’s position to avoid circulation collapse. Because mitral valve occlusion by left atrial mass may result in low cardiac output. Volume-controlled ventilation was applied (tidal volume of 8 mL/kg, frequency adjusted to maintain partial pressure of carbon dioxide in artery [PaCO2] between 35 and 45 mmHg, and inspiratory/expiratory (I/E) ratio 1:2). The airway peak pressure was 28–30 cmH2O. After intubation, the SpO2 was only 90%–93% (FiO2 60%). Arterial gas analysis during surgery is shown in . Abnormalities of airway, breathing, drug effects, and equipment were not found; thus, pulmonary edema was considered as the main reason for hypoxia. FiO2 100% was provided to improve oxygenation. Respiratory rate was increased to enhance minute ventilation volume. Positive end expiratory pressure (PEEP) was supplied to prevent alveoli from collapsing to improve pulmonary compliance and gas exchange and to decrease extravascular lung water. PEEP was titrated to 6 cmH2O to avoid high PEEP-related compromise preload. Then, SpO2 improved to 94%–95%. Vital signs and ventilation parameters during surgery are shown in . Anesthesia was maintained with sufentanil 20 μg/h and sevoflurane 2%–2.5% (concentration of sevoflurane was adjusted according to the patient’s increased age), and rocuronium was given intermittently.
After median sternotomy, 400 U/kg heparin was administered. Arterial cannulation was performed via ascending aorta. Venous cannulation was inserted via the right atrial appendage into the superior and inferior vena cava. After CPB was established, oxygenation of the patient improved significantly with the SpO2 improved to 99%–100%. The patient was kept anesthetized with midazolam 0.1 mg/kg/h, sufentanil 0.15 μg/kg/h, and rocuronium 0.15 mg/kg/h intravenously under hypothermic CPB, and nasopharyngeal and rectal temperature were maintained at 25°C and 28°C, respectively. Activated clotting time (ACT) was performed intermittently, and the results are shown in .
Under direct view, the mass was large and occupied nearly the entire left atrium. The right atrium and atrial septum were incised, and the mass was found attached by a stalk to the opening of the left superior pulmonary vein. The mass in the left atrium was totally resected, and was 15×2 cm. The tumor in the left superior pulmonary vein could not be completely resected, and palliative resection of the tumor around the opening of the left superior pulmonary vein was performed to ease tumor-related symptoms. As a result, preload was improved while pulmonary hypertension remained a problem. After rewarming and deairing of the heart, the aortic cross-clamp was removed. The heart came back into sinus rhythm with 20J intracardiac defibrillation, and then, the CPB was discontinued gradually. Weaning was facilitated with norepinephrine 0.05 μg/kg/min and dopamine 5 μg/kg/min to achieve goal mean arterial BP.65 mmHg. Nitroglycerin 0.5–0.8 μg/kg/min was used to decrease systemic vascular resistance. A total of 800 mL of packed red blood cells were gradually infused to increase preload. Vital signs showed an ABP of 110/70 mmHg, an HR of 110 bpm, a CVP of 12 cmH2O, and an SpO2 of 93%–95%. Heparin was neutralized with protamine (1 mg/100 U heparin). The total CPB time was 100 min, and the aortic occlusion time was 85 min. The overall fluid balance during CPB was −2,700 mL. The estimated blood loss was 800 mL. Arterial blood gas analysis after CPB discontinuation is also showed in .
After CPB, the partial pressure of oxygen in artery (PaO2) was 68 mmHg with FiO2 100% and PEEP 6 cmH2O and was increased from that before tumor resection (48 mmHg). After excluding bronchospasm and acute lung injury, we assumed that this was due to unrelieved cardiogenic pulmonary edema and pulmonary hypertension, as well as residual tumor in the pulmonary vessels. Inotropic agents including epinephrine 0.05 μg/kg/min, dopamine 5 μg/kg/min, and nitroglycerin 0.5–0.8 μg/kg/min were continuously used to improve cardiac output and facilitate stable hemodynamics, so as to alleviate pulmonary edema. Hyperventilation was applied to decrease PaCO2 and prevent acidosis. Hypoxia pulmonary vasoconstriction may have been partially inhibited, and pulmonary artery systolic pressure was decreased from 67 to &lt;35 mmHg (postoperative TTE). The patient was transferred to the intensive care unit with BP 110/71 mmHg, HR 110 bpm, and SpO2 95% during admission. Oxygenation was improved compared to the level before left atrial tumor resection (91 vs 48 mmHg), and HR was decreased (103 vs 111 bpm), indicating that pulmonary edema was partially relieved. Increasing FiO2, decreasing O2 consumption, and optimizing acid–base balance and hemoglobin, together with protective ventilation, were provided and resulted in oxygenation improvement. Vasoactive medications and mechanical ventilation were gradually weaned, and vital signs remained stable. Chest X-ray performed 3 h postoperatively revealed significantly relieved pulmonary edema (). The patient was extubated on postoperative day 4 while he was conscious, and the vital signs showed BP 121/72 mmHg, HR 72 bpm, and SpO2 95%–97% with FiO2 85%. He was discharged 10 days after the surgery with symptoms ameliorated and SpO2 97% with FiO2 21%. Histopathological examination of the resected lesion revealed features consistent with leiomyosarcoma. Further management of the lung metastasis of leiomyosarcoma and possible radiation therapy are needed. Some authors suggest that multimodal therapy (surgical resection, radiation treatment, and chemotherapy) may result in reasonable survival improvement for patients. Isambert et al reported a mean survival of 18.2 months after incomplete resection and 11.2 months in nonresected patients. In our case, the patient received palliative treatment after surgery and died of tumor-related cardiopulmonary failure 6 months later. The timeline of history, interventions, and outcomes are summarized in .
Written informed consent was obtained from the patient’s next of kin for publication of this case report.</t>
  </si>
  <si>
    <t>A 17-year-old female diagnosed with Down syndrome applied to pediatric cardiology outpatient clinic with swelling around the eyes and hands and dyspnea during sleep. Her height was 143 cm (25th–50th percentile according to growth chart for girls with Down syndrome), and her weight was 50 kg (25th–50th percentile according to growth chart for girls with Down syndrome). Bone age was 16 years. She had normal heart rate (76/min), respiratory rate (20/min), blood pressure (100/65 mmHg), and body temperature (36.8℃). Down syndrome stigmata (nasal eccentricity, simian line) were available on physical examination. Echocardiography revealed a PE exceeding 1 cm (). On laboratory evaluation, TSH was elevated (&gt;100 µU/mL; normal range, 0.35–5 µU/mL), and fT4 was decreased (&lt;0.25 ng/dL; normal range, 0.8–2 ng/dL). Thyroid autoantibodies were positive. After L-thyroxine therapy, facial edema and PE regressed within 15 days. fT4 and TSH levels before and after treatment were shown in . She grew in accordance with growth curves for children with Down syndrome.</t>
  </si>
  <si>
    <t>The patient was a 17-year-old boy with hypopituitarism, autism, and a history of septooptic dysplasia with whom communication was difficult. He was receiving treatment with dexamethasone 100 μg and Levothyroxine sodium 1 mg per day. One month before admission, he experienced a fall, which resulted in difficulty in walking. At the first visit to the physician, because he could not describe any symptoms, only knee radiography was performed and there were no abnormalities. The pain in his right leg progressively worsened and he presented to our outpatient clinic after one month.
On physical examination, the patient was slightly obese with a height of 161 cm and weight of 63 kg noted. His right leg was externally rotated, and he hesitated to stand up. The passive range of motion of the right hip was limited, especially in adduction and internal rotation (right/left; flexion 90°/120°, extension 10°/10°, abduction 45°/45°, adduction 0°/30°, external rotation 60°/45°, and internal rotation 10°/30°). Serum insulin-like growth factor-1 and insulin-like growth factor-binding protein 3 levels were low, but free triiodothyronine, free thyroxine, and adrenocorticotropic hormone levels were almost normal. The radiographs of the hip joints showed a right atypical slippage of the epiphysis (). Both neck shaft angles were large (right/left; 160°/155°) and lateral tilts of the physis were normal on intact side (right/left; 35° lateral/13° medial). Three-dimensional computed tomography (3D CT) images showed lateral epiphyseal displacement on the right femoral head (Figures and ), indicating valgus SCFE.
The patient underwent in situ pinning of the hip on both sides. On the right side, the procedure was performed through a limited 5 cm longitudinal incision, positioned medially on the thigh (frog position), posterior to the femoral neurovascular bundle. A single φ5.5 mm partially threaded cannulated screw (Meira, Japan) was placed across the physis. In situ pinning on the left side was performed as a prophylactic pinning because of endocrine abnormalities (). Postoperatively, we had difficulty in limiting weight bearing due to communication difficulties.
One month after surgery, he could walk better than before the operation. At the 1-year follow-up, he could walk without difficulty and there were no signs of pain. The passive range of motion of the right hip joint was slightly improved in flexion, adduction, and internal rotation (100°, 20°, and 20°, resp.). Radiographs showed no signs of avascular necrosis or chondrolysis of the epiphysis; the physis showed no signs of early partial closure.</t>
  </si>
  <si>
    <t>A 12-yr-old female presented to our outpatient department with a right winged scapula. Her height was 139 cm and her weight was 38 kg. This condition abruptly developed after climbing a mountain for 2 hr with a rucksack/back-pack weighing about 20 kg at 2 months previous to her hospital visit. At a certain moment, she felt the drooping shoulder with a popping sound. She was born via spontaneous full-term vaginal delivery with a normal APGAR score. She had no specific family history of nerve or muscle diseases. Her growth and developmental history was nonspecific before the onset of winged scapula. Upon the physical examination, a winging deformity of the right scapula was noticed with the lateral deviation and upward rotation of the inferior angle, as observed on the erect neutral posture (). This abnormality was not detected when both shoulders were abducted (), but it was aggravated by shoulder flexion (). The motor and sensory functions of the upper extremities were normal and no side to side differences were revealed. The deep tendon reflexes of the biceps and triceps muscles were normoactive and symmetrical. No significant muscle atrophy in the shoulder girdles and the upper extremities was observed. On the laboratory tests, the routine complete blood count with differential counting, erythrocyte sedimentation rate, C-reactive protein, rheumatoid arthritis factor and urinalysis were normal, and the muscle enzyme tests, including serum creatine kinase, lactate dehydrogenase and transaminase, were also normal. Simple radiological studies, including the chest posterior-anterior view, both the shoulder anterior-posterior views and the scapular view, were nonspecific except for the slight scapular asymmetry.
We examined the nerves by conducting an electrodiagnostic examination that included the long thoracic nerve, the dorsal scapular nerve and the spinal accessory nerves and the muscles including serratus anterior, levator scapula, trapezius and rhomboideus and so on; there were no definitive evidences that indicated any neuropathy or myopathy on electrodiagnosis.
When the pain and functional impairment persisted, surgical intervention then became appropriate. An explorative operation was done. A posterior longitudinal skin incision was made parallel to the vertebral border of the scapula. The subcutaneous tissue was divided. We can observed that the rhomboidius major was ruptured and trapezius lower thoracic bundle displayed thinning (). The right scapula was unstable to the chest wall. Rhomboideus major and trapezius muscle repair and reefing were performed. After the muscle repair, the scapula was stable to chest wall at the time of the operation.
Postoperatively, she achieved the anatomical restoration of her right shoulder and she received rehabilitative treatment for 2 weeks including range of motion exercise of the shoulder and strengthening exercise of the rhomboideus muscles. On the follow up examination, at 2 months after the operation, there was no weakness or deformity of the affected shoulder and no pain nor limitation of shoulder motion. She was satisfied with the recovery of her shoulder function ().</t>
  </si>
  <si>
    <t>The subject was a 14-year-old female patient with EDS hypermobile type. She had perceived her recurrent shoulder dislocation from childhood. She complained of shoulder pain and restriction of activity in daily life (ADL) during shoulder movement due to shoulder instability. There was no abnormal finding from radiological examination. There were no psychiatric diseases. She could dislocate her bilateral shoulder joint voluntarily. Her chief complaint was the bilateral shoulder discomfort and instability during writing motion. On her first examination by a doctor, she was treated conservatively, using the exercise program for 6 months []. On her second examination by a doctor at another hospital, she was also treated conservatively, adding an orthosis for MDI to the exercise program (intervention A) []. The patient received an explanation about this report and provided informed consent that complied with the Declaration of Helsinki.
The patient had a slight build with a height of 156 cm and weight of 44 kg. To evaluate her bilateral shoulder function, her active range of motion (ROM) (), sulcus sign, and shoulder instability in each direction were measured on the time point at the beginning of intervention A. Her passive ROM was not able to be measured because her humeral head was dislocated so easily with passive ROM exercise. Muscle strength was also difficult to measure due to dislocation with ease. Although her humeral head dislocated many times during rehabilitation, the doctor allowed her rehabilitation because there was no increase of persistent pain and she could centralize her humeral head voluntarily. The modified Rowe score was measured to evaluate shoulder instability [] ().
EDS patients usually suffer from many musculoskeletal symptoms, even when they grow up []. On the other hand, it has been demonstrated that patients who have shoulder MDI will recover shoulder function during movement after rehabilitation programs [, ]. However, the prognosis of this patient was challenging because patients with EDS were excluded from the rehabilitation programs.
The AB design includes some measurement of outcome variables throughout a baseline control/comparison phase A and then throughout another intervention phase B []. In the early part of rehabilitation, the patient was provided with an exercise program for MDI with orthosis [] (intervention A). The term was continued for 3 months. In summary, she performed shoulder isometric muscle exercises using the TheraBand (Hygenic, Akron, Ohio) for the rotator muscles and scapula stabilizers with supervision by a physical therapist. The program includes five exercises: resistance exercises of shoulder abduction, internal rotation, external rotation, extension, and flexion. Assistance from a physical therapist to stabilize the humeral head was often needed so as not to dislocate it. The resistance during exercise was gradually increased according to her performance regarding shoulder dislocation. A physical therapy session was provided one to two times a week. Each session was 40 minutes. Compliance of home exercises was no more than about twice a week.
In the latter part of rehabilitation, the patient was instructed to perform the Watson program for MDI [, , ] (intervention B). The Watson program is an exercise program that aims for coordination of scapular muscles with strengthening rotator cuff and deltoid muscle. This phase also lasted for 3 months. In summary, this program consists of six stages that focus on retraining specific scapular control before any deltoid and rotator cuff exercise. The patient should make progress with exercise into functional and sport-specific ranges. She also received a physical therapy session one to two times a week. Each session was 40 minutes. In the first stage, correction of her humeral head by a physical therapist was effective during shoulder movement. The scapular control exercise was performed with assistance. She could make progress to stage 2 within 1 month. She could finally perform stage 5 exercises after 2 more months of rehabilitation. Compliance of home exercises was more than 3 days a week.
The intervention was performed from July 2017 to January 2018. The patient was followed up until July 2018. The active ROM increased, while the passive ROM was not increased, due to easy dislocation (). The sulcus sign was still positive after intervention and at the time point of the final evaluation. The shoulder instability score was improved after intervention B (). She felt no pain and discomfort during writing motion after the time point. She could also control both humeral heads within proper position during ADL. A fair outcome was achieved by the final evaluation.</t>
  </si>
  <si>
    <t>We describe a 20-year-old male from the Mbuyuni area of northern Tanzania who presented to Kilimanjaro Christian Medical Center (KCMC) in January 2020 with weight loss, splenomegaly, severe cachexia, and watery diarrhea. However, the leading symptom on presentation was watery diarrhea for 3 weeks.
The patient was accompanied by his father who reported that his son suffered from cachexia starting age 17. Prior to age 17, his medical history was unremarkable. His parents and 7 siblings are all healthy.
At the time of initial symptom onset, the patent lived in the Simanjiro district for cattle herding, while the rest of his family members lived in the suburban area of Arusha. He reported several insect bites during his period of working as a cattle herder. His symptoms gradually worsened with increasing weight loss and splenomegaly and as well as skin rashes and maculae in his face. After a year, he sought treatment from traditional healers. After another year of no improvement from consultation of the traditional healer, he presented to an outside hospital in the Arusha region (unknown diagnostic and treatment approach). Eventually, he was admitted at KCMC for further diagnostics.
On admission to KCMC, the patient’s primary complaints were abdominal pain and swelling. The laboratory tests on admission revealed white blood count of 1.51 × 109/L (neutrophils 37.3%, lymphocytes 58.4%, monocytes 3.7%, eosinophils 0.4%, and basophils 0.2%), red blood cell count 2.21 × 1012/L, hemoglobin 4.9 g/dL, thrombocytes 56 × 109/L, creatinine 41 μmol/L, aspartate aminotransferase (AST) 12.9 U/L, alanine aminotransferase (ALT) 7.6 U/L, sodium 124.6 mmol/L, potassium 2.9 mmol/L, and chloride 106 mmol/L. HIV test result is negative. The sputum polymerase chain reaction (PCR) for tuberculosis (GenXpert, Cepheid, Sunnyvale, California, United States of America) was negative; a chest X-ray investigation was normal; and ultrasound of the abdomen revealed hepatosplenomegaly.
On physical exam, he appeared pale and was wasted with a body weight of 39 kg and a height of 172 cm. On abdominal exam, his spleen was enlarged 18 cm below costal margin; the liver was enlarged 3 cm below costal margin; there were traditional healer marks throughout the abdomen; there were no palpable lymph nodes; and the lungs and heart were normal. His skin exam demonstrated hypopigmented maculae scattered on his face with accentuation in the perioral region () and skin-colored maculae on his trunk and arms. The latter occurred a few months before presentation in the hospital. Alopecia areata was also noted.
His travel history includes a 3-month stay in Mombasa (Kenya), approximately 1 year prior to presentation, where he worked as a merchant. Travels to other areas in Kenya or other countries, especially to endemic VL areas, has been denied by the patient as well as travels within Tanzania.
Due to pancytopenia, the patient was referred to the Hematology section of the Cancer Care Centre at KCMC, where we performed bone marrow aspirate and biopsy, revealing Leishmania amastigotes in macrophages (Figs and ). The rapid test for Leishmania antibody detection (IT LEISH) from the peripheral blood and the bone marrow aspirate remained negative.
After discussion with senior experts in tropical diseases, we decided to reperform bone marrow aspiration for PCR in a reference laboratory, which found the aspirate positive for Leishmania species DNA.
Due to the unavailability of liposomal Amphotericin, we initiated treatment with Amphotericin B (1 mg/kg IV). Unfortunately, the patient passed away on the fourth day of treatment due to sudden onset of respiratory insufficiency. Beside evidence of massive organ manifestations of VL (Figs –), the autopsy revealed pneumonia ().</t>
  </si>
  <si>
    <t>A 57-year-old woman (180 cm, 60 kg) was presented to the emergency department with upper abdominal pain and left-sided chest discomfort for a couple of days. In addition, she reported of nausea. Upon physical examination, percussion sounds over the left lower thorax were a bit dull and cervical lymph nodes were palpable with a size of up to 1 cm. The abdomen was generally tender without signs of peritonitis; bowel sounds were normal. The ECG showed no abnormalities. Routine laboratory tests revealed mild leucocytosis and a slightly elevated C-reactive protein level. Troponin, myoglobine, and creatine kinase levels were within normal limits. An upper gastrointestinal endoscopy was performed. Whereas the oesophagus, the lower stomach, and the duodenum were
without abnormalities, a small hole in the fundus was visible after inversion of the scope ().
The “hole in the stomach” was intubated with a catheter and contrast dye was administered. Fluoroscopy revealed a diaphragmatic hernia with a large herniation of the gastric fundus (). Immediate laparotomy showed a 3 cm orifice of the
diaphragm (). The orifice was widened and a partial necrosis of the incarcerated fundus was resected (). The diaphragmatic orifice was covered with polydioxanone. The patient recovered fully and 
was discharged 12 days after laparotomy.</t>
  </si>
  <si>
    <t>A 3-year-old girl visited the Emergency Department because she had not been able to eat well and had a fever since one day ago. She had no abdominal pain, vomiting, or diarrhea. She had taken only the prescribed acetaminophen one day before. According to her past medical history, she went to kindergarten, had not traveled recently, had no history of pancreatitis, autoimmune disease, choledochal cyst, or pancreatic ductal abnormalities, and her family history was negative for pancreatic disease. She has one older sister, and her sister did not have symptoms such as fever. Her vital signs at admission were as follows: blood pressure, 97/60 mmHg; heart rate, 104 beats/min; respiration rate, 24 breaths/min; and body temperature, 37.4℃. Her height was 98 cm (50th–75th percentile), and her weight was 15 kg (50th–75th percentile). On physical examination, multiple vesicles on the soft palate and maculopapular rashes were observed on both the hands and feet. She had a clear breathing sound, regular heartbeat without murmur, and soft abdomen with a normoactive bowel sound without an abdominal mass or abdominal tenderness. In initial laboratory studies, the serum glucose was decreased (41 mg/dL), erythrocyte sedimentation rate was slightly increased (17 mm/hr; reference range, 0–10 mm/hr), and C-reactive protein was slightly elevated (12.9 mg/L; reference range, 0.0–5.0 mg/L), and other laboratory studies were within the normal ranges. The white blood cell count was 7.8×103/µL, hemoglobin was 12.6 g/dL, platelet count was 252×103/µL, blood urea nitrogen was 15.0 mg/dL, creatinine was 0.42 mg/dL, cholesterol was 187 mg/dL, albumin was 4.3 g/dL, total bilirubin was 0.39 mg/dL, direct bilirubin was 0.11 mg/dL, aspartate aminotransferase was 34 IU/L, alanine aminotransaminase was 10 IU/L, sodium was 135 mmol/L, potassium was 4.4 mmol/L. Amylase and lipase tests were not performed at the time of admission. Urine ketone body was 3 positive in urinalysis. A chest X-ray showed no active lung lesions, cardiopulmonary angle blunting, or cardiomegaly. Abdomen X-rays showed a nonspecific bowel gas pattern without ileus or pancreatic calcification.
We treated the child conservatively with intravenous fluid. On the first hospital day (HD), her fever subsided. On the third HD, she complained of ear pain caused by acute otitis media and intravenous amoxicillin/clavulanate was administered at a dose of 90 mg/kg/day. On the fourth HD, she experienced severe epigastric pain and vomiting. Her vital signs were as follows: blood pressure, 107/80 mmHg; heart rate, 109 beats/min.; respiration rate, 24 breaths/min; and body temperature, 37.2℃. On physical examination, she complained of epigastric tenderness. The serum levels of amylase and lipase were remarkably elevated (amylase, 1,902 IU/L; reference range, 28–100 IU/L; lipase, &gt;1,500 IU/L; reference range, 13–60 IU/L). Ultrasonography of the abdomen showed mild diffuse swelling of the pancreas from head to tail with a small amount of ascites (), which suggested acute pancreatitis.
Considering the patient's history of HFMD, we thought that enterovirus, which is a common cause of HFMD, could be a pathogen. We asked the Korea Centers for Disease Control and Prevention for enterovirus typing of her stool sample. In the first step, real-time reverse transcription polymerase chain reaction (RT-PCR) was performed on the specimens targeting the 5' noncoding region capable of detecting all 68 serotypes, and the result was enterovirus-positive. In the second step, 2-step RT-PCR was performed targeting viral protein 1, which has a different structural enterovirus protein for each subtype, and CA16 was detected in the sample.
After acute pancreatitis was diagnosed, the patient was fasted and given sufficient intravenous fluid. Acetaminophen and ibuprofen were given for pain control. Serum amylase and lipase were serially followed (). The fever, epigastric pain, and vomiting were recovered on the sixth HD. She was discharged on the 11th HD without pancreatitis-related complications. On the day of discharge, the serum levels of amylase and lipase were remarkably reduced (amylase, 289 IU/L; lipase, 893 IU/L).
She was followed up after discharge without any symptoms, and pancreatitis has not recurred yet. Laboratory tests performed 6 months after discharge showed normal levels of serum amylase and lipase ().</t>
  </si>
  <si>
    <t>Calcium Correction for Hypoalbuminemia</t>
  </si>
  <si>
    <t>Using the Calcium Correction for Hypoalbuminemia formula, what is the patient's corrected calcium in mg/dL? Your may set your normal albumin concentration to be 4 g/dL.</t>
  </si>
  <si>
    <t>An 86-year-old male previously treated for hypertension presented to the emergency department with two days of sudden abdominal pain and nausea which resolved temporarily after self-induced emesis. Patient was examined and investigated thoroughly. Temperature was 36.3 C, blood pressure was 138/81, and pulse was 78. Physical examination revealed a tender, firm and distended abdomen with hyperactive sounds. Laboratory analysis revealed hemoglobin at 10.3 g/dL, leukocytes 3.1 K/cmm, urea nitrogen 19 mg/dl, creatinine 0.6 mg/dl, sodium 137 mmol/l, potassium 3.6 mmol/l, chloride 104 mmol/l, bicarbonate 24 mmol/l, calcium 8.6 mg/dl, total protein 6.3 g/dl, albumin 3.1 g/dl, total bilirubin 0.7 mg/dl, alkaline phosphatase 98 U/l, SGOT 20 U/l, SGPT 27 U/l. Laboratory values were consistent with patient’s previous clinic visits. Computed tomography (CT) of the abdomen revealed a fluid-filled, significantly dilated stomach as well as multiple dilated loops of small bowel with air-fluid levels consistent with mechanical small bowel obstruction caused by intussusception of small bowel (Fig. ). After initial fluid resuscitation and antibiotic administration, consent was obtained for emergent exploratory laparotomy. The exploratory laparotomy revealed a 3.0 × 2.5 cm intraluminal calculus in the ileum responsible for the small bowel obstruction, without evidence of intussusception (Fig. ). The obstructing enterolith was ‘milked’ proximally until it reached, and subsequently ‘fell into,’ an isolated 6.0 × 3.0 cm jejunal diverticulum which had not been previously noted on CT imaging. The enterolith was removed along with the segment of the jejunum containing the isolated diverticulum, which was the source of the enterolith (Fig. ). On histologic examination, the mucosa of the extracted diverticulum was found to be granular and erythematous; the remaining small bowel had marked mucosal ulceration and near-transmural inflammation with granulation tissue. Hospital course was complicated by decreased urine output that resolved after fluid resuscitation. On the fourth postoperative day, nasogastric tube was discontinued, diet was advanced and tolerated, and the patient was discharged. Review of the patient’s CT scan of the abdomen revealed the isolated jejunal diverticulum that was consistent with the excised diverticulum (Fig. ).</t>
  </si>
  <si>
    <t>A 73-year-old male veteran presented with recurrent syncope and falls. He had decreased appetite, thirst, and urine output in the setting of progressive abdominal distention, pruritus, and painless jaundice in the prior month. His past medical history was significant for obesity (BMI=40.1), hypertension, and benign prostatic hyperplasia (BPH) with pertinent medications of ibuprofen (200 mg QID), furosemide (40 mg BID), losartan, doxazosin, and finasteride. A detailed dietary history prior to admission was lacking. Physical exam was notable for diffuse jaundice, abdominal distention, and severe mid-thoracic back pain later confirmed to be T6/T7 vertebral fractures.
Initial laboratory results showed stage 3 AKI with serum creatinine (SCr) elevated to 8.98 mg/dL from a baseline of 1.04 mg/dL. Supporting laboratory findings included elevations in phosphorus (7.6 mg/dL), parathyroid hormone (319.7 pg/mL), and low calcium (7.6 mg/dL), ionized calcium (0.93 mmol/L), albumin (2.8 g/dL), and 25-hydroxy vitamin D (16.4 ng/mL). There was an anion gap (21 mEq/L) with pH= 7.145 confirmed with arterial blood gas. Jaundice workup revealed an obstructive pattern with elevated total bilirubin (5.4 mg/dL), direct bilirubin (3.7 mg/dL), AST (79 U/L), ALT (140 U/L), alkaline phosphatase (392 U/L), GGT (214 U/L), and lipase (690 U/L). Soon after admission, he developed hypotension necessitating vasopressors and broad-spectrum antibiotics for presumed septic shock. AKI workup revealed deteriorating kidney function and development of anuria, requiring intermittent hemodialysis.
The etiology of renal failure remained unclear. Urine testing showed nephrotic range proteinuria, many bacteria, no red blood cells, no crystals, few hyaline casts, and no granular casts. A renal biopsy was performed and showed diffuse calcium oxalate crystal deposition with severe acute tubular injury (ATN) and mild interstitial fibrosis (). An evident cause of oxalate nephropathy was unclear, although it was suspected that pancreatic insufficiency leading to fat malabsorption and increased intestinal absorption of oxalate were responsible. Fecal elastase returned low at 54 μg Elastase/g stool to support pancreatic insufficiency while abdominal computed tomography (CT) without contrast showed exocrine atrophy of the pancreas. Serum oxalate was 3.6 mmol/L (normal range 1.0-3.0 mmol/L). A low-fat, low-oxalate diet with calcium citrate and pancrelipase supplementation was started.
Concurrently, a jaundice workup began with abdominal ultrasound which showed hepatomegaly, splenomegaly, numerous gallstones, and no inferior vena cava or portal circulation thrombosis. Of note, the common bile duct was not visibly dilated, raising concern for an upstream malignant stricture. MRCP showed marked dilation of the left intrahepatic biliary tree with abrupt termination and mild dilation of the right intrahepatic biliary tree, further raising suspicion of malignancy. ERCP with stenting to the right intrahepatic biliary tree duct was performed. Cytology, a markedly elevated CA 19-9, and imaging confirmed the diagnosis of cholangiocarcinoma (Klatskin tumor). Medical oncology discussed chemotherapy and radiation as alternative treatments, but the patient elected to enter hospice. His kidney function ultimately improved with return of nonoliguric urine output, cessation of dialysis, and improved creatinine to 2.45mg/dL and eGFR of 26 ml/min/1.73m3 at discharge.</t>
  </si>
  <si>
    <t>A 78-year-old man presented with dyspnea on exertion. He had undergone resection of a left atrial myxoma 4 years prior to admission. He had a history of diabetes mellitus with onset at the age of 60; at the age of 71, he started undergoing dialysis for chronic renal failure due to diabetic nephropathy. He also had hypertension, hyperlipidemia, hypothyroidism, and secondary hyperparathyroidism, and was undergoing radiation therapy for prostate cancer. He had never smoked and his family history was unremarkable. He became aware of dyspnea on exertion in the previous 2 months, and was admitted to our hospital because his condition worsened. UCG revealed that the LVEF had decreased sharply from 73 to 44% (New York Heart Association class III). In this case, the inflammatory response remained low and stable at C-reactive protein levels of 0.3 to 0.5 mg/dL until the second operation.
His height and weight were 170.0 cm and 64.4 kg, respectively. His blood pressure was 86/48 mmHg and heart rate was 70 bpm (normal sinus rhythm). His laboratory data were as follows: hemoglobin, 10.2 g/dL; platelet count, 132 × 109/L; total protein, 5.7 mg/dL; albumin, 3.3 mg/dL; triglycerides, 54 mg/dL; LDL-cholesterol, 44 mg/dL; HDL-cholesterol, 44 mg/dL; Ca, 8.1 mg/dL; P, 3.1 mg/dL; HbA1c, 7.0%; and BNP, 3461 pg/mL. His oral medications included aspirin (100 mg/day), furosemide (20 mg/day), carvedilol (2.5 mg/day), lansoprazole (15 mg/day), precipitated calcium carbonate (3000 mg/day), rosuvastatin calcium (5 mg/day), and nicorandil (15 mg/day).
ECG revealed normal sinus rhythm with Q waves in leads II, III, and aVF, and ST segment depression in V5-V6 (Fig. ). Chest radiography and CT revealed a CTR of 72% and severe calcified coronary arteries (Fig. ). UCG revealed poor left ventricular function (LVDd/Ds, 56/43 mm; LVEF, 44%; inferoposterior wall hypokinesis; and mild MR with RVP of 29 mmHg). Cineangiography 4 years ago had shown only 25% stenosis in the proximal LAD; at admission, it revealed 90% stenosis in the same proximal LAD, 99% stenosis in the proximal LCX, and 95% stenosis in the posterolateral branch (PL) of LCX (Fig. a, b). He had low blood pressure during dialysis and underwent emergency surgery (Euro II risk score 40.7%; STS risk score, 33.2%).
We performed a sternotomy similar to the one performed previously, and then performed CABG (LITA-LAD, and LITA-right internal thoracic artery [right internal thoracic artery, RITA-Diagonal branch-PL1-PL-2-PL3]). The duration of surgery and CPB was 514 and 172 min, respectively. The postoperative ventilator management was completed in 9 h. He stayed in the postoperative ICU for 4 days and was discharged on postoperative day 10. The LVEF had improved from 44 to 50%, and all grafts were well patent (Fig. ).</t>
  </si>
  <si>
    <t>A 66-year-old male was admitted to the ICU with complaints of chronic weakness, fatigue, myalgia, weight loss, and left flank pain. Comorbidities included hypertension, active smoking, and diabetes mellitus. Patient denied nausea, vomiting, diarrhea, hematemesis, melena, hematochezia, chest pain, or any shortness of breath. He had a recent admission due to community acquired pneumonia and was treated with antibiotics. He denied using any illicit drugs or alcohol abuse. He was retired truck driver by profession.
On examination, he was an elderly man with clinical signs of dehydration. Blood pressure was 155/56 mm Hg, heart rate was 67/min, respiratory rate was 16/min, was afebrile, and his oxygen saturation was 99% on room air. He had mild epigastric tenderness without guarding or rigidity. He had bilateral lower extremities chronic skin changes with scaling. The rest of the physical examination was normal.
Significant laboratory data revealed serum sodium 124 mEq/mL, potassium 5.1 mEq/mL, chloride 89 mEq/mL, bicarbonate 15 mEq/mL, blood urea nitrogen 44 mg/dL, creatinine 1.5 mg/dL, glucose 85 mg/dL, calcium 10.3 mg/dL, total protein 7.3 g/dL, and albumin 2.9 g/dL. The rest of the liver function tests were within normal limit. Anemia was with hemoglobin 9.4 g/dL, hematocrit 27%, platelets 558 k/μL, and white blood cells 10.4 k/μL. Arterial blood gas analysis showed pH of 7.36, pCO2 of 25 mm Hg, pO2 of 90.3 mm Hg, and oxygen saturation of 97% on room air. There was an anion gap of 20, lactic acid of 4.8 mmoles/L, serum lipase of 1540 U/L, amylase 406 unit/L, gamma GT 25 unit/L, INR 1.3, and lactate dehydrogenase (LDH) 950 unit/L; cancer antigen CA 19-9 was 49.9 μ/mL, TSH was 2.25 mIU/L, serum acetone was negative, and alcohol level was less than 10 mg/dL. His serial cardiac enzymes were negative and he was ruled out for an acute coronary event.
Chest X-ray (CXR) revealed bilateral patchy airspace disease. CT of abdomen and pelvis without contrast showed diffuse enlargement of the pancreas with homogeneous attenuation and without significant peripancreatic inflammation () with extensive retroperitoneal and pelvic adenopathy (). A para-aortic lymph node measuring 2.1 cm and retrocaval lymph node measuring 1.6 cm were seen. A soft tissue density surrounding the right common iliac vessels likely representing confluent adenopathy was seen. His echocardiogram showed an ejection fraction of 67%; right ventricle systolic pressure was estimated to be 44 mm Hg. Pericardium was normal without any pericardial effusion. There was no significant valvular abnormality.
Initially, the patients EKG showed 2nd degree Mobitz type I block which later progressed to complete heart block. Patient was given atropine without improvement; hence, a temporary pacemaker was inserted. He was started on IV hydration and IV antibiotics and all his electrolyte abnormalities were corrected. His temporary pacemaker lead came out and it was removed. Subsequently he became unresponsive, was orally intubated, had four cardiac arrests, and was successfully resuscitated. Due to persistent pulmonary infiltrates he underwent fiberoptic bronchoscopy with bronchoalveolar lavage (BAL) and transbronchial biopsies which showed evidence of pneumocystis jiroveci pneumonia (PJP). He was started on Bactrim for the treatment of PJP. He tested positive for HIV and was found to have a CD 4 count of 12/uL.
A temporary pacemaker wire was again placed after ruling out the relevant reversible causes of third degree heart block. A repeat echocardiogram was unchanged from prior one. CT-guided biopsy of the para-aortic lymph nodes was consistent with diffuse large B-cell lymphoma with marked tumor necrosis (). Immunoprofile showed that CD 20 (), CD 79a, and CD 10 were positive. CD 43, CD 3, CD 7, and BcL were negative. Upper endoscopy for percutaneous endoscopic gastrostomy placement showed gastric polyps which revealed gastric lymphoma on biopsy.
Patient was not a candidate for chemotherapy or ART due to critical condition. Hospital course was complicated by acute respiratory distress syndrome, acute kidney injury, and eventual death a month into his hospital stay.</t>
  </si>
  <si>
    <t>A 56-year old man presented to the Department of Internal Medicine with a deteriorated mental status. Laboratory tests performed in the emergency department demonstrated severe hypercalcemia at 17.95 mg/dl (reference range: 8.7–10.4), together with albumin levels of 3.2 g/dl, elevated levels of phosphor 5.9 mg/dl (reference range: 2.5–5), acute kidney injury with a creatinine level of 1.45 mg/dl (baseline creatinine level 0.9 mg/dl), urea, 73 mg/dl, uric acid, 12.8 mg/dl, estimated glomerular filtration rate 52 ml/minute, hemoglobin 11 mg/dl, and C-reactive protein 0.8 mg/dl. He was treated with an intravenous saline infusion, subcutaneous calcitonin, and intravenous glucocorticoids, followed by intravenous bisphosphonates. Due to his persistent hypercalcemia he was subsequently given 120 mg denosumab (Prolia). During hospitalization, there was significant improvement in his mental status concurrently with the normalization of his calcium level, which was 9.44 mg/dl at discharge.
His past history was remarkable for his 2016 diagnosis of Rai stage IV chronic lymphocytic leukemia. The fluorescence in situ hybridization reaction revealed the deletion of the short arm of chromosome 17 (del (17p)) in 20% of B-cell lymphocytes. In addition, in a bone marrow biopsy, the patient was found to have unmutated IGHV gene status and ZAP 70 expression in leukemia cells.
In 09/2017 he was admitted to the Department of Internal Medicine because of autoimmune hemolytic anemia. Treatment with a high dose glucocorticoid was started, followed by a slow tapering down of the dose. In 12/2017 he was again admitted to the Department of Internal Medicine with left hemiparesis, dysarthria, and left facial nerve palsy. Complete right carotid occlusion was found in the CT angiography.
After discharge, he was treated with 2 courses of a Rituximab + Bendamustine protocol with a significant decrease in lymphocytes counts. In September 2018 treatment with the second line agent Ibrutinib was started. One month later, he developed paroxysmal atrial fibrillation with spontaneous conversion to sinus rhythm. Six days before the present admission, the patient was hospitalized because of paroxysmal atrial fibrillation with no evidence of myocardial ischemia. Ibrutinib was stopped because it was presumed to be the cause of the arrhythmia. During his present hospitalization additional laboratory tests revealed an elevated LDH level of 2250 U/l (reference range: 230–480), an alkaline phosphatase level of 220 U/l (reference range: 30–120), and low levels of PTH: 4.8 pg/ml (reference range: 18.4–81), 25 hydroxyvitamin D level of 52 mmol/l (reference range: 75–220) with normal 1.25 dihydroxyvitamin D level of 61.3 nmol/l (reference range: 50–190), WBC 108.000 (reference range: 4.5–11.5 K/μl), Lymphocytes 57%, PLT count of 88.000 (reference range: 150–450 K/μl).
In the setting of his elevated LDH level, further decrease in his PLT level to 45.000 and severe hypercalcemia, it was decided to perform a positron emission tomography/computed tomography to assess the possibility of Richter transformation. The scan revealed a 1.3 cm nodule with an intensive uptake of tracer in the upper left lobe of the lung and in vertebra D 7, suspicious of metastasis (Fig. ).
He underwent a bronchoscopy with a transbronchial biopsy of the lesion. Non-small cell carcinoma displaying positive CK 7 and negative to TTF-1, napsin-A, and p 40 immunostaining was diagnosed. An epidermal growth factor genotype was negative for mutations. Immunohistochemical analysis was negative for ALK and ROS1 protein rearrangement as well as PDL1 expression. He underwent 1 course of chemotherapy in September 2019 that included carboplatin, paclitaxel, and pembroluzumab. Results of the molecular analysis of the tumor were negative for epidermal growth factor receptor (EGFR) genotype mutations, ALK and ROS 1 rearrangement, and PDL-1 protein expression. He then began treatment with venetoclax for his refractory CLL.
Ten days after starting therapy with venetoclax, he was admitted to the internal medicine department with large left upper lobe pneumonia. A chest CT revealed a large infiltrate with an air bronchogram. A subsequent urine antigen test was positive for legionella pneumonia. He completed treatment with respiratory quinolone for 21 days and was returned to oncological and hematological supervision.
The patient received a second course of chemotherapy, but 4 days later he was admitted with suspected pneumonia and despite the broad-spectrum antibiotic treatment, respiratory failure developed and he passed away.</t>
  </si>
  <si>
    <t>An 83-year-old female patient presented to our clinic with abdominal pain, lack of appetite, nausea, weight loss, and fatigue. The patient had lost nearly 12 kilograms in the past 6 months. Abdominal pain was localized in the right upper quadrant. She had obtuse pain that had no relation to food. It was found that the patient had osteoporosis in her history but did not receive any treatment. In the physical examination of the patient, who did not present any characteristics in her family history, the liver extended to 2 cm below the costal margin. She did not have ascites or splenomegaly. Heart and lung examinations were normal. Laboratory tests presented a normal hemogram. Biochemical tests revealed an aspartate aminotransferase (AST) level of 50 U/L, alanine aminotransferase (ALT) level of 20 U/L, total bilirubin level of 1.3 mg/dL, alkaline phosphatase (ALP) level of 101 U/L, gamma-glutamyltransferase level of 227 U/L, albumin level of 2.6 g/dL, total protein level of 4.9 g/dL, calcium level of 12,35 mg/dL, and a phosphate level of 2.6 mg/dL. The patient was hospitalized in order to investigate the etiology of hypercalcemia. The patient had a parathormone level of 9.5 pg/mL. These results excluded a diagnosis of primary hyperparathyroidism. The patient who was thought to have malignant hypercalcemia was started on intravenous fluid replacement and furosemide treatment. The patient who manifested a creatinine clearance of 55.5 mL/min/1.73 m2 was started on 2 mg zoledronic acid treatment. Tomography scans demonstrated no osteolytic bone lesions. During follow-up, the patient's calcium levels regressed to 9.7 mg/dL with the specified treatment. Abdominal ultrasonography performed due to right upper quadrant pain and hepatomegaly revealed multiple hypoechoic images in the liver, of which the largest was 1.5 cm in size, and a coarsely granular parenchyma. The dynamic CT of the patient demonstrated hypodense lesions with multiple areas of peripheral contrast enhancement that were particularly congregated in the right lobe, the largest of which had a size of 47 × 32 mm, and this was interpreted as metastasis (Figure ).
Levels of alpha-fetoprotein were determined as 91 ng/mL, cancer antigen (CA-125) as 258.6 U/mL, carcinoembryonic antigen (CEA) as 0.82 ng/mL, and cancer antigen 19-9 (CA19-9) as 2.1 U/mL. A biopsy was performed on the mass in the liver for diagnosis. Pathology result indicated cholangiocellular cancer (Figure ). The patient did not consent to surgical resection; therefore, a monthly zoledronic acid treatment was planned for pain palpation and hypercalcemia.</t>
  </si>
  <si>
    <t>A 68-yr-old female patient with body weight of 45 kg, having type-2 diabetes mellitus, hypertension, post-lumbar spine fixation (L2-L4) was posted for right-sided total hip replacement. She underwent coronary artery bypass grafting 4 years ago for ischaemic heart disease. Blood investigation showed haemoglobin 9.2 gm/dl, normal blood count, renal function and serum electrolytes. Serum calcium was 8.3 mg/dl and serum albumin was 3.2 mg/dl. Glycosylated haemoglobin was 6.0, revealing adequate blood glucose control. Electrocardiogram showed evidence of old inferior wall myocardial infarction. Echocardiography showed normal left ventricular function with mild hypertrophy. She was on tablet aspirin 75 mg once daily (OD) orally for antithrombotic prophylaxis.
In view of her cardiac history, adequate perioperative analgesia was needed along with general anaesthesia. Thus, right sided continuous erector spinae block along was planned in combination with general anaesthesia.
Preoperative antibiotic prophylaxis was administered with injection cefuroxime 1.5 g intravenous (IV). Under ultrasound guidance, a continuous erector spinae block was performed at L3 level. After explaining the procedure, consent was taken from the patient. She was placed in left lateral position for right sided block since we found it ergonomically easy to hold the ultrasound probe (high frequency linear probe) with left hand and place it transversely. An 18-guage tuohy needle was approached in-plane lateral to medial. When the needle initially touched the transverse process of L3 vertebrae, the needle was gently withdrawn and hydrodissection of the plane was achieved, lifting the erector spinae muscle. A 20-guage catheter was introduced through the needle and total length inserted was 3 cm more than the tip of needle. The catheter was secured properly for perioperative use. The patient was hydrated with 10 ml/kg of ringer lactate before induction of anaesthesia. Anaesthesia was induced with injection fentanyl 75 mcg iv and injection propofol 100 mg iv and laryngeal mask airway (LMA) size 3 was inserted. Anaesthesia was maintained with FiO20.5 (nitrous oxide and oxygen mixture) and sevoflurane. A bolus dose of 20 ml of 0.25% bupivacaine was given through the catheter placed in erector spinae plane. The procedure was uneventful with no haemodynamic disturbances and minimal blood loss. After surgery, inhalational anaesthetics were stopped, and LMA was removed. Patient had an uneventful recovery. Post-operatively, the patient was comfortable with infusion of 0.25% bupivacaine at 6 ml/h as continuous erector spinae block. She did not require any rescue analgesics. She was discharged on the fifth post-operative day after removing the catheter.</t>
  </si>
  <si>
    <t>A 26-year-old African American female with a medical history of SLE, ESRD due to LN, remote history of Steven–Johnson Syndrome due to sulfa allergy, and resistant hypertension presented to the emergency department with painful, peeling, blistering, rash and fever. She reported that the rash developed over a period of 3 months with an intermittent response to prednisone therapy. Three weeks prior to presentation, the rash became progressively worse. She developed fevers came on one week prior to presentation. The rash started on her arms and progressively spread. She admitted associated shortness of breath accompanied by a productive cough with green, bloody sputum, as well as nausea and vomiting. Patient reported compliance with her home dose of prednisone but may have not taken her mycophenolate mofetil regularly. She missed two sequential hemodialysis sessions due to pain with walking from the blistering rash on her soles of the feet.
Her physical exam was significant for fever of 100.6°F and tachycardia with heart rate of 130 beats per minute. Skin exam was evident for brown plaques on the forehead and bilateral cheeks with sparing of the nasolabial folds, with erosions and hemorrhagic crust involving the philtrum, ears, forehead, nose, chin, and lips. There were dark brown plaques with few erosions and atrophic scars on bilateral forearms and lower legs with deep red to violaceous painful targetoid lesions on the palms and plantar surfaces (Figures and ). The skin over the trunk had pink eroded macules, and there were pink patches on the back within a background of dusky necrotic plaques. There were multiple full-thickness epidermal necroses with large areas of bleeding with the denuded skin on the arms and chest in the sun exposed distribution (). Oral mucosae were negative for any oral lesions.
Patient was found to be pancytopenic with white blood cell count (WBC) 2.03 (Ref: 3.4–10.8 × 103/UL), absolute neutrophil count (ANC) of 1.25 (Ref: 1.4–7.0 × 103/UL), hemoglobin (Hb) 8.8 g/dL (Ref: 11.1–15.9 g/dL), hematocrit (Hct) 28.9% (Ref: 34–46%), platelet 69 (150–450 × 103/UL), sodium 138 mmol/L, potassium 3.9 mmol/L, chloride 98 mmol/L, CO2 21 mmol/L, BUN 41 mg/dL (Ref: 6–20 mg/dL), Cr 5.49 mg/dL (Ref: 0.57–1.0 mg/dL), calcium 7.2 mg/dL (8.7–10.2 mg/dL), albumin 3.2 g/dL, phosphorous 5.0 mg/dL (Ref: 1.2–2.2 mg/dL), AST 286 IU/L (Ref 0–40 IU/L), ALT 31 IU/L (0–32 IU/L), total bilirubin 0.5 mg/dL, alkaline phosphatase 136 IU/L, CK 91 U/L, serum lactate was 0.80 mmol/L, and ferritin was 5885 ng/mL (Ref: 15–50 ng/mL). Electrocardiogram was consistent with sinus tachycardia. Chest X-ray did not show any lung infiltrates or effusions. Ultrasound of the abdomen did not show an acute abdominal process, and the liver demonstrated normal echogenicity, echotexture, and size; the spleen was not enlarged. Sputum gram stain and cultures were unremarkable. Blood cultures were negative for bacteria and yeast. Patient was anuric due to chronic dialysis. Evaluation of lupus activity showed double-stranded DNA (dsDNA) antibody 42 IU/mL (Ref: 0–9 IU/L). Complement 3 (C3) was 43 mg/dL (Ref: 90–180 mg/dL) and complement 4 (C4) was 9 mg/dL (Ref: 10–40 mg/dL). Rheumatoid factor was negative. Sjogren's anti-SSA was &gt;8.0 AI (Ref: 0–0.9 AI) and Sjogren's anti-SSB was &lt;0.2 AI (Ref: 0–0.9 AI). HIV screen was negative, and viral hepatitis panels for hepatitis A, B, and C were negative. Skin biopsies showed focal interface changes, and periodic acid Schiff (PAS) stain was negative for fungal microorganisms. Gram stain highlighted surface cocci bacteria. VZV and herpes I/II immunostains were negative. The direct immunofluorescence revealed that finely granular deposition of C3, IgM, and fibrinogen is consistent with lupus.
Given her presentation of a fever, shortness of breath, and productive cough, there was a concern for postinfectious erythema multiforme. The nucleic acid amplification tests for multiple respiratory pathogens such as Mycoplasma, influenza A, influenza H1, influenza H3, influenza A virus H1 2009, influenza B, respiratory syncytial virus, parainfluenza virus type 1, 2, 3, 4, human metapneumovirus, rhinovirus/enterovirus, adenovirus, Chlamydia pneumoniae, and Mycoplasma pneumoniae were negative. Blood cultures did not grow any bacteria or fungal organisms. Skin wound cultures were also negative for any organisms except for skin flora. Historically, there were no preceding infections reported. Our presumptive primary diagnosis was acute on chronic cutaneous lupus with epidermal necrolysis due to noncompliance with medications; differentials included Rowell syndrome, bullous lupus, Steven–Johnsons syndrome, and toxic epidermal necrolysis (TEN). Hemophagocytic lymphohistiocytosis/mast cell activation syndrome (HLH/MAS) was also a concern given pancytopenia, fevers, elevated transaminases, and elevated ferritin. However, after further evaluation by hematology, HLH/MAS was less likely given halving of ferritin after first dose of intravenous steroids, lack of hepatosplenomegaly, lack of elevation in bilirubin and triglycerides, patient did not have persistent fevers, and soluble IL-2 receptor was 2021 pg/mL (Ref: 175.3–858.2 pg/mL), needed to be greater than 2400 pg/mL (greater than 2 standard deviations of reference range) to meet criteria, and clinical picture was also not as critical as usually seen. The clinical picture of atypical EM-like lesions, presence of chilblains, speckled ANA pattern, elevated anti-Ro/SSA, and absence of infectious or pharmacologic triggers in a patient with SLE confirmed our suspicion for Rowell syndrome.
Due to the extensive skin surface area involvement, the patient was treated with vancomycin intravenously for primary and secondary skin infection. Gram-negative coverage was held due to severe allergy to penicillin and cephalosporin antibiotics. The pancytopenia was suspected due to an acute flare of systemic lupus erythematosus, and the patient was initially started on methylprednisolone 1.5 mg/kg intravenously daily. Given more than 60% of body surface area (BSA) involvement, the patient was transferred to the burn unit for extensive debridement and multifaceted wound care. Mycophenolate mofetil was held given the elevated transaminases. Pulse doses of intravenous methylprednisolone were escalated to 1000 mg intravenous daily for three days given the concern for acute cutaneous lupus erythematosus with epidermal necrosis and concomitant MAS. After normalization of transaminases, negative testing for latent tuberculosis and hepatitis B and C, and negative blood cultures, the patient was given rituximab 375 mg/m2 intravenously at day 0 and day 15 with excellent maintenance of remission of skin disease and cytopenias. This dose was chosen by the treating provider, given patient being dialysis dependent, thus more immunosuppressed state at baseline and recent elevation in transaminases.
It was reassuring that early suspicion for MAS appeared steroid-responsive to pulse intravenous methylprednisolone. The soluble IL-2 receptor alpha measurement was not elevated, and serum ferritin halved after the first dose of pulse steroids. Despite the improvements in serum and systemic symptoms, the skin manifestations were slow to respond. During 2-week and 12-week follow-up of the patient, there has been maintenance of clear skin without any active cutaneous lupus manifestations. Systemic Lupus Erythematosus Disease Activity Index 2000 (SLEDAI-2K) was 0 at 12-week follow-up.</t>
  </si>
  <si>
    <t>A 66-year-old Taiwanese man was admitted to our medical oncology ward with the chief complaint of progressive exertional dyspnea for twenty days in December 2017. He had been diagnosed with bony metastasis from prostate cancer for 8 years and failed various kinds of treatment including luteinizing hormone-releasing hormone agonist (leuprorelin), androgen receptor antagonist (bicalutamide), denosumab and docetaxel. He was brought to our hospital after starting on dexamethasone and abiraterone acetate without improvement of serum prostate specific antigen level for two months in a medical center nearby.
There was no obvious bone pain, chills or fever. He denied other major systemic disease except essential hypertension under regular medical control. His chest X-ray film disclosed right side costophrenic angle blunting and a little fluid accumulation in the minor fissure without extensive pulmonary edema. Blood chemistry showed that levels of alanine aminotransferase, gamma glutamyltransferase, blood urea nitrogen and creatinine were within normal ranges. Abnormal results included alkaline phosphatase of 123 iu/L (normal 32 to 91), albumin of 3.2 g/dL (normal 3.5 to 4.8) and calcium of 7.7 mg/dL (normal 8.6 to 10). Serum prostate specific antigen level was 905 ng/mL (normal 0 to 4). Prolonged activated partial thromboplastin time (41.2 sec, control 31.5) and prothrombin time (international normalized ratio 1.23) were noted. Although plasma fibrinogen level was still normal (335 mg/dL, normal 200 to 400), the concentration of D-dimer was extremely high (over 20,000 ng/mL, normal less than 500). Blood routine test revealed hemoglobin of 6.4 g/dL, mean corpuscular volume of 89.4 fl, platelet count of 1,1000/μL, and white cell count of 7,200/μL with extraordinary abnormal differential counts: segments 19%, lymphocytes 35%, monocytes 1%, eosinophils 3%, bands 19%, metamyelocytes 11%, myelocytes 6%, promyelocytes 4%, blasts 1%, and atypical lymphocytes 1%. There were 48 nucleated red cells per 100 white cells. A diagnosis of leukoerythroblastosis was thus established based on morphological evidence ().
Bone marrow aspiration from right side posterior superior iliac crest gave a smear of full-blown metastatic carcinoma with many clustered, dispersed or microacinar groups of epithelioid malignant cells. Bone marrow biopsy from the same area showed a picture of metastatic adenocarcinoma composed of highly pleomorphic tumor cells with hyperchromatic nuclei, prominent nucleoli, and vacuolated cytoplasm, infiltrating diffusely in the marrow with a sheeted pattern. The carcinoma cells were positive for prostate specific membrane antigen, negative for cytokeratin 7 and cytokeratin 20 on immunohistochemical stains using Bond Polymer Refine Detection Kit (Leica Biosystem, Milton Keynes, UK) performed on automated Leica Bond MAX stainer (Leica Biosystem, Melbourne, Australia) with three primary antibodies (Leica Biosystem) ().
There were only a few small metastatic lesions over skull, manubrium, and ribs in bone scan performed two months earlier but diffuse bone marrow involvement and destruction could be seen in magnetic resonance imaging of spine done one month prior to the present hospitalization (). The patient decided to receive palliative treatment upon knowing his incurable disease status and died of multiple organ failure resulting from fulminant disseminated intravascular coagulation two weeks later.</t>
  </si>
  <si>
    <t>A 72-year-old man presents to the physician with a 3-month history of severe lower back pain and fatigue. The pain increases with activity. He has no history of any serious illness. He takes ibuprofen for pain relief. He does not smoke. His blood pressure is 105/65 mm Hg, pulse is 86/min, respiratory rate is 16/min, and temperature is 36.7°C (98.1°F). His conjunctivae are pale. Palpation over the 1st lumbar vertebra shows tenderness. Heart, lung, and abdominal examinations show no abnormalities. No lymphadenopathy is noted on palpation. Laboratory studies show:
Hemoglobin 9 g/dL
Mean corpuscular volume 90 μm3
Leukocyte count 5,500/mm3 with a normal differential
Platelet count 350,000/mm3
Serum
Calcium 11.5 mg/dL
Albumin 3.8 g/dL
Urea nitrogen 54 mg/dL
Creatinine 2.5 mg/dL
Lumbosacral X-ray shows an osteolytic lesion in the 1st lumbar vertebra and several similar lesions in the pelvic bone. Serum immunoelectrophoresis shows an IgG type monoclonal component of 40 g/L. Bone marrow plasma cells levels are at 20%.</t>
  </si>
  <si>
    <t>A 4050-gram male newborn was delivered vaginally to a 20-year-old mother at 413/7 gestational weeks with no dysmorphic features and discharged on the postnatal day two. On the postnatal day six, a distended abdomen was noticed and baby was admitted to another hospital for investigations. On abdominal examination firm mass was palpable. The liver was occupying the entire abdomen. The patient also had edema of the lower extremities and mild respiratory distress.
Initial laboratory findings including complete blood count (hemoglobin: 14.6 g/dl, white blood count: 22,800 /l, platelet count: 330,000/l), electrolytes and renal function tests were within normal range. Alanine aminotransferase level (19 U/l, N: &lt;45 U/l) was normal. However aspartate aminotransferase (85 U/l, N: &lt;41 U/l), gamma glutamyl transferase (238 U/l, N: 8-61 U/l) and total/direct bilirubin levels (3/1.6 mg/dl, N: &lt;1.1/&lt;0.3 mg/dl) were high. Serological evaluation for toxoplasma gondii, rubella, cytomegalovirus, herpes simplex, Epstein–Barr virus and parvovirus were all negative. Abdominal ultrasonography (USG) revealed hepatomegaly with a heterogeneous liver parenchyma and a 39x31 mm hypo-echoic solitary non-calcified mass in the right adrenal region. A computed tomography scan revealed a right adrenal soft tissue mass (4.8x3.6 cm) with no calcification and contrast uptake, and significant hepatomegaly. The spleen appeared to be in normal size but was replaced inferiorly because of the massive hepatomegaly. Serum neuron-specific enolase level was higher, 60 ng/mL (normal range: &lt;10 ng/mL), and alpha feto protein level (22754 ng/mL, N: &gt;45000 ng/mL at birth) was normal. Urine vanillylmandelic acid and serum ferritin levels were 5718 mg/day (N: 0.5-2 mg/day) and 531 ng/mL (N: 24-336 ng/mL) retrospectively. Bone marrow aspiration revealed no malignant infiltration, no rosette forming and no storage cells. On the postnatal day eighteen, doppler USG showed decreased flow in the IVC, secondary to compression. Based on clinical presentation and imaging modalities, the presumptive diagnosis of NBL was made and the case was referred to our neonatal intensive care unit (NICU) on the postnatal day twenty.
On admission to our NICU, he had respiratory distress with 40% O2 requirement and significant abdominal distension with visible thin venous vessels through his abdominal skin (Fig. 1a). He had tachypnea besides edema of lower extremities, scrotum and penile area. Complete blood count revealed anemia (hemoglobin: 9.5 g/dl), leukocytosis (33.300 /l) and mild thrombocytosis (536.000/l). Serum sodium (128 mEq/l), chloride (94 mEq/l), calcium (7 mg/dl) and phosphorus (0.7 mg/dl) concentrations were low. Serum uric acid and renal function tests revealed normal results (uric acid: 5.8 mg/dl, blood urea nitrogen: 9 mg/dl, creatinine: 0.43 mg/dl). Liver function tests revealed cholestasis (alanine aminotransferase: 40 U/l, aspartate aminotransferase: 101 U/l, γ-glutamyltransferase: 463 U/l, total/direct bilirubin: 3.05/2.02 mg/dl) and hypoproteinemia (total protein: 3.4 g/dl and albumin: 1.8 g/dl). Clotting studies demonstrated prolonged prothrombin time (PT) as 16 seconds (N: 9.4 to 12.5 seconds) and low fibrinogen level (0.89 g/dl, N: 2.38–4.98).
Second abdominal USG evaluation showed right suprarenal mass which was about 5 cm in diameter, severely diffuse hepatomegaly and ascites. After pediatric oncology consultation, the patient underwent hydration, chemotherapy and allopurinol treatments between the postnatal days 20–23. The patient received modified VEC (vincristine, etoposide, carboplatin) protocol due to poor clinical condition. In spite of the received chemotherapy, his clinical condition worsened progressively. The abdominal distention was so increased that he required high frequency oscillatory ventilation support. However, he did not develop signs of tumor lysis syndrome. The patient was accepted as chemotherapy-resistant NBL due to clinical deterioration with massive liver involvement on the 3rd day of treatment and surgical excision was performed (Fig. 1b, 1c). Pathology revealed intra-adrenal tumor with wide-spread expression of bcl 2 in addition to distant metastases in the liver and minimal lymphocytic infiltration. MYC-N amplification obtained from adrenal specimen revealed &lt;3 copies. IVC compression directly observed during the surgery resulted in severe circulation collapse and the patient died due to hypotensive shock and disseminated intravascular coagulation just two hours after the operation.</t>
  </si>
  <si>
    <t>A 12-year-old boy had to undergo operative procedure for epispadias and was on surgical prophylaxis with netilmicin 150 mg i.v. twice daily and ceftriaxone (500 mg) i.v twice daily. The boy received both the drugs for 3 days (six doses) following which he developed severe spasm of the feet and hands [Figures –]. On observation the patient was irritable, there was flexion of the hands at the wrists and of the fingers at the metacarpophalangeal joints and extension of the fingers at the inter-phalangeal joints; the feet were dorsiflexed at the ankles and the toes plantar flexed. Immediate laboratory investigation revealed the following picture: Serum calcium 7.2 mg/dL (normal, 8.7-11 mg/dL), potassium 3.9 mmol/L (normal, 3.5-5.5 mmol/L), and sodium of 145 mmol/L (normal, 135-155 mmol/L), serum creatinine 3.0 mg/dL and serum albumin 3.4 g/dL (normal, 3.8-4.4 g/dL) with normal urine output. Total bilirubin, serum glutamic oxaloacetic transaminase (SGOT), and serum glutamic-pyruvic transaminase (SGPT) were also normal. Assuming that the patient developed drug-induced nonoliguric renal failure; both the drugs were withdrawn and the surgery postponed. The hypocalcemia was managed with i.v calcium gluconate. 24 h following this episode the laboratory investigations were repeated, which showed serum calcium 9.3 mg/dL, potassium, 3.9 mmol/L, sodium 144 mmol/L and serum albumin 4.2 g/dL []. On recovery, the patient was discharged with oral calcium supplementation. After 4 weeks the surgery was planned. Netilmicin 300 mg once daily was given preoperatively for 1 day and continued postoperatively. But after 3 days (4 doses) postoperatively the patient developed the same features of carpopedal spasm with laboratory findings of hypocalcemia. On withdrawal of netilmicin and calcium supplementation the boy recovered.</t>
  </si>
  <si>
    <t>A 66-year-old female presented with nontraumatic, chronic dull-aching low back pain with worsening symptoms for the previous one year. The pain affected her walking such that she was “waddling” to avoid the pain. On occasions the pain would radiate to the right leg as well as anterior and lateral thigh but not past the knee. There were no associated paresthesias or significant weakness. She denied history of cancer, weight loss, fever, chills, or night sweats. There was no history of nephrolithiasis or bone fractures. She was being treated for diabetes and hypertension. She had history of pulmonary emboli of unclear etiology in the 1990 s. Surgical history included cholecystectomy in 1994, uterine endometrial ablation in 1996, and bilateral carpal tunnel surgeries. She had an allergy to penicillin causing a rash and an intolerance to sulfa causing abdominal discomfort. The patient reported remote history of smoking for 15 years, quitting 25 years ago. Family history was negative for bone disease. Physical exam was remarkable for her being overweight. She had a side-to-side waddle in her gait and slightly lifted her feet on walking. Straight leg raising test was negative. She did not have tenderness to percussion of the lower back but did have a gibbous at L-4. There was no back pain with movement. She had weakness at the iliopsoas and quadriceps bilaterally but no loss of sensation. An outside MRI of the lumbar spine showed an infiltrative lesion in the L-4 vertebra with collapse of the body (confirmed on repeat MRI at our institution, ). CT scan confirmed a pathologic fracture of L-4 with a lytic lesion. A bone scan showed mildly increased radiotracer uptake at L-4, and additional uptake was seen in several lower thoracic ribs bilaterally, as well as the xiphoid process, upper right femur, and skull, suggesting metabolic bone disease. The L-4 lesion was hypermetabolic on PET scan (). Initial CT guided biopsy of the lesion was nondiagnostic demonstrating only bone, fibrous tissue, and cartilage. Laboratory testing was remarkable for low serum phosphorus of 1.5 mg/dL (2.5–4.5 mg/dL). Additional abnormalities included elevated serum calcium of 10.6 mg/dL (8.9–10.1 mg/dL), inappropriately high parathyroid hormone (PTH) of 120 pg/mL (15–65 pg/mL), low 1,25-dihydroxyvitamin D of &lt;8 pg/mL (18–78 pg/mL), and mildly elevated serum alkaline phosphatase of 162 u/L (45–115 u/L). Serum albumin was normal at 4.0 g/dL (3.5–5.0 g/dL), serum creatinine was 1.2 mg/dL (0.6–1.1 mg/dL), and 25-hydroxyvitamin D was normal at 31 ng/mL (25–80 ng/mL). She had frank phosphaturia, especially for her level of serum phosphorus (772 mg, normal 0–1,099 mg). 24-hour urine calcium was low at 10 mg (20–275 mg). Serum and urinary protein electrophoresis with immunofixation were normal. Thyroid stimulating hormone (TSH) was normal at 2.12 mIU/L (0.3–5.0 mIU/L). Parathyroid scan was normal. Plasma FGF-23 from a peripheral vein was significantly elevated at 3,500 RU/mL (&lt;180 RU/mL), confirming TIO. Oral phosphate supplementation and calcitriol were prescribed. She was subsequently lost to followup from our medical center for two years, and when she returned, she reported that she had internal fixation with a rod placement for a spontaneous right femur fracture. She also had deep pain in her left thigh and was told by a local provider that she had a “brown tumor” in the left femur based on plain radiographs. She had not been taking phosphate supplements or calcitriol on a regular basis. Repeat laboratory investigations continued to show a significantly low phosphorus of 1.4 mg/dL (2.5–4.5 mg/dL), high serum calcium of 10.6 mg/dL (8.9–10.1 mg/dL), elevated PTH of 229.1 pg/mL (10–65 pg/mL), and serum creatinine of 0.9 mg/dL (0.6–1.1 mg/dL). Plasma FGF-23 level remained significantly elevated at 4,460 RU/mL (&lt;180 RU/mL). A repeat CT guided needle biopsy of L-4 showed a low grade spindle cell neoplasm with positive FGF-23 mRNA expression by RT-PCR (), confirming the diagnosis of mixed phosphaturic mesenchymal tumor (PMT). She suffered a spontaneous left peritrochanteric fracture requiring placement of an intramedullary device. The patient then elected to have surgery involving anterior resection of the L-4 vertebral body to complete total spondylectomy at this spinal level, along with corpectomy. Pathology of the resection specimen confirmed a spindle cell neoplasm consistent with PMTMCT. Six months after surgical resection, she was independent in activities of daily living but was using a walker for ambulation due to some difficulty walking and right foot drop. She was prescribed physical therapy. Follow-up laboratory testing revealed normal serum phosphorus at 2.5 mg/dL (2.5–4.5 mg/dL) and calcium of 9.6 mg/dL (8.9–10.1 mg/dL). PTH was 619 pg/mL (10–65 pg/mL). This is on minimal phosphate supplementation without calcitriol. Repeat plasma FGF-23 level remained elevated but had greatly decreased to 422 RU/mL (&lt;180 RU/mL).</t>
  </si>
  <si>
    <t>A 10-year-old Sudanese boy presented with frequent episodes of vomiting associated with epigastric pain and weight loss for 6 months. He had no respiratory, neurological, rheumatological, ophthalmologic, or dermatological symptoms. Physical examination showed a pale child with weight and height both below the 3rd percentile for age. Laboratory investigations were remarkable for anemia (hemoglobin 9.8 g/dL), ESR 114 mm/h, serum calcium 2.26 mmol/L, and low albumin level 28 g/L. Endoscopy revealed an erosive, friable, and nodular gastric mucosa over the entire stomach. Histopathology of biopsies revealed chronic noncaseating granulomatous inflammation []. Special stains and cultures for acid-fast and fungal microorganisms showed negative results. Colonoscopy was normal including terminal ileum. CT scan of the chest and abdomen demonstrated multiple, small, centrolobularly distributed nodules within the acini of both lungs and enlarged mesenteric lymph nodes. Ophthalmological examination showed evidence of uveitis. ACE level was elevated at 135 U/L. Similar to Case 1, extensive investigations for infectious, immunologic, and inflammatory conditions associated with GIT granulomatous inflammation were negative.
The combination of tissue findings of granulomatous disease from upper GIT, elevated ACE, systemic involvement, and negative workup for infectious disease suggested systemic sarcoidosis with significant GI involvement. The patient received corticosteroids at 1 mg/kg/day and omeprazole, resulting in resolution of GI symptoms and normalization of activity markers and ACE level. Tapering of corticosteroids over 3 months led to relapse of the disease. Again, remission was induced by a course of steroids supplemented by mesalamine (Pentasa 50 mg/kg/day) and azathioprine (up to 2.5 mg/kg/day) to maintain remission. Throughout the 4-year follow up, the course of the disease was punctuated by several relapses on tapering of corticosteroids and later development of vitamin B12 deficiency anemia: hemoglobin 10.6 gm/dL, macrocytosis (MCV 102, normal 80–91 fL), hyperchromasia (MCH 34.5, normal 20–31 pg), low serum vitamin B12 119.2 pmol/L (normal 162–638 pmol/L). Red blood cell folate level was normal at 16.2 nmol/L (normal, 10.4–42.2 nmol/L). Antigastric parietal cell antibodies were negative. The patient received weekly injections of vitamin B12 ( 1 mg weekly) for 6 weeks that raised the level to 231.8 pmol/L with correction of anemia and normalization of his peripheral blood picture.
Considering the steroid dependency of the disease and the short stature of the patient, he was commenced on infliximab 5 mg/kg administered intravenously at 0, 2 and 6 weeks and then every 8 weeks. The patient reported a significant subjective general improvement as well as resolution of his GI symptoms. ESR and ACE concentration returned to normal. A repeat of endoscopy after the 6th dose of infliximab infusion demonstrated loss of gastric folds pattern and loss of normal vascular pattern; otherwise there were no more erosions or friability. Biopsies from the gastric mucosa showed a marked reduction of inflammation, atrophic gastric glands, and absence of granulomas. At 5 years posttreatment with infliximab, the patient remains in remission off corticosteroids.</t>
  </si>
  <si>
    <t>Had to convert Ca and albumin to mg/dL before calculating</t>
  </si>
  <si>
    <t>A 66-year-old man was admitted to our internal medicine department for recurrent episodes of severe hypoglycemia. Type 2 DM was diagnosed when he was 31 years old and initially treated with oral antihyperglycemic agents. The patient discontinued oral antidiabetic agents and started insulin therapy 4 years before admission. At that time, he was treated with long-acting insulin glargine and insulin aspart. This insulin regimen was switched to insulin degludec/liraglutide 3 months before admission. While he was on insulin degludec/liraglutide, his home blood glucose monitoring ranged from 110 to 70 mg/dL. Five days before admission, while on insulin degludec/liraglutide in a dose of 18 IU daily, the patient started having recurrent episodes of diaphoresis. During those episodes, usually in the early morning before breakfast, his blood glucose levels were below 50 mg/dL. The patient suffered from several further episodes despite insulin dosage tapering and even after discontinuation. His past medical history was notable for heart failure with reduced ejection fraction, acute coronary syndrome, and osteomyelitis of the left foot. His family medical history included atrial fibrillation and DM. In addition to insulin, his therapy consisted in acetylsalicylic acid, bisoprolol, furosemide, ramipril, and atorvastatin. He denied oral antihyperglycemic agents. He had no known drug allergies, he was a former smoker, and he did not drink alcohol or use illicit drugs.
On admission, the patient's blood pressure was 130/80 mmHg, heart rate was 71 beats per minute, respiratory rate was 14 breaths per minute, and oxygen saturation was 98%, while he was breathing ambient air. The patient's body mass index was 26.7 kg/m2 (height: 173 cm; weight: 80 kg), and the physical examination was unremarkable. Laboratory data on admission showed glucose 50 mg/dl, HbA1c 50 mmol/mol, normocytic anemia (hemoglobin 11.9 g/dL, hematocrit 34.8%, and mean corpuscular volume 85 fl), a normal white cell and platelet count, aspartate aminotransferase (AST) 87 IU/L (normal range: 17–59), alanine aminotransferase (ALT) 62 IU/l (normal range: 21–72), gamma glutamyl-transferase 545 IU/l (normal range: 15–73), alkaline phosphatase 177 IU/l (normal range: 38–126), total bilirubin 0.47 mg/dL (normal range: 0.20–1.30), lactate dehydrogenase 1021 IU/L (normal range: 313–618), albumin 3.5 g/dL (normal range: 3.6–5.5), INR 1.18, C-reactive protein 7.5 mg/dl (normal range: 0-1), erythrocyte sedimentation rate 90 mm/h (normal range: 0–15), fibrinogen 621 mg/dl (normal range: 170–410), iron 37 μg/dl (normal range: 49–181), and ferritin 776 ng/ml (normal range: 20–325). Viral markers for hepatitis B and C were negative.
Further blood tests were ordered to rule out endogenous hyperinsulinism: C-peptide was 4.2 ng/mL (normal range: 0.5–3), insulin 89 μIU/mL (normal range: 5–25), while the patient's glucose level was 40 mg/dL, and sulfonylurea screening test was negative, confirming endogenous hyperinsulinism. Markers of neuroendocrine tumors were severely increased: chromogranin A (CgA) was 1790 ng/ml (normal range: 0–100), and neuron-specific enolase (NSE) was 458 ng/ml (normal range: 0–11).
Given the high suspicion of insulinoma and the altered liver function tests on admission, a full-body CT scan was ordered. CT scan showed a 4.3 × 2.2 cm pancreatic tail mass containing calcifications with multiple regional lymphadenopathies (). Multiple liver secondary lesions were found: the largest ones measuring 12 and 11 cm, respectively, in II-III and IVb-V segments. No lungs, bone, and brain metastases were detected. Additionally, a thyroid nodule of 2.6 cm was incidentally found. Hepatic metastases were highly suspected to be secondary to a malignant insulinoma, so ultrasound-guided percutaneous biopsies of the lesion in the II-III segments were performed (). Histological findings of four core biopsies consisted of hepatocytes infiltrated by a poorly differentiated and focally necrotic proliferating tissue of medium-sized atypical epithelial cells with solid growth pattern (). The cancer cells showed hyperchromatic nuclei with “salt and pepper” chromatin markedly Ki-67 positive, high mitotic index (10 figures × 10 HPF), and scant cytoplasm. Immunohistochemistry studies revealed the neuroendocrine nature and the partial insulin secreting activity of the lesion; CgA, synaptophysin, CD56, and CAM5.2 were diffusely positive; there was patchy (&lt;5%) insulin expression. Ki-67 index was 40–50. These findings were consistent with the diagnosis of metastatic, poorly differentiated (G3), neuroendocrine carcinoma with morphology and immunophenotype favoring a pancreatic primary tumor. Thyroid ultrasound () showed a weakly hypoechoic solid nodule (2.8 × 3.2 × 1.3 cm) with a central cystic component and regular margins located in the isthmus and a markedly hypoechoic solid nodule (0.9 × 0.9 × 0.6 cm) adjacent to the lower pole of the left lobe. Calcifications and intranodular flow were absent in both nodules, and regional lymph nodes were not enlarged. The results of thyroid function tests were within normal limits (TSH 0.7 mUI/L, normal range: 0.46–4.68), as well as were parathormone (PTH) (80.1 pg/mL, normal range: 13.6–85.8), calcium (8.76 mg/dL, normal range: 8.4–10.2), and phosphorus (4.32 mg/dL, normal range: 2.5–4.5). Serum calcitonin was slightly raised (30 pg/mL, normal range: 0–6), but immunohistochemical staining of the liver lesions was negative for such markers.
The patient's hospital stay was characterized by different episodes of severe hypoglycemia (as low as 18 mg/dL) occurring especially at night and in the early morning, manifesting only with diaphoresis. During those episodes, the patient never lost consciousness or developed seizures and even never complained of confusion, amnesia, weakness, diplopia, blurred vision, palpitations, or hunger. In order to reduce the hypoglycemic events, we started a symptomatic treatment with diazoxide and IV infusion of 10% dextrose, while waiting for histopathological confirmation of the disease. Unfortunately, due to the severity of this malignancy, after 8 days of treatment edema, hypotension, oliguria, and weight gain of 10 kg were observed; the patient's clinical status deteriorated rapidly, and 3 days later, the patient died from acute renal failure. Postmortem examination was not carried out according to his family's request.</t>
  </si>
  <si>
    <t>A 48-year-old Saudi male patient presented to our emergency room (ER) with a one-week history of weakness, fatigue and vomiting. His medical history was significant for the diagnosis of hepatitis C.
He denied any history of abdominal pain, hematemesis and melena or bowel problems. He gave no history of cough, expectoration, hemoptysis and dyspnea or weight loss. He had no history of alcohol drinking or cigarette smoking. He denied any history of unprotected sexual contact or drug abuse. He had a blood transfusion 18 years ago following a road traffic accident. He was started on pegylated interferon alpha therapy 20 weeks prior to his presentation as well as ribavirin treatment for his hepatitis C.
On physical examination, he was a well-developed gentleman with no cardiorespiratory distress, but looked confused. His vital signs were stable. His abdominal examination was soft, lax with no tenderness or organomegaly. His cardiorespiratory examination was normal. He had no lymphadenopathy and central nervous system examination was intact grossly with negative meningeal signs.
His blood investigations revealed normal complete blood count, renal function tests and blood glucose. He had normal lactate and lipase level. His transaminases were mildly elevated. His calcium level was 15.2 mg/dl with albumin level of 3.5 gm/dl. His parathyroid hormone level (PTH) was appropriately suppressed []. He was managed by the emergency physician with aggressive normal saline hydration, intravenous pamidronate and hydrocortisone.
Endocrinology service was consulted and impression of non-parathyroid hormone related hypercalcemia was suggested. His work-up showed bilateral hilar opacity on chest X-ray, which was confirmed by a computerized scan of the chest showing bilateral hilar lymphadenopathy. His mediastinal lymph node biopsy showed non-caseating granuloma consistent with sarcoidosis.
During his hospital stay, his mental status improved and his calcium level returned to normal level within 30 days. He was managed with 0.9% normal saline hydration, and furosemide with cessation of his hepatitis C therapy []. A diagnosis of sarcoidosis with severe hypercalcemia induced by interferon therapy was made. This is based on clinical, biochemical, radiological and histopathological criteria. The CT scan of his chest was repeated two months later and showed complete resolution of the hilar lymphadenopathy without the use of steroid, which confirmed this association.
This case describes symptomatic hypercalcemia as the initial presenting feature of interferon-induced sarcoidosis during hepatitis C therapy approximately 20 weeks after initiating therapy with pegylated interferon α-2b and ribavirin.</t>
  </si>
  <si>
    <t>An 8-year-old Saudi girl developed persistent daily fever, weight loss, and cough for two months. Her grandmother had pulmonary tuberculosis 15 months prior to the onset of symptoms. The family sought medical advice first in a local hospital where investigations revealed bilateral pneumonia, left-sided pleural effusion, and bilateral pulmonary nodules. There was a history of animal contact but no raw milk ingestion. She had normal bowel habits with no jaundice, dysphagia or any other GI symptoms. She had no neurological, rheumatological, ophthalmologic, or dermatological symptoms. Physical examination revealed a pale girl, at 10th percentile for weight and height, and hepatosplenomegaly. The laboratory examination was remarkable for anemia (hemoglobin 7.9 g/dL), erythrocyte sedimentation rate (ESR) of 120 mm/h, and an alanine aminotransferase of 75 U/L (normal, 0-35 U/L), serum calcium 2.6 mmol/L, and low albumin level 31 g/L. Abdominal computed tomography (CT) revealed hepatosplenomegaly and hypodense nonenhancing lesions throughout the liver (variable in size from a few millimeters to 3 centimeters), and multiple enlarged abdominal lymph nodes. Chest CT scan showed basal and peripheral nodular opacities. Tests for mycobacterium tuberculosis (MTB) including tuberculin skin test and serum QuantiFERON showed negative results. Liver biopsy showed noncaseating granulomas []. In light of the strong epidemiological exposure, antituberculous medications were initiated (combination of isoniazid, pyrazinamide, ethambutol, and refampicin). Despite compliance with treatment and proper dosing, the patient persisted to be febrile with further weight loss.
Three months later, the patient presented with repeated episodes of hematemesis and epigastric pain. Upper endoscopy revealed an erosive, hemorrhagic, nodular gastric mucosa over the entire stomach []. Histopathology of biopsies revealed chronic noncaseating granulomatous inflammation and tests for MTB, and fungal infection on the gastric biopsies were negative. Tests for antibodies associated with inflammatory bowel disease (perinuclear antineutrophil cytoplasmic antibodies, antiouter membrane protein C, and anti-Saccharomyces cerevisiae IgA and IgG) showed negative results. Oxidative burst test for chronic granulomatous disease was negative. Serum angiotensin-converting enzyme (ACE) level was 45 U/L (normal, 29-110 U/L).
Given the multisystem involvement with significant chest findings, tissue findings of granulomatous disease from the liver and upper GIT, together with exclusion of other causes of granulomatous inflammation, the patient was diagnosed with active disseminated sarcoidosis, and intravenous corticosteroids (methylprednisolone 2 mg/kg/day) and omeprazole were started. Ten days after steroid therapy, a repeat of upper endoscopy showed dramatic improvement in the esophageal and gastric appearance [], and a colonoscopy showed no colonic involvement and normal terminal ileum. Biopsies from the esophagus, stomach, and duodenum showed dramatic reduction in the inflammation and disappearance of the granulomatous changes. The corticosteroids were tapered over 3 months. At 6 months after diagnosis, chest and abdomen CT showed resolution of the hepatosplenomegaly, and clearance of the hypodense lesions. During the four years after the diagnosis, the child has remained in remission with normal growth and development.</t>
  </si>
  <si>
    <t>A 40-year-old man presented with a 4-year history of hypertension treated with aldosterone receptor antagonist (ARA2) and in 2008 a left lithotripsy. He had a family history of type 2 diabetes and cancer (type not specified). He presented with left lumbar pain, dysuria, and hematuria that improved with antibiotic therapy, multiple analgesics, and spontaneous expulsion of a 0.5 × 0.5 cm calculus. During the urologic assessment, the renal ultrasound detected an incidental left adrenal tumor. In the next months, he developed leg cramps and early satiety and lost approximately 8 kg of body weight.
Laboratory examinations reported serum sodium 138 mEq/L (normal 135–145 mEq/L), potassium 4.5 mEq/L (normal 3.5–5 mEq/L), calcium 11.1 mg/dL (normal 8.4–10.2 mg/dL), phosphate 2.5 mg/dL (normal 2.7–4.5 mg/dL), magnesium 1.7 mg/dL (normal 1.6–2.6 mg/dL), and albumin 4.2 g/dL (normal 3.4–4.8 g/dL). PTHi was also elevated (151 pg/mL, normal: 10–65 pg/mL) and vitamin D was normal (30 ng/mL). The screening for adrenal incidentaloma included urinary-free cortisol level of 104.61 mg/24 h (normal &lt; 130 mg/24 h), dehydroepiandrosterone sulfate of 150 µg/dL (normal: 95–530 µg/dL), plasmatic aldosterone concentration (PAC) of 24.9 ng/dL, plasmatic renin activity (PRA) of 0.207 ng/mL/h, PAC/PRA (aldosterone/renin ratio) of 124.5 (normal &lt; 30), urinary normetanephrine of 377 µg/24 h (normal 82–500 µg/24 h), and urinary metanephrine &lt;28 µg/24 h (normal 45–290 µg/24 h).
After biochemical confirmation of hyperparathyroidism, a Tc99m-MIBI scintigraphy showed an abnormally increased tracer uptake in the right superior parathyroid (). The abdominal CT scan confirmed the presence of a giant left adrenal tumor (20 × 13 × 20 cm) (). Despite the kidney displacement due to the large tumor, there was no evidence of arterial stenosis. Based on these findings, a diagnosis of primary hyperparathyroidism associated with an aldosterone-producing tumor (highly suspicious of malignancy) was made.
Blood pressure was treated with spironolactone and ARA2. During surgery, enlargement of both left and right parathyroid glands was observed and bilateral parathyroidectomy was successfully done with pathological diagnosis of diffuse hyperplasia of both glands. After surgery, serum calcium decreased to 9 mg/dL, phosphate decreased to 2.7 mg/dL, magnesium decreased to 2 mg/dL, and PTHi decreased to 48.75 pg/mL. Blood pressure was successfully controlled with medical therapy and a left adrenalectomy was performed 5 months later. Histologic study reported a 2750 g tumor with diffuse architecture, areas of necrosis, hemorrhage, and venous invasion, three of the nine criteria previously described by Weiss for malignant adrenal neoplasias which is compatible with the final diagnosis of adrenal adenocarcinoma []. Immunohistochemical analysis reported positivity to inhibin alpha and Melan-A (MART-1) and neuron specific enolase and synaptophysin and negativity to PS100 and chromogranin A, which confirmed the diagnosis of a neuroendocrine tumor. Unfortunately, we have no access to the molecular (RT-PCR) or immunohistochemistry techniques that could allow us to identify the type 1 PTH receptor in tissue samples.
After adrenalectomy, spironolactone was discontinued, blood pressure remained under control, and aldosterone levels were normal (6.1 ng/dL, normal &lt; 10 ng/dL). Later, the patient had a generalized seizure and magnetic resonance imaging (MRI) scan showed a tumor in the right frontal area compatible with a metastatic lesion (). Afterwards, he presented with severe arm pain that did not respond well to analgesics. A muscular biopsy performed reported carcinoma metastases. Despite chemotherapy treatment, he died 9 months later.</t>
  </si>
  <si>
    <t>A 53-year-old female with a history of prior psychiatric hospitalization for suicidal ideation was brought to the emergency department, after being found confused, and wandering in a field. She was found to have two bags of diphenhydramine with her. The patient was not a reliable historian and on questioning initially admitted to taking the pills in an attempt to sleep.
On presentation to the emergency department, she was agitated and confused. On arrival, she was registered to have a temperature of 100.1 F, blood pressure of 188/111 mmHg, pulse rate of 129 beats/min, and a respiratory rate of 20/min with oxygen saturation of 96% on room air.
On initial physical examination the patient appeared flushed, pupils had mydriasis, bilaterally dilated up to approximately 9 millimeters, and was non-reactive to light. Mucous membranes were dry, lungs were clear to auscultation. An abdominal examination revealed sluggish bowel sounds, neurological examination was not suggestive of focal neurological deficits. No evidence of trauma was identified. Signs, symptoms and physical examination on presentation, were consistent with anticholinergic toxicity.
Initial laboratory studies showed her to have WBC of 19.5 (RI 4.0–12.0 K/UL) with predominant neutrophils, hemoglobin 14.8 (RI 12.0–16.0 G/DL), BUN was 11 (RI 0–23 MG/DL), creatinine was 0.88(RI 0.00–1.11 MG/DL) sodium was 139 (RI 135–145 MEQ/L), potassium was 2.7 (RI 3.5–5.1 MEQ/L), AST 123 (RI 5–34 U/L), ALT 40 (RI 0–55 U/L), bicarbonate 19 (RI 20–31 MEQ/L), magnesium 2.5 (RI 1.6–2.6 MG/DL), calcium 10.3 (RI 8.4–10.2 MG/DL), albumin 4.8 (RI 3.3–4.7 MG/DL), phosphorus 1.4 (RI 2.3–4.7 MG/DL), TSH 1.058 (RI 0.350–5.50 UIU/ML). Cardiac troponin was found to be elevated at 0.32 (RI &lt;0.10 ng/ml). Investigations that followed included urine toxicology, which was negative for Amphetamine, Benzodiazepine, Barbiturate, Cocaine, Opiates, Phencyclidine, Methadone, Propoxyphene, and Cannabinoids. Urinalysis revealed her to have hematuria, proteinuria of 100 MG/DL, urine ketone 20 MG/DL. Computerized tomography of the head revealed no acute intracranial abnormalities. Creatine Kinase levels were elevated at 17,274 U/L (normal 29–168), CK-MB 38.9 NG/ML (RI 5 to 25 IU/L).
Arterial blood gas on initial presentation showed pH 7.37, PaCo2 37.9, HCO3 21.7, Lactate 3.61, PO2 32.4. An Electrocardiogram obtained on presentation showed shows sinus rhythm at a rate of 99 beats/min with a QTC interval of 487 ms. Aggressive hydration with 0.9% normal saline was initiated. Over the next few hours, serial electrocardiograms showed development of a right bundle block with significant QTC interval prolongation, of 765 ms.
The patient was transferred to the Intensive care unit to monitor for deterioration. Given the patient’s prolonged QTC interval and the rhabdomyolysis, sodium bicarbonate infusion was initiated. Transthoracic echocardiogram was done suggesting a normal left ventricular function, with no structural or wall motion abnormalities. Decremental QTC intervals were seen on serial electrocardiograms.
There was an improvement in her mental status and stabilization of vital signs with supportive care and hydration. Creatinine kinase levels (CK), however continued to rise and peaked at 32,343 (29–168 U/L) by day 2 of her hospitalization. Thereafter, a declining trend in serum creatine kinase levels was seen with aggressive hydration. No renal compromise was observed. Serum creatine kinase at discharge was 211 U/L.
The patient was evaluated by psychiatry. She confessed to having overdosed on the medication to harm herself, she was started on antidepressant medications and was admitted to inpatient psychiatric facility for suicidal ideation.</t>
  </si>
  <si>
    <t>Wells' Criteria for Pulmonary Embolism</t>
  </si>
  <si>
    <t>What is the patient’s score of Wells' criteria for Pulmonary Embolism?</t>
  </si>
  <si>
    <t>A 68-year-old man presented to the the emergency system with severe dyspnea and hypoxia (SpO2: 87% in ambient air). His past medical history was significant for hypertension, obesity, diabetes, and chronic renal failure. On admission (day 1), he had a temperature of 39°C, high blood pressure (170/100 mmHg), and heart rate (110 bpm in sinus rhythm (SR)). Diffuse breath sounds (rales) were found on both lung fields and the chest HRCT [, Panel E] revealed bilateral GGOs consistent with interstitial inflammatory lung disease. Nasopharyngeal and oropharyngeal swabs were immediately obtained, confirming SARS-CoV-2 positivity. After a CPAP attempt (days 1 and 2), the patient was intubated (day 3) with ventilatory support parameters demonstrating a high (PEEP of 15 cm H2O), FiO2 80%, and driving pressure &lt;15 cmH2O. Serum creatinine increased to 2.3 mg/dL (glomerular filtration rate of 31 mL/min), leukocytes were 8.3 × 109 U/L, lymphocytes were 0.9 × 109 U/L, and hemoglobin was 9.3 g/dL. The high-sensitivity troponin T curve was 59-43–35 ng/L (normal value &lt;14), NT-proBNP reached to 10.650 pg/mL (normal value &lt;153) and C-reactive protein peak was 29 mg/L (normal value &lt;6) with procalcitonin peak of 6.3 ng/mL (normal value range: 0–0.15). Interleuchin-6 values were 91.83 pg/mL and 37.63 pg/mL and he was treated with intravenous tocilizumab. Coagulation markers demonstrated a pro-thrombotic status with a platelet count of 160 × 109 U/L, D-dimer of 17 mcg/mL, fibrinogen of 656 mg/dL, and an aPTT of 33.8 s. ECG [, Panel F] showed atrial fibrillation with high heart rate (111 bpm), mild ST depression, inverted T waves in V4–V6, and a QTc of 437 ms. TTE revealed a moderate left ventricular systolic dysfunction (LVEF 40%) with a mildly dilated left ventricle (end-diastolic diameter of 61 mm), normal right ventricle in size and function, and normal cardiac valves. There was a moderate pericardial effusion, anterior to the right ventricle (maximum 15 mm in diastole). A mobile and elongated (0.3 × 4 cm) clot was noted within the effusion (Panel G). The patient was treated with lopinavir/ritonavir (400 mg BID), hydroxychloroquine (200 mg BID), and enoxaparin (1 mg/kg BID). Metilprednisolone (1 mg/kg OD) was added (day 6) together with beta-blockers, diuretics, and nitrates. Due to persistent atrial fibrillation, enoxaparin was switched to edoxaban (30 mg OD) on day 9. To date (day 15), the clot continues to decrease as seen on the chest HRCT (Panel H).
The prone position was used for the first four nights in the ICU. He was extubated the 15th day after intubation; noninvasive ventilation and HFNC were used the following days to optimize oxygenation.
At 6-month follow-up, the patient was in good conditions, lung lesions appeared reduced on chest HRCT, but at TTE pericardial clot appeared unchanged [].</t>
  </si>
  <si>
    <t>A 14-year-old female presented to our pediatric tertiary hospital emergency department (ED) with acute dyspnea and pleuritic chest pain following a presyncopal episode while walking up a flight of stairs. She was persistently tachycardic with a heart rate of 120 beats per minute at rest and higher with minimal exertion, tachypneic (20 breaths per minute), normotensive (mean arterial pressure 80-88 mmHg) and had mild hypoxia with baseline saturations of approximately 90% at rest, decreasing to the mid-80s with mobilisation. She was commenced on supplemental low flow nasal oxygen at a flow rate of three litres per minute which improved her oxygen saturations.
The patient was otherwise well with no history of recent viral illness, surgery, trauma, or periods of immobilisation. She had however commenced a COCP consisting of ethinyloestradiol (20 micrograms) and levonorgestrel (100 micrograms) ten weeks prior. The COCP was prescribed by her local doctor for a sharp pelvic pain which started with menstruation and persisted for three weeks, with complete resolution while taking the COCP. The patient reached menarche at twelve years old and experienced dysmenorrhea for the first three days of menstruation with menorrhagia. Apart from her maternal grandmother having endometriosis, there was no significant family history including thrombophilia or thromboembolic events. The patient denied smoking or recreational drug use. She was a competitive sports player who, within a month of commencing the COCP, experienced dyspnea and intermittent chest pain on exertion. Although these symptoms initially resolved with rest, her time to recovery gradually increased.
In the ED, a chest X-ray (CXR) revealed mild prominence of the pulmonary arteries bilaterally. Blood tests revealed elevated levels of D-dimer, 5.01 mg/L (normal range 0.02–0.49) and cardiac troponin I (cTnI) of 194 Hng/L (normal &lt; 10). Given the history and clinical findings, a computer tomography pulmonary angiogram (CTPA) was performed and confirmed the presence of a saddle PE () with thrombus occluding the right main pulmonary artery, left upper lobe segmental artery, and left interlobar artery. There was also evidence of right heart strain on the CTPA. An urgent echocardiogram revealed systolic dysfunction of the right ventricle (RV) and basal segment dyskinesia, and blood flow through the right pulmonary artery appeared absent. Given the presence of right heart strain, elevated troponin levels, and persistent tachycardia and hypoxia, urgent opinions were sought from multiple pediatric specialists including a respiratory physician, interventional cardiologist, haematologist, and cardiothoracic surgeon.
The patient was administered a 10 milligram (mg) bolus of intravenous alteplase, a recombinant tissue plasminogen activator (tPA), and admitted to the pediatric intensive care unit (PICU) where she then received an infusion of tPA (0.3 mg/kg/h) for 3 hours. The total dose of tPA administered was 80 mg. Following this, the patient was commenced on an unfractionated heparin (UHF) infusion, targeting an anti-Xa level of 0.3–0.7 U/mL. COCP administration was ceased.
Following thrombolysis, the patient's tachycardia resolved, although she remained tachypneic. A repeat echocardiogram within twelve hours showed improvement in the RV systolic dysfunction and definite blood movement through the right pulmonary artery, with ongoing presence of a significant filling defect occupying the vessel. UHF infusion was continued for 48 hours, after which time anticoagulation was changed to 80 mg subcutaneous enoxaparin, a low molecular weight heparin (LMWH), administered twice a day. Given the significant embolic material seen on the initial CTPA, further discussions ensued regarding the potential benefits and risks of catheter-directed intervention with the aim of decreasing clot burden and potentially reducing the risk of chronic thromboembolic pulmonary hypertension (CTEPH).
A repeat CTPA was performed on the fourth day of admission which revealed a substantial decrease in clot burden, no visible saddle embolus, and reduced right heart strain (). The patient no longer required supplemental oxygen and made a steady recovery. Eight days post admission, she was transitioned to a direct oral anticoagulant (DOAC), rivaroxaban, at standard adult dosing (15 mg twice a day for three weeks followed by 20 mg daily), prior to discharge home.
A thrombophilia screen performed was unremarkable (). She was referred to an adolescent gynaecologist to explore suitable alternatives to taking the COCP. Outpatient spirometry, body plethysmography, and diffusing capacity tests performed a month post discharge were unremarkable. She returned to her baseline function with resolution of the shortness of breath on exertion. A CTPA and echocardiogram performed six months post presentation revealed complete resolution of all pathological changes, and rivaroxaban therapy was stopped (). Written consent was obtained from the patient's parent for this case report.</t>
  </si>
  <si>
    <t>A woman in her 40s was diagnosed with ADPKD after a renal ultrasound was performed due to hypertension and deranged kidney function on a routine blood test. At that point, she had a slightly enlarged liver with normal liver function tests and massive renal cysts. She reached ESRD requiring RRT in 2005 and received a deceased donor kidney transplant 2 years later. She developed progressive graft dysfunction due to chronic allograft nephropathy that required starting PD in August 2014. In November 2014, she was admitted to our hospital with a 3-week history of lower limb edema with painful skin ulcers, symptomatic hypotension and tachycardia (118 bpm), anorexia, nausea, and incoercible vomiting. Physical examination revealed a blood pressure of 70/45 mm Hg and ulcers with necrotic areas and cellulitis in the external distal third of both legs. Laboratory findings revealed severe malnutrition (serum albumin 1.5 g/dL) and elevated inflammatory markers (C-reactive protein: 288 mg/L; procalcitonin: 1.9 μg/L). A Doppler ultrasound showed bilateral femoral vein thrombosis, and so pulmonary thromboembolism was ruled out and due to the extensive thrombosis, a complete hypercoagulability state check was done, but no abnormalities were detected and tumor markers were normal. An abdominal CT was then performed showing large liver and renal polycystic disease, both organs with giant cysts (&gt;15 cm). A giant hepatic cyst producing an extrinsic compression of the intrahepatic inferior cava vein (ICV) and massive venous thrombosis from ICV to bilateral iliofemoral deep veins involving the kidney graft vein was observed. The CT also demonstrated displacement and extrinsic compression of the stomach, pylorus, and duodenum due to another enlarged liver cyst, shown in Figures and .
After the CT findings, we considered the clinical presentation was consistent with an ICV syndrome due to ICV compression and thrombosis. Furthermore, vomiting and oral intake intolerance with severe malnutrition were caused by a complete pyloric and duodenal collapse by the enlarged liver cyst.
Anticoagulation therapy was started, but vomiting with oral intolerance persisted and the patient remained dependent on parenteral nutrition. Thus, percutaneous drainage and alcohol sclerosis of the compressive liver cyst was decided, with successful return of the stomach to its normal location, shown in Figure . Nausea and vomiting resolved in a few days, and adequate oral intake was resumed. Severe hypotension and tachycardia gradually improved, and a repeated CT revealed complete stomach expansion, as shown in Figure . PD therapy was modified but not disrupted, and 1 year later, the patient remained asymptomatic. As she did not have any coagulation abnormalities nor any evidence of neoplasia, the massive thrombosis of the ICV was deemed secondary to the extrinsic compression of intrahepatic ICV by enlarged liver cysts.</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</si>
  <si>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corrected calcium of 9.8 mg/dl,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</si>
  <si>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A 12-year-old girl was referred to the dental department for the assessment of a long-standing nonhealing ulcer on the labial mucosa of the lower lip. The lesion was first observed by the patient 2 years ago; however, the lesion was brought to the notice of the parents 6 months back which prompted them to seek the treatment. The patient had no symptoms otherwise. The size of the ulcer has remained constant over the past 2 years. There was no history of cough, fever, hemoptysis, and weight loss. She did not have any systemic condition, had no history of allergy, and was not on any medications.
She had consulted two dental practitioners in her village and was treated conservatively with the help of topical medications over the past 6 months. The older prescriptions revealed the use of mucopain gel (benzocaine 1.P. 20%), zytee gel (benzalkonium chloride 0.02%, choline salicylate 9%), and candid mouth paint (clotrimazole 1%). However, there was no change (increase or decrease in the size of the ulcer) or improvement in her clinical condition for the past 6 months.
General physical examination revealed that she weighed 33 kg and was 150 cm tall. The calculated body mass index of 14.7 kg/m2 indicated that she was underweight. Vital signs (heart rate – 82 beats/min, respiratory rate – 16 breaths/min, blood pressure – 120/80 mmHg, body temperature – 98.6°F) were within the normal range. Submandibular and submental groups of lymph nodes were examined and they were nonpalpable and nontender.
Oral examination revealed a round nonhealing ulcer on the labial mucosa of the lower lip on the left side measuring 4 cm × 4 cm. The ulcer was grayish-white in color with irregular borders. The edges were thin and undermined with slight induration at the base []. There was no tenderness on palpation. An incisional biopsy was performed under local anesthesia. The microscopy section from the lower lip showed the hyperplastic squamous epithelium, multiple granulomas composed of epithelioid cells and Langhan's giant cells, surrounded by lymphocytes and plasma cells []. No caseous necrosis was seen in the biopsy sample obtained. A preliminary diagnosis of TB/sarcoidosis was made.
Blood tests revealed a normal erythrocyte sedimentation rate (18 mm in the 1st h). The serum angiotensin-converting enzyme level was 58.2 U/L. Interferon-gamma release assay (IGRA) (Quantiferon-TB [QFT]) was positive (3.43 IU/mL). Results of Mantoux test interpreted 48 h after tuberculin injection (10 T.U) revealed erythema of 16 mm and induration of 18 mm. The chest radiograph revealed the absence of foci of infection indicating no pulmonary involvement. Thus, the diagnosis of primary TB was confirmed.
Treatment with anti-tubercular drugs was initiated. The patient was prescribed isoniazid 150 mg, rifampin 300 mg, pyrazinamide 750 mg, and ethambutol 400 mg daily for 2 months. The second phase of the treatment consisted of isoniazid 150 mg and rifampin 300 mg daily for 4 months. Lesion almost resolved within 3 weeks of initiation of the treatment [].</t>
  </si>
  <si>
    <t>A 15-year-old female presented to our emergency department with four episodes of generalized tonic-clonic seizures over the past 24 h. On examination, she was pale and drowsy, but devoid of any focal motor deficit. Her blood pressure was 130/80 mm Hg, pulse rate was 108/min, temperature was 36.8 degree Celsius, and random blood sugar level was 112 mg/dL. Two months prior to presenting to us, she started experiencing recurrent episodes of vague abdominal pain, which would last for several minutes to hours and resolve spontaneously. Two weeks earlier, she had a similar episode associated with acute urinary retention, for which she was treated with injection furosemide, injection amikacin, injection pantoprazole, and laxative elsewhere.
Evaluation in our hospital revealed anemia with hemoglobin of 9.2 g%, total white blood count of 10,300 cells/cu.mm, differential count showing 85% polymorphs, 13% lymphocytes, 2% eosinophils, and platelet count of 3.12 lakh cells/cu.mm. Peripheral smear study revealed normochromic normocytic anemia. Urinalysis was unremarkable. Her blood urea was 17 mg/dL and serum creatinine-1.1 mg/dL. Serum electrolytes showed presence of hyponatremia (Sodium = 103 mEq/dL) and hypokalemia (Potassium = 3.0 mEq/dL). Her magnesium was 3.9 mg/dL and phosphorus was 4.1 mg/dL. Initial computed tomography imaging of the brain was unremarkable.
She was euvolemic, and in view of acute severe symptomatic hyponatremia and hypokalemia, she was treated with intravenous 3% saline and potassium infusion. She was also initiated on intravenous phenytoin at a loading dose of 15 mg/kg followed by maintenance dose of 100 mg thrice a day for seizures. After 3 days of treatment, she recovered without any neurological deficit and her sodium and potassium levels gradually became normal.
Two days later, she developed status epilepticus again. Her electrolytes revealed sodium of 111 mEq/dL and potassium of 2.3 mEq/dL. She was again initiated on intravenous 3% saline and potassium supplements. She recovered without any neurological deficit. Her repeat urinalysis was normal.
Magnetic resonance imaging of the brain showed T2 fluid attenuated inversion recovery (FLAIR) hyperintensity in the right frontal lobe and subcortical U-fibers, in which case, the differentials thought of were posterior reversible encephalopathy, extra pontine myelinolysis, and post-ictal changes. However, in the absence of an acute rise in blood pressure and renal failure, posterior reversible encephalopathy was unlikely.
She was clinically euvolemic. Hyponatremia evaluation revealed serum sodium of 111 mEq/dL, serum osmolality of 244 mOsm/kg, urine osmolality of 440 mOsm/kg, urine sodium of 88 mEq/dL, serum uric acid of 2.8 mg/dL, serum creatinine of 0.9 mg/dL, serum cortisol of 15 mg/dL, and thyroid-stimulating hormone of 3.5 mIU/L. She was not on any diuretics. Hence, a diagnosis of syndrome of inappropriate anti-diuretic hormone (ADH) secretion was entertained. On evaluation, there was no evidence of any infection, organic neurological disorders, or malignancy. She was not on any antipsychotic therapy.
During the hospital stay, she continued to have muscle cramps with severe spasmodic episodes of abdominal pain, which now subsided on treatment with opioids. Ultrasonogram of the abdomen revealed sludge in the gall bladder, normal-sized kidneys, normal pelvicalyceal system, and a normal urinary bladder. Computed tomography of the abdomen revealed multiple tiny gall stones. Serum Amylase (275.9 U/L) and lipase (486.4 U/L) were elevated. During this episode of acute abdomen, her urine was noticed to have a reddish hue, which did not further change color on standing. Repeat urinalysis did not show any active sediments.
For the management of symptomatic gallstones, laparoscopic cholecystectomy was contemplated. Meanwhile, she again presented with acute abdominal pain and was treated with opioids. During this episode, her urine was noticed to be of port-wine color, which aroused a strong suspicion of porphyria. Hence we proceeded with the screening test for porphyria, i.e, the Watson Schwartz method which turned out to be positive [Figures and ] Also examination under ultraviolet lamp showed pink fluorescence at 410 nm. A 24-h urinary assay for porphobilinogen (PBG) and aminolevulinic acid (ALA) was done and they turned out to be normal, probably because it was done after the acute episode had subsided. However, with a strong suspicion of porphyria, analysis of the hydroxymethybilane synthase (HMBS) gene encoding HMBS was done using targeted next-generation sequencing. It revealed a heterozygous missense variant in exon 13 of the HMBS gene on chromosome 11 that resulted in the amino acid substitution of arginine for glycine at codon 280 (chr11:g. 118963657G&gt;A; Depth of coverage: 60×) (p.Gly280Arg; ENST00000278715.3). The observed variant lies in the porphobilinogen deaminase and C-terminal domain of the HMBS protein and has previously been reported in a patient affected with acute intermittent porphyria, thus confirming the diagnosis in our patient.[] She was started on intravenous glucose following which she became better. Anticonvulsants were stopped. She was advised high carbohydrate diet with added salt, lifelong. She is currently doing well and is on an OPD basis follow-ups.</t>
  </si>
  <si>
    <t>A 37-year-old male presented to the emergency department (ED) in police custody for “medical clearance” before being taken to jail. The patient was approached by police officers for suspicion of selling illicit drugs. When approached by police he ran away and was witnessed to swallow several small plastic baggies suspected to contain heroin. He was apprehended and brought to the ED. On arrival, he was asymptomatic with a blood pressure 144/83mmHg, heart rate 67bpm, respiratory rate of 19bpm, oxygen saturation of 99% on room air and afebrile. A Glasgow coma score was 15 and he was alert and oriented to person, place and time. Patient had a negative review of systems. On physical examination pupils were 4mm and reactive to light, lungs clear to auscultation and had normal respiratory rate with normal cardiovascular exam. Abdomen was soft, non-tender and non-distended with present bowel sounds. The patient admitted to ingesting approximately 20 packets of heroin to avoid being charged with possession. The patient declined activated charcoal and whole bowel irrigation (WBI) with polyethylene glycol-electrolyte solution (PEG-ELS). The patient declined a urine toxicology immunoassay screen. A computed tomography (CT) of his abdomen with contrast was obtained and read as normal except for a cluster of foreign bodies within the distal stomach likely contained within a plastic bag ( and ).</t>
  </si>
  <si>
    <t>A 13 year-old boy presented with fever and not swollen discomfort of the right elbow without swelling and tenderness. Four months previously, he had been diagnosed to have Ewing sarcoma of the right ilium and had undergone five cycles of preoperative chemotherapy. He had contracted a C. tropicalis urinary tract infection during a febrile neutropenia episode after chemotherapy, which was treated with itraconazole and broad spectrum antibiotics for 7 days. No growth was reported in the last urine culture after itraconazole treatment. Recently, he had been on preoperative chemotherapy (vincristine, ifosfamide, doxorubicin, and etoposide), which he had completed 9 days prior to presentation.
At presentation, his body temperature was 37.5℃, pulse rate 120 per minute, respiration rate 20 per minute, and blood pressure 130/70 mmHg. physical examination revealed a slight throat infection, but no sinus tenderness, nor tonsilar nor lymph node enlargement. Heart and lung sounds were normal, liver and spleen were non-palpable, and no edema or pain was found in the lower extremities. He complained of discomfort of the right elbow. Laboratory tests revealed pancytopenia, and complete blood count findings were leukocytes 160/mm3, absolute neutrophil count 40/mm3, hemoglobin 9.4 g/dL, and platelet count 8,000/mm3. Broad-spectrum antibiotics (piperacilin/tazobactam and isepacin) were immediately administered after obtaining blood and urine for culture studies.
After two days of antibiotic treatment, mild tenderness and swelling (without heating sensation) were detected on the right elbow. A simple radiograph obtained on the 3rd hospital day revealed soft tissue swelling with a positive fat pad sign (). Ultrasonography on the 4th hospital day showed soft tissue edema and articular effusion, and subsequently, 15 mL of yellowish fluid was aspirated from the joint and cultured (). A three phase bone scan () performed on the 6th hospital day for the differential diagnosis of tumor metastasis and infection showed a limited region of uptake on the right elbow, suggesting the possibility of arthritis.
The symptoms and signs of arthritis aggravated despite a 10-day course of broad-spectrum antibiotics. On the 11th hospital day, cultures of synovial fluid and tissue demonstrated the presence of C. tropicalis. However, blood and urine culture specimens were negative. Follow-up right upper elbow ultrasonography on the 11th hospital day showed elbow articular space effusion and hypertrophic synovium. Emergent decompression was performed on the same day, and a drain tube was placed in the right elbow articular space. During the operation, 2 mL of a yellowish-red turbid synovial fluid sample was obtained and submitted for culture, which later confirmed the presence of C. tropicalis. In addition, abdominal computed tomography on the same day showed no evidence of hepato-splenic candidiasis.
Intraveneous itraconazole 400 mg/day (5 mg/kg/day) was started on the 11th and 12th days. Intravenous itraconazole was decreased to 200 mg/day on the 13th day and then kept at the same dose. Fever, joint swelling, and arthralgia gradually resolved after itraconazole treatment, and after 2 weeks of intravenous itraconazole treatment on the 25th hospital day. Intravenous itraconazole 200 mg/day was substituted for oral itraconazole solution at 200 mg/day.
The antifungal treatment was maintained for three months, and from 14 days after treatment commencement the patient had no elbow pain and was without disability. Furthermore, no relapse of the fungal arthritis occurred during oral itraconazole therapy. Simple radiography and a bone scan carried out after 3 months of antifungal treatment showed no abnormal lesion related to septic arthritis, and oral itraconazole was discontinued.</t>
  </si>
  <si>
    <t>An 80-year-old italian woman of Caucasian origin presented to the emergency room at the Catholic University of Rome with severe abdominal pain and bloody diarrhea. Her symptoms, which had developed over the last four months, consisted of unrelenting lower abdominal pain that began 30 minutes after eating and lasted for about three hours. It was unrelieved by bowel movements or changes in position. For this reason, the patient reduced her food intake, and her weight decreased by 5 kg. The day before admission, bloody diarrhea developed.
The patient had a history of arterial hypertension, hiatal hernia, bilateral hearing loss due to chronic otomastoiditis, and polyarthritis (cervical, dorsal, and lumbosacral spondylosis; bilateral osteoarthritis of the hip). She had undergone open surgical cholecystectomy for gallstones in 1959. In 1998, she was hospitalized for rectal bleeding caused by acute diverticulitis. In 2004, she was diagnosed with adenocarcinoma of the papilla of Vater and had a cephalic pancreaticoduodenectomy. The pathological examination revealed a moderately differentiated intestinal-type adenocarcinoma measuring 1.5 cm in diameter that had invaded the muscle layers of the duodenal wall. The margins were tumor-free, and two lymph nodes were negative for malignancy. During that hospitalization, she developed paroxysmal atrial fibrillation that was converted to a normal sinus rhythm with amiodarone. Her medications included zofenopril (7.5 mg/day), manidipine (10 mg/day), esomeprazole 20 mg/day, celecoxib (400-600 mg/day), and acetaminophen plus codeine (500 mg plus 30 mg/day). She had no known drug allergies.
During admission, she was alert and oriented with normal vital signs (blood pressure, 150/70 mm Hg; heart rate, 80 beats per minute; temperature, 36.8°C). The lower abdomen was tender, but there were no signs of peritonitis. Although the bowel sounds were decreased, passage of flatus and feces was normal. There was no palpable organomegaly. The patient's lungs were clear on auscultation and a systolic ejection murmur (2/6) was heard over her aortic area. Admission laboratory tests revealed: hemoglobin 12.1 g/dl; white-cell count 15,290/mm3 (neutrophils 86%); platelet count 317,000/mm3; total protein 5.6 g/dl; albumin 3.2 g/dl. Serum electrolytes, creatinine, glucose, bilirubin, alanine aminotransferase, gamma glutamyl transferase, and amylase levels were within normal limits, as were the prothrombin and partial thromboplastin time. Plain films of the abdomen revealed no free intraperitoneal air or air-fluid levels, and the chest x-ray excluded the presence of pneumonia or nodules. Immediately after admission she was placed on an NPO (nil per os) regimen with total parenteral nutrition, and within eight hours her symptoms completely disappeared.
Abdominal CT (Figure ) revealed a hypodense mass measuring 4 × 4 cm in the space between the vena cava and the aorta, at the level of the origin of the celiac trunk. The mass extended caudally for about 4 cm, enveloping the origin of the superior mesenteric artery, the left renal vein at its confluence into the inferior vena cava, and the origin of the right renal artery, and anteriorly to the confluence of the splenic and mesenteric veins. Enlarged lymph nodes (1 cm) were observed at the hepatic hilum and in the intercavoaortic and left para-aortic spaces. Thickened bowel loops were also seen. This picture was consistent with local recurrence of the neoplastic disease.
A week later, oral feedings were resumed and the patient once again experienced diffuse abdominal pain and diarrhea. The pain responded poorly to conventional analgesics (scopolamine 20 mg IV, acetaminophen 500 mg PO, tramadol 37.5 mg PO t.i.d., fentanyl 25 μg transdermally), but it disappeared promptly when oral feedings were withdrawn.
A duplex ultrasound examination was performed to assess the mesenteric circulation (Figure and Figure ). To the extent that it could be explored, the artery showed no evident stenoses on B-mode or color- and power-Doppler evaluation. The superior mesenteric artery was characterized by a high peak systolic velocity (283 cm/sec) that was consistent with vascular stenosis. Blood flow in the celiac artery was turbulent, and the peak systolic velocity was also high (118 cm/sec). The patient was started on subcutaneous enoxaparin (4000 U/day) and transdermal nitroglycerin (10 mg/day, from 08.00 to 20.00). Since oral feedings could not be resumed, a central venous catheter was inserted for prolonged parenteral nutrition.
In view of the tumor histotype and the age and general condition of the patient, there was no indication for systemic chemotherapy and the patient was transferred to a hospice. She remained pain-free without any form of analgesics and had a relatively good quality of life until her death three months later.</t>
  </si>
  <si>
    <t>We report a case of 49-years-old male who received a kidney from a live unrelated donor since 7 years ago. During these seven years multiple low grade fevers was being appeared every year that healed without a diagnosis. On 29 May 2013, he presented with 39 °C fever associated with dysuria, oliguria, right lower quadrant abdominal pain, anorexia, cough and dyspnea. The patient had also history of diabetes mellitus, hypertension and gout. Blood pressure measured 130/90 mmHg, pulse rate 96 per minute, and respiratory rate 18 per minute. Laboratory tests were as follow: BUN= 19 mg/dl, Cr= 2 mg/dl, Na= 133 mEq/l, K=4.5 mEq/l, FBS=130 mg/dl, ESR= 50 mm/hour, CRP= 44.1 mg/dl, WBC= 5.8 ×106/µL, RBC= 4.02 × 106/µL, Hg= 11.3 g/dl, hematocrit= 33.6%, MCV 83.58 fl, and platelet= 171 × 106/µL. In sonography investigation, his kidney graft was 123×55 mm with normal parenchymal echo. The test for cytomegalovirus (CMV Ag-pp65) was negative and enterobacter growth was seen in the blood culture. In high resolution computed tomography (HRCT), an increase in heart size, mediastinum vascular swelling, reticular densities, septal thickness, bronchial wall thickness, mild bronchiectasis, patchy and nodular alveolar densities on the inferior lobe of both lungs were seen. Spiral CT scan showed micro-consolidation patchy lesions on the inferior lobe of both lungs (). Bronchoscopy showed hyper-vascularity in the trachea, and in broncho-alveolar lavage (BAL) growth of non-A, non-D streptococci were detected with no growth of acid fast bacilli or mycobacterium tuberculosis. After 17 days of antibiotic and antifungal therapy, his fever did not corrupt. Spirometry results, showed a decreased FEV1 to 75%. On June 23th, inferior lobe wedge resection of the left lung was performed. In macroscopic pathologic examinations, fragments of lung tissue measuring 5×2×2 cm and gray brown and soft tissue in serial cross sections were observed.Moreover, microscopic evaluations conducted on issue removed during a procedure (). Finally, the diagnosis of BOOP was reported with no evidence of malignancy. Sirolimus was withdrawn and cyclosporine was started and dosage of prednisolone was increased. His fever was discontinued and general condition as well as pulmonary symptoms were gradually improved.</t>
  </si>
  <si>
    <t>A 41-year-old female patient with a past medical history of bipolar disorder, cocaine use disorder, and tobacco use disorder, presented with increased respiratory distress and combativeness. On initial examination, her vital signs included a temperature of 100.9°F, heart rate of 140 beats per minute, respiratory rate of 30 breaths per minute and blood pressure of 103/66 mmHg. On physical examination, she was only able to speak in two-word sentences. There were bilateral coarse crackles all over the chest. She did not have any focal neurological deficits. Cardiovascular examination did not reveal abnormal heart sounds. Abdominal examination was unremarkable. The patient was immediately placed on a nonrebreather mask. However, the patient kept taking off her nonrebreather mask, continued to have worsening hypoxia, and eventually required tracheal intubation. Chest radiograph showed right upper lobe pneumonia (Figure ).
She was started on vancomycin, piperacillin-tazobactam and levofloxacin, and was transferred to the intensive care unit (ICU). Broad spectrum antibiotic therapy was chosen due to patient's critical condition and unclear etiology of the infecting pathogen. The patient had a white cell count of 11.8 x 103/microliter (µL) that trended to 2.2 x 103/µL, normal troponins, and a lactic acid of 1.8 mmol/Liter (L) initially that trended up to 2.5 mmol/L. Urine drug screen was positive for cocaine, benzodiazepine, and opiates. Urine Legionella antigen and Streptococcus pneumoniae antigen were negative. Influenza A was positive on rapid antigen testing and the patient was started on oseltamivir. This raised our concern for secondary bacterial pneumonia from MRSA as a complication of influenza virus infection. The patient had computed tomography (CT) of the chest that showed right upper, middle, and lower lobe consolidations with cystic destruction of the lung parenchyma (Figures , ).
Sputum culture and blood cultures grew MRSA that was sensitive to both vancomycin and clindamycin, confirming our diagnosis. Vancomycin had already been started on admission and was continued. Fluid resuscitation was also done early in the course, but eventually progressed to septic shock. The patient was then started on norepinephrine infusion and vasopressin infusion for blood pressure support. She then developed acute respiratory distress syndrome (ARDS). Her hypoxia became refractory to conventional ventilation, and extracorporeal membrane oxygenation (ECMO) was considered. She had a transesophageal echocardiogram which showed severe biventricular systolic dysfunction, global hypokinesis with an ejection fraction (EF) of 5%. Her cardiomyopathy was felt to be acute and related to sepsis. She was managed for septic and cardiogenic shock, and venous-arterial ECMO was started. She was also started on continuous renal replacement therapy (CRRT) for hypervolemia refractory to diuresis, inotropic and vasopressor support. A follow-up transthoracic echocardiogram (TTE) five days later showed that the EF recovered to 45%. She continued to remain intubated for 16 days and a repeat CT chest showed worsening and multiple cavitary lesions in the right lung (Figures , ).
A repeat TTE showed EF of 60% and normal left and right heart function. ECMO was stopped and she was decannulated on day 9, CRRT was stopped on day 9. Unfortunately, she did not tolerate withdrawal of ECMO and continued to deteriorate and became difficult to wean from the ventilator. Given her lack of response to vancomycin, she was switched to daptomycin and linezolid, and the vancomycin was discontinued. She did not improve with new antibiotic regimen, continued to accumulate volume, and could not tolerate being off CRRT that was resumed for volume removal. Her hypoxia continued to be refractory despite all efforts. The family eventually decided to transition to comfort care due to her poor prognosis.</t>
  </si>
  <si>
    <t>A 62-year-old man was admitted with a 5-day history of fever, increased urinary frequency, and left flank pain. He had no specific medical or surgical history, except for a 5-year history of type 2 diabetes treated with insulin and oral hypoglycemic agents. Physical examination revealed a blood pressure of 120/70 mm Hg, temperature of 38.4℃, heart rate of 76 beats/min, and respiration rate of 20 breaths/min. His breathing sound was clear, and his heartbeat was regular without murmurs. However, knocking tenderness in his left flank area was noted. The initial laboratory data revealed a white blood cell (WBC) count of 14,680/mm3, hemoglobin level of 12.2 g/dL, platelet count of 373,000/mm3, CRP level of &gt;12 mg/dL, and hemoglobin A1c level of 12.5%, indicating that his diabetes was poorly controlled. Blood urea nitrogen, serum creatinine, alanine transaminase, and aspartate transaminase levels were within the normal range. Urinalysis showed white and red blood cell counts of 3–5/high-power field (HPF) and 10–15/HPF, respectively. Contrast-enhanced abdominal computed tomography (CT) scans showed a multifocal decreased perfusion defect of the left kidney. Blood and urine culture samples were obtained, and intravenous ceftriaxone (2 g/d) was administered immediately. His fever subsided within 72 hours, and laboratory data demonstrated improvement. Five days after admission, the initial urine and blood cultures revealed growth of methicillin-sensitive S. aureus (MSSA). Urologic evaluation regarding bladder obstruction and screening for metastatic infection were recommended. However, the patient declined further evaluation, as his discomfort had subsided, and his poor socioeconomic status impeded the payment of additional medical costs. Eight days after admission, laboratory data demonstrated further improvement (WBC count, 8,760/mm3; CRP level, 1.95 mg/dL). Follow-up urine and blood cultures obtained on day 5 revealed no bacterial growth. The patient was therefore discharged with oral ciprofloxacin (500 mg every 12 hours) for 7 days. He was asked to attend the outpatient clinic for 1 month to receive maintenance ciprofloxacin, but he failed to attend.
Approximately 1 month later, the patient presented with a 7-day history of symptoms consistent with those at his initial visit. His vital signs were as follows: a blood pressure of 110/70 mm Hg, temperature of 38.4℃, heart rate of 115 beats/min, and respiration rate of 20 breaths/min. Bilateral costovertebral angle tenderness was noted. Laboratory data revealed a WBC count of 15,870/mm3, hemoglobin level of 9.6 g/dL, platelet count of 375,000/mm3, and CRP level of &gt;12 mg/dL. Blood urea nitrogen, serum creatinine, alanine transaminase, and aspartate transaminase levels were within the normal range. Urinalysis showed a WBC count of 30–50/HPF with many bacteria and a red blood cell count of 5–10/HPF. A CT scan showed a multifocal decreased perfusion defect of both kidneys () with bladder distension. Urologic evaluation demonstrated a residual urine volume of 250 mL. Prostate-specific antigen levels were normal. He was therefore diagnosed with recurrent pyelonephritis and neurogenic bladder. An oral alpha blocking agent and intravenous ciprofloxacin (400 mg every 12 hours) were administered. Two days after readmission, his left lower flank pain persisted, despite a fentanyl patch (12 µg/h). Although there were no neurologic deficits, a neurosurgeon was consulted regarding his severe pain and the possibility of concomitant spinal disease. Magnetic resonance imaging (MRI) with gadolinium enhancement was performed, revealing epidural abscesses at L4–5 and paraspinal abscesses of the muscles at L3–S2 (). Ultrasound-guided aspiration of the paraspinal muscle layer was performed using an 18-gauge needle, and approximately 10 mL of yellow-white mucoid fluid was aspirated. The epidural abscesses were not drained, as there were no neurologic deficits. Cultures of blood and drained fluid revealed MSSA growth () with antimicrobial sensitivity identical to that of the initial culture. Urine cultures revealed growth of &lt;1,000 colony forming units/mL, although the bacterial strain could not be identified. Transesophageal echocardiography revealed no evidence of infective endocarditis. Nafcillin was injected every 4 hours for 22 days. However, neutropenia occurred, and nafcillin was replaced with vancomycin for an additional 30 days. On day 57 after readmission, MRI showed the abscesses had decreased in size (). Residual urine volume was 40 mL, and no discomfort was observed. Laboratory data were nearly within the normal range (WBC count, 6,490/mm3; CRP level, 0.35 mg/dL). On day 59, he was discharged without neurologic sequelae and was prescribed ciprofloxacin (500 mg every 12 hours) until a repeat MRI showed no remnant abscesses.</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</si>
  <si>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t>
  </si>
  <si>
    <t>A 59-year-old woman attended her General Practitioner (GP) with a 3-week history of lethargy, myalgia, pyrexia and night sweats. She had no significant past medical history and was not on any regular medications. Her most recent travel had been to Spain a few months previously, and she lived at home with her husband and dog, who were in good health. Her GP performed some blood tests, shown in , which prompted urgent referral for admission to hospital due to the notably raised white cell count and CRP.
In the Emergency Department the patient was pyrexic with a temperature of 39.4 °C. Otherwise, her observations were normal. She had no audible murmurs and the rest of her examination was unremarkable.
Chest X-ray was normal and ECG showed sinus rhythm with a rate of 76 beats per minute and first-degree AV block. One set of blood cultures and urine cultures were sent and she was started on IV piperacillin/tazobactam for pyrexia of unknown origin. She was tested for influenza by PCR of a nasopharyngeal swab, which was negative.
Transthoracic echocardiography (TTE), carried out on day 2 of admission, demonstrated a mass on the aortic valve, which was further characterized by trans-oesophageal echocardiography (TOE), identifying a 1.8×0.9 cm mass with thickening of the aortic root, suspicious for root abscess.
On day 2 of admission, when the TTE raised the suspicion of endocarditis, she had seven further sets of blood cultures sent over a period of 72 h and was changed to IV amoxicillin 2 g 4 hourly, and gentamicin 3 mg kg−1 OD, as empirical treatment for native valve infective endocarditis.
She was transferred to cardiac surgery on day 4 of admission and underwent aortic valve replacement surgery (). Procedure note from Cardiothoracics as follows: ‘Via oblique aortotomy, tri-leaflet valve was seen with a huge vegetation and perforation at the annulus. There was a small abscess cavity in the annulus at the non-coronary cusp. The native valve was excised, and the cavity was debrided easily, with rifampicin washout. A size 21 Inspiris Reslia bioprosthetic valve was implanted in annular position with 15× Ethibond 2/0 interrupted technique (5 Teflon pledgeted at the Non coronary cusp area). Aorta closed in single layer, using Haemoseal pledgeted sutures. De-aired. Cross-clamp off. Right Ventricular pacing wire inserted and checked. Weaned off Cardio-Pulmonary Bypass. Good valve function with no paravalvular leak and adequate de-airing confirmed on Trans-oesophageal ECHO. Mediastinal and pericardial drains inserted. Protamine given, haemostasis checked/effected.’
The valve was sent by the cardiac surgeons to the microbiology laboratory for culture, and sent away for 16s PCR testing. It was not sent to histopathology.
On day 5 of admission, the aerobic bottle of the first set of blood cultures taken flagged positive after being incubated in Bact T/Alert 3-D (bioMérieux, France) for 3.5 days. Gram-negative rods were observed on Gram stain (). Given this information, the patient’s antibiotics were changed to ceftriaxone, vancomycin and gentamicin, whilst waiting for culture and identification of this organism. Subculture on Columbia blood agar yielded fine smooth, creamy white and non-haemolytic colonies. Species identification was performed using Vitek MS [matrix-assisted laser desorption/ionization time-of-flight mass spectrometry (MALDI-TOF MS)], which confirmed the organism as C. carnimorsus. As there were no recommended European Committee on Antimicrobial Susceptibility Testing (EUCAST) antibiotic breakpoints, E-test strips were set up and minimum inhibitory concentrations (MICs) were measured against EUCAST PK-PD (non-species-related) breakpoints. This organism was susceptible to gentamicin, ceftriaxone, penicillin, ciprofloxacin and meropenem. The remaining sets of blood cultures were all negative after 5 days of incubation.
Given the identification of this organism, the patient’s antibiotic therapy was changed to Meropenem, Vancomycin and Gentamicin pending susceptibility testing. The heart valve was cultured and was negative after 7 days of incubation in enrichment broth. The valve was also sent to the Public Health England reference laboratory for 16S rDNA real-time PCR identification. Report: this identified species, with data indicating a 99 % sequence homology to C. cynodegmi, C. canimorsus and C. stomatis, providing robust evidence to confirm the responsible pathogen. The patient’s treatment was, therefore, targeted towards C. canimorusus, based on the antibiotic susceptibility test results () obtained through E-test, which were interpreted using EUCAST non-species-specific PK-PD breakpoints. Her antibiotic therapy was changed to IV benzylpenicillin, to complete 4 weeks of treatment.
The patient improved clinically and was discharged home after completion of treatment and a repeat ECHO prior to discharge showed normal left ventricular function and prosthetic aortic valve, with a repeat ECHO and follow-up planned in 1 year.</t>
  </si>
  <si>
    <t>All data to be analyzed at one time frame - here that time point is presentation to the ED as that is when the heart rate and other history and physical exam findings are available for accurate completion of the Wells' criteria score.</t>
  </si>
  <si>
    <t>An 80-year-old male with past medical history of hypertension, dyslipidemia, and diabetes mellitus non-compliant to the prescribed medications, presented to the emergency department with 1-hour complaint of right-sided chest pain that was described as aching, non-radiating, without any aggravating or relieving factors, 10/10 in intensity, and was accompanied by nausea and two episodes of maroon-colored emesis. The patient denied any ingestion of toxic substances and any prior similar episodes. On presentation, the patient was afebrile, and blood pressure of 109/45, heart rate 75, respiratory rate of 18, and room air oximetry of 98%. Physical examination, including fundoscopy was unrevealing. Labs workup revealed serum sodium of 125 mEq/L [135-145 mEq/L], potassium 5.1 mEq/L [3.5-5.0 mEq/L], chloride 91 mEq/L [98-107 mEq/L], bicarbonate 24 mEq/L [21-24 mEq/L], urea 145,7 mg/dL [14.9 – 51.4 mg/dL], creatinine 2.95 mg/dL [0.6-1.30 mg/dL], blood glucose 492 mg/dL [70-110], WBC 13.5 [4.5-11.0 × 103/mm3], Hb 12.3 g/dL [13.5-17.5 g/dL], platelets 242,000/mm3 [140k-440k/mm3], BNP 154 pg/mL [125-450 pg/mL], and troponin 0.062 ng/mL [0.01-0.30 ng/mL]. Electrocardiogram showed normal sinus rhythm at the rate of 94 beats per minute without ST or T-wave abnormalities. Morphine was administered along with nitroglycerine for the chest pain without any improvement in symptoms. Therefore, given the persistent chest pain and concern for non-ST-segment elevation myocardial infarction, the patient was started on a heparin drip and antiplatelet therapy in the emergency department. Cardiology was consulted who performed a cardiac catheterization which did not show any critical stenosis with an estimated ejection fraction of 55%. They recommended medical therapy including anti-hypertensives, statin, and blood glucose control. The computed tomography of the abdomen and pelvis without contrast was unremarkable. Gastroenterology was then consulted due to abdominal symptoms of nausea, vomiting, and hematemesis. Patient underwent an esophagogastroduodenoscopy (EGD), which showed circumferential, black-appearing, necrotic esophageal mucosa without active bleeding extending from the mid to distal esophagus (). There was also mild chronic gastritis without any evidence of active bleeding. The patient was treated with a proton pump inhibitor and sucralfate. Patient had an uneventful hospital course lasting 5 days and was discharged with close follow up.</t>
  </si>
  <si>
    <t>MDRD GFR Equation</t>
  </si>
  <si>
    <t>Using the MDRD GFR equation, what is the patient's Glomerular Filtration Rate (GFR) in terms of mL/min/1.73 m²?</t>
  </si>
  <si>
    <t>A 60-year-old Indian man underwent 18-FDG PET/CT for evaluation of pyrexia and weight loss of 9 kg in 2 months. His blood examination revealed anemia, leukocytosis, and high erythrocyte sedimentation rate. Patient's serum creatinine was found to be raised (1.9 mg%, normal up to 1.4 mg%). His chest X-ray was normal. He was found to have multiple calculi in left kidney on ultrasonography (USG). USG also demonstrated multiple hypo echoic masses; thinned out parenchyma; and a dilated collecting system suggesting a chronically obstructed kidney. Suspicion of pyelonephritis was raised in the USG report and rest of the abdominal organs were unremarkable. Urinalysis showed pyuria and Escherichia coli was detected in urine culture. Antibiotic therapy was instituted for treatment of the urinary tract infection. Even after extensive antibiotic therapy, the fever remained unresolved and weight loss continued. Before invasive diagnosis, patient was referred for a whole body 18-FDG PET/CT to confirm kidney as the sole site of active disease and rule out any extra-renal pathology as the cause of symptoms.
For PET/CT, 10 mCi of FDG was injected intravenously to patient after 6 h of fasting. After 1 h of injection, patient was scanned on dedicated 16 slice PET – CT (GE – STE 16). Whole body CT scan was obtained as part of PET/CT protocol on a multi-slice CT with 3.5 mm slice thickness without contrast injection. Contrast administration was withheld considering the increased serum creatinine level. Standardized uptake value (SUV) of FDG was normalized to body weight obtained over lesions.
The maximum intensity projection (MIP) image [Figures and , arrows] revealed intense FDG uptake in cortex of grossly enlarged hydronephrotic left kidney. SUV max of uptake was 14.1. Multiple calculi were seen in pelviureteric junction and in pelvi-calyceal system [Figure red arrows]. Extensive perinephric fat stranding and mild FDG uptake in perinephric, retroperitoneal lymph nodes was seen with SUV max of 4.1 [Figure and white arrows]. The findings were reported as possible XGNP. In addition to these findings diffuse FDG uptake was seen in bone marrow [black arrow in ]. This could be due to anemia or the pyrexic state. Left nephrectomy was performed and histopathology confirmed XGNP. Post-nephrectomy, patient's fever resolved and he reported gradual weight gain over last 4 months.</t>
  </si>
  <si>
    <t>A 27-year-old African-American female presented to our hospital with a 3-day history of generalized cramping abdominal pain and nausea with vomiting. She denied any fevers, night sweats, weight changes, or urinary complaints. Her past medical history was significant for chronic paranoid schizophrenia, cocaine abuse, and HIV infection. She was not on highly active antiretroviral therapy (HAART) at the time of admission. Her vital signs included a heart rate of 120 beats/min and a blood pressure of 160/110 mmHg. Physical examination was remarkable for the presence of coarse crackles at the lung bases, periorbital and lower extremity edema, and mild abdominal distension. Laboratory studies revealed an elevated serum creatinine of 14.6 mg/dL, an elevated serum urea nitrogen of 86 mg/dL, and an elevated serum potassium of 6.9 mmol/L. Of significance, her renal function 4 months prior to this admission was normal with a creatinine of 0.8 mg/dL at that time. Urinalysis showed 2000 mg of protein per dL and urine microscopy revealed 6 red blood cells per high-power field and 22 white blood cells per high-power field but no dysmorphic red blood cells or casts. Other abnormal laboratory values on admission included a low serum albumin of 1.8 g/dL and a spot urine protein-to-creatinine ratio of 33.7 consistent with nephrotic range proteinuria. An ultrasound revealed enlarged kidneys with diffuse increased echogenicity and a computed tomography (CT) scan of the abdomen/pelvis without contrast revealed bilateral enlarged and edematous kidneys, scattered abdominal and pelvic ascites, and moderate soft tissue anasarca ().
During the course of admission, the patient became tachypneic, had worsening oxygen saturations, and had to be intubated and mechanically ventilated for respiratory distress. Hemodialysis was emergently implemented after she became anuric and her renal function continued to deteriorate.
The patient's CD4 count at the time of admission was 350 cells/ul with a HIV RNA viral load of 1,790,000 copies/mL. Given the finding of nephrotic range proteinuria accompanied by a precipitous decline in renal function, a presumptive diagnosis of HIVAN was made and a serological workup was initiated to exclude other possible underlying etiologies. Serum protein electrophoresis, urine protein electrophoresis, anti-nuclear antibody, anti-double stranded DNA (anti-dsDNA) antibody, anti-streptolysin O, hepatitis serology, serum cryoglobulins, complement levels (C3, C4), and rapid plasma reagin tests were all negative. Her HbA1C was within normal limits at 5.8%. Serum testing was negative for cytoplasmic anti-neutrophil cytoplasmic antibodies (C-ANCA) and perinuclear anti-neutrophil cytoplasmic antibodies (P-ANCA). However, the serum was positive for anti-glomerular basement antibody (anti-GBM Ab) with a value of 91 units (normal: 0–20 units).
Although chest CT and bronchoscopy did not reveal diffuse alveolar hemorrhage that can be seen in anti-glomerular basement membrane antibody disease, the finding of an elevated anti-GBM antibody precluded a definitive diagnosis of HIVAN based on clinical context alone. A decision was therefore made to perform a CT-guided renal biopsy at this point.
Light microscopy of the renal cortical tissue showed marked diffuse tubular degenerative and regenerative changes with interstitial fibrosis, focal microcystic tubular dilatation, and hyaline casts (Figures , , and ). Electron microscopy showed glomerular basement membrane thickening without disruption or electron dense deposits. Endothelial tubuloreticular inclusions most consistent with HIVAN were also visualized (Figures , , and ). The glomeruli showed focal segmental sclerosis with no evidence of crescentic glomerulonephritis and immunofluorescence revealed no specific immunoglobulin or complement deposits (). Based on these pathologic findings, the final diagnosis was therefore HIVAN.
The patient continued to improve clinically and biochemically while receiving hemodialysis three times a week. She was eventually weaned from the ventilator and extubated. However, due to the patient's persistent dependence on hemodialysis throughout admission, it was concluded that the patient had end-stage renal disease (ESRD) and that she would require lifelong hemodialysis. She was also started on HAART therapy prior to discharge. At a 6-month follow-up visit, the patient remained compliant with HAART therapy and dialysis dependent.</t>
  </si>
  <si>
    <t>A 66-year-old African-American female with a history of end-stage renal disease secondary to diabetes and hypertension underwent a cadaveric kidney transplant. The post-operative course was unremarkable with excellent graft function and serum creatinine ranging from 1.4 to 1.7 mg/dL for many years. Immunosuppression was maintained with tacrolimus, mycophenolate mofetil and prednisone. There were no episodes of rejection or recurrent urinary tract infection. Seven years later, serum creatinine was noted to increase to as high as 3.6 mg/dL over a few days from presentation. There were neither specific complaints nor any localizing physical examination findings. A kidney ultrasound showed a hyperechoic solid mass in the renal medulla, with central compression and resultant hydronephrosis. Follow-up imaging with computed tomography (CT) of the abdomen showed an 11 × 10 × 8.5 cm fatty mass at the center of the transplant kidney, causing compression of the central renal pelvis and dilatation of peripheral calyces (). Mycophenolate mofetil was held for initial suspicion of malignancy and was then restarted once malignancy was ruled out after the medullary mass biopsy.
Due to the obstruction and renal deterioration, a percutaneous nephrostomy was placed with subsequent nephrostogram showing dilatation and distortion of the renal allograft collecting system. After decompression, the patient had an improvement in renal function with serum creatinine decreasing to 1.6 mg/dL ().
A biopsy of both the renal cortex and medullary mass was performed. Renal cortex biopsy showed low-range borderline acute tubulointerstitial rejection with mononuclear infiltrates, extensive arteriolar hyalinosis and moderate interstitial fibrosis and tubular atrophy. There was no evidence of polyoma virus nephropathy. A biopsy of the renal medullary mass revealed mature adipocytes with no evidence of hyperchromasia and increased vascularity (). A dose of methylprednisolone was administered intravenously followed by an oral steroid taper for the acute rejection changes seen in the biopsy. Mycophenolate mofetil was restarted once malignancy was ruled out.</t>
  </si>
  <si>
    <t>A 94-year old woman presented with high fever associated with decreased oral intake and appetite loss and was admitted to our institute. She had been diagnosed as having diabetes mellitus, mild chronic kidney disease, chronic heart failure and stayed at a nursing home. She was a wheelchair-user. At the initial presentation, the patient had a body temperature of 40.2 °C, blood pressure of 183/81 mmHg, and pulse of 74 beats per min. Hypoxemia was not confirmed. The physical examination was unremarkable. Chest X-ray and urine test were normal. Laboratory tests revealed an elevation of blood urea nitrogen 23.8 mg/dl, creatinine 1.14 mg/dl and C-reactive protein 1.93 mg/dl. Platelet count was low at 105,000/μl. White cell count, hemoglobin and liver function tests were within normal range as shown in supplementary file. Two sets of blood cultures for aerobic and anaerobic bacteria, mycobacteria and fungi were drawn. Then, the patient was started empirically on meropenem and teicoplanin for broad-spectrum antibiotic coverage. In addition to blood cultures, a urinalysis with culture and a chest X-ray and CT were performed and found to be normal. The patient had no clinically evident sites of infection by history or physical examination. On day 2, a coryneform organism was recovered for 32 h by BACTEC (BD, Tokyo, Japan) from both the aerobic and anaerobic tubes of all blood cultures. Brevibacterium species were identified by Matrix-assisted laser desorption/ionization time-of-flight mass spectrometry (MALDI-TOF MS). The score value was 2.36. On gram-stained smears from the culture plates, the organisms appeared as Gram-positive, club-shaped, slightly curved rods, and some coccal forms were present (Fig. a). The bacteria were subcultured on Trypticase Soy Agar II with 5% Sheep Blood (BD, Tokyo, Japan) at 35 °C in 5% CO2, which resulted in a gray-white, smooth, non-hemolytic colonies after a 48-incubation (Fig. b). Subsequently, genetic investigation by 16S ribosomal RNA analysis was performed in order to identify the organism. Finally, the result identified this pathogen as Brevibacterium paucivorans with 99.5% homology on the Ez taxon database ().
For comparison of a hydrolysis of casein in the organism, we obtained a type strain of B. casei, JCM 2594T and of B. paucivorans, JCM 11567T, from the Japan Collection of Microorganisms (JCM). Pyrazinamidase test was performed using PZA broth (Kyokuto Pharmaceutical Inc., Tokyo, Japan). Casein hydrolysis test was performed as follows. 1) inoculate the organism on a skim milk agar, 2) incubate the plate at 37 °C, 3) examine the plate for zone of hydrolysis following incubation. Both the organism and JCM 11567T showed a lack of hydrolysis of casein, while a hydrolysis of casein was confirmed in JCM 2594T as shown in Fig. . The organism had an absence of pyrazinamidase, while JCM 2594T showed a presence of pyrazinamidase. Additional microbiological tests by API 50CH showed that utilization of D-arabinose and gluconate was negative. These results were consistent with the organism as B. paucivorans. Antimicrobial susceptibility testing revealed that the organism was susceptible to MEPM. Although the peripheral venous catheter site showed no erythema or tenderness, the catheter was removed without culture, and a follow-up blood culture remained negative after therapy lasting for 7 days. The patient’s fever finally abated and labs were also improved. On day 14, the antibiotic therapy was discontinued. On day 28 from admission, fever recurred and blood cultures were performed. Candida parapsilosis was isolated by 2 sets of blood cultures, and she was diagnosed as having candidemia. While L-AMB was started for Candida parapsilosis bacteremia, she died by candidemia on day 35.
Antimicrobial susceptibility testing was performed for the strain using the broth microdilution method (Dry Plate®, Eiken Chemical co., Ltd., Tokyo, Japan) according to the Clinical and Laboratory Standards Institute guidelines []. The isolate was susceptible to gentamicin [minimum inhibitory concentration (MIC) = 1 μg/ml], ciplofloxacin (MIC = 0.25 μg/ml), vancomycin (MIC≦0.5 μg/ml), meropenem (MIC≦0.5 μg/ml) and rifampicin (MIC≦0.12 μg/ml), and was resistant to clindamycin (MIC&gt; 4 μg/ml), and was intermediately resistant to ceftriaxone (MIC = 2 μg/ml),and cefepim (MIC = 2 μg/ml) as shown in Table .</t>
  </si>
  <si>
    <t>A 65-year-old woman was referred for colonoscopy because of abdominal pain and hematochezia. She had a history of end-stage renal disease, hypertension, and diabetes mellitus. She underwent hemodialysis three times per week. The patient's hemodynamic parameters were stable. On physical examination, she was found to have right abdominal pain and tenderness. Laboratory tests revealed a white blood cell (WBC) count of 13,900/mm2, a hemoglobin level of 9.4 g/dL, and a platelet count of 228,000/mm2. Serum biochemistry showed creatinine level, 6.6 mg/dL; albumin level, 3.0 g/dL; alanine aminotransferase level, 36 IU/L; aspartate aminotransferase level, 38 IU/L; bilirubin level, 1.2 mg/dL; and alkaline phosphatase level, 198 IU/L with normal electrolytes. Serum was negative for antinuclear antibody and HIV antibody. Anemia was associated with chronic renal failure. On stool examination, negative results were obtained for stool WBC, stool culture, and Clostridium difficile toxin A/B. The electrocardiogram showed normal results. An esophagogastroduodenoscopy revealed no evidence of bleeding. Colonoscopy was performed after standard bowel preparation and under sedation with 3 mg of midazolam. The colonoscopic findings showed diffuse bowel wall edema. Upon examination of the distal transverse colon, we found several deep linear red mucosal breaks resembling scratches ().
In the ascending colon, dark purple edematous mucosa and necrotic epithelial lesions were found (). Cecal intubation was not performed because of severe ischemic changes with necrosis. The remaining colorectal mucosa was grossly normal. Computed tomography (CT) scan showed moderate-to-severe diffuse bowel wall thickening and focally decreased mucosal enhancement in the right colon. The patient was diagnosed with ischemic colitis based on colonoscopic and CT findings, and clinical manifestations. The patient thus received supportive care. Intravenous fluids were administered to treat dehydration, and total parenteral nutrition with prophylactic antibiotics was provided. The patient was placed on bowel rest until the symptoms resolved. After 3 weeks, follow-up colonoscopy and CT were performed. On follow-up colonoscopy, the previous severe ischemic colonoscopic findings had disappeared, and ischemic mucosal change showed further resolution (). No further mucosal tearing was observed during the follow-up colonoscopy. On CT scans, improvement in ischemic colitis was noted. The patient no longer complained of abdominal pain or hematochezia.</t>
  </si>
  <si>
    <t>N/A</t>
  </si>
  <si>
    <t>[N/A, 6.3, 7.4]</t>
  </si>
  <si>
    <t>Make sure Black race field is left unfilled since no mention of race, cannot default to no. Still get a result because this field is optional for the equation.</t>
  </si>
  <si>
    <t>This case was of a 67-year-old male patient who presented with upper abdominal pain and obstructive jaundice. Laboratory examination on admission showed serum total bilirubin level of 9.6 mg/dl. Abdominal computed tomography (CT) and magnetic resonance imaging revealed Bismuth-Corlette type IIIB perihilar cholangiocarcinoma with left portal vein and left hepatic artery invasion, type III portal vein variation, dilated right intrahepatic bile duct, and left liver lobe atrophy (). Due to the unique location of the gallbladder and combined multiple hepatic anomalies, presence of LSGB was highly suspected (). The branching pattern of the portal vein appeared strange compared with the usual type III portal vein variation, in which the liver appeared to be divided into 3 parts; the right posterior section, the right anterior section integrated with the left medial section, and the left lateral section (). For biliary decompression, endoscopic nasobiliary drainage was performed following endoscopic retrograde cholangiography. Surgery was performed when the serum total bilirubin level was 1.7 mg/dl.
After dissection of the hilar structures, we recognized that the tumor was located at the imaginary hilar bile duct bifurcation, but its actual location was corresponding to the biliary confluence of the left median and lateral sections. After transecting the distal bile duct at the level of the pancreas, we found that there was no vascular invasion of the right-sided liver. Thus, the extent of liver resection included extended left lateral sectionectomy (, ). Through the anterior transection approach without the hanging maneuver, the liver was transected and the bile duct was resected en bloc. The right-sided bile duct orifice in the liver was 8 mm in size and single, and probing exploration revealed that it was the common-channel bile duct confluence of the above-mentioned three sections in the right-sided liver. The resection margin was tumor-negative on frozen-section biopsy. Since only the left-sided wall of the umbilical portion of the portal vein was partially invaded by the tumor, the involved portion was excised and then covered with a remnant branch patch after excision of a small adjacent portal vein branch in the left medial section ().
The caudate duct did not appear to be involved based on the preoperative imaging study findings, but the Spigelian lobe with the paracaval portion was excised to achieve maximal curability according to the general concept of surgical resection for perihilar cholangiocarcinoma. One 5-mm-sized bile duct opening was exposed following caudate lobe resection, but it was directly communicating with the right-sided duct; therefore, it was closed because bilio-enteric reconstruction was not necessary. Locoregional lymph nodes were dissected from the hepatic hilum to the celiac axis because some nodes were tumor-positive on frozen-section biopsy. Biliary reconstruction was performed through a single, large hepaticojejunostomy using a Roux-en-Y limb.
Pathological examination revealed that the final diagnosis was moderately differentiated adenocarcinoma involving the liver with vascular invasion of the left hepatic artery and left portal vein, concurrent perineural invasion without lymphovascular invasion, and lymph node metastasis in 5 out of 12 nodes (). Thus, tumor staging was T3N1M0, being stage IIIB according the 7th edition of the American Joint Committee on Cancer (AJCC) staging system.
The patient recovered uneventfully without any complication and was discharged 11 days after surgery. Currently, the patient is receiving concurrent chemoradiation therapy.</t>
  </si>
  <si>
    <t>A 40-year-old para four obese Caucasian woman with two-year history of lower abdominal pain was referred from a peripheral hospital for the further management of bilateral adnexal masses. The computerised tomography (CT) scan of abdomen and pelvis revealed a complex cystic lesion of 7–8 cm in the right adnexum and bilateral ureteric obstruction. All baseline blood tests including haematology and tumour markers (CA 125 -26 IU/ml) were normal. The serum tests showed normal liver function and moderately impaired renal function (creatinine 10–15, urea &gt; 200).
She had a complex medical history including obstructive sleep apnoea, asthma, glaucoma, hypothyroidism, hypertensive cardiomyopathy and bipolar disorder; registered disabled. She also had a copper intra uterine contraceptive device in situ for the past three years. Given her body habitus (BMI 42), abdominal and pelvic examination was difficult and non-specific. The only finding of relevance was bilateral adnexal fullness.
She was managed within the gynaecological oncology multi disciplinary framework (MDT). On reviewing the CT films the features noted include bilateral basal pleural thickening, bilateral hydronephrosis, retroperitoneal lymphadenopathy associated with retroperitoneal fibrosis and bilateral adnexal cystic masses. There was a small volume of ascites.
Magnetic resonance imaging (MRI) was performed for further characterisation of the adnexal masses. The right adnexal complex cystic lesion measured 8 × 7 × 7 cm in diameter and had a thick wall (up to 2 cm), which was irregular. There were several septations, some of which measured 3 – 4 mm. There were no enhancing papillary formations, although the wall and septa enhanced. The appearance suggested an ovarian lesion with possible involvement of the Fallopian tube. The left adnexal cyst measured 5 × 6 × 4 cm, had a smooth wall and contained a single thin septation, consistent with a benign ovarian cyst. Both cysts contained fluid, which was low on T1 and high on T2, with no evidence of fat or blood. Surrounding the cysts posteriorly, the fat was streaky in appearance and there was marked thickening of the adjacent fascial planes, with thickening of the mesorectal fascia up to 1 cm. The fascial thickening extended up the pre-sacral space and along the posterior aspect of the pelvic sidewalls, resulting in the obstruction of the ureters. Enlarged lymph nodes (up to 1.8 cm in short axis) were present along both pelvic sidewalls, which were striking due to the very high T2 signal intensity (Figure ). Nodes were also seen in the inguinal and para-aortic regions. Although the imaging appearances could not rule out an ovarian neoplasm, the features noted above were suggestive of an inflammatory process. In view of the woman's medical history and clinical status the MDT recommendation was clinical review and imaging guided biopsy of lymph nodes.
The woman underwent CT guided right inter iliac node biopsy, following an unyielding biopsy of inguinal nodes. Histology revealed non-caseating granulomatous lymphadenitis with negative stains for acid-fast bacilli and fungi. There was no foreign body seen. Given the histological findings our attention was directed towards an inflammatory process. She was subsequently referred to respiratory physicians, with a working diagnosis of sarcoidosis. She was also referred to urologists for the management of retroperitoneal fibrosis and bilateral hydronephrosis. Abdominal pain prompted insertion of bilateral JJ ureteric stents. The physicians initiated a (step-down) course of prednisolone. Symptomatic improvement was observed but the renal function did not change. Repeat imaging demonstrated resolution of hydronephrosis.
The woman was reviewed again clinically after the course of steroids. During this interval the physicians ordered an autoantibody screen as autoimmune disease can co-exist with sarcoidosis; the screen was negative (Rheumatoid factor, anti-DNA antibody and antinuclear antibody). On examination there was no evidence of any palpable lymphadenopathy. An ultra sonographic examination six months later demonstrated a bulky uterus and reduction in the size of the right adnexal cyst. Repeat imaging (MRI axial T2W image) a further two months later demonstrated resolution of the left adnexal cyst. There was a small residual cyst on the right and marked decrease in the thickening of the mesorectal fascia. The lymph nodes appeared normal (Fig ). The retroperitoneal fibrosis on imaging had resolved. Her CA125 remained normal. Currently the patient is under joint care between the respiratory and renal physicians with symptomatic improvement.</t>
  </si>
  <si>
    <t>The second case (Case B), a 22-year-old female, was Case A's roommate. She too had an extensive history of intravenous drug use. She was admitted to the hospital a month before Case A with respiratory failure, altered mental status, and renal failure of unclear etiology. Laboratory studies showed hemoglobin of 7.5 g/dL, platelet count of 129 K/uL, BUN 137 mg/dL, and serum creatinine of 12.9 mg/dL. A peripheral blood smear revealed schistocytes and thrombocytopenia. LDH was 2027 U/L, and haptoglobin was &lt;10 mg/dL. A presumptive diagnosis of TTP was made. ADAMTS-13 levels were drawn, and plasma exchange was initiated. She was positive for hepatitis C antibody, and HCV quantitative RNA was 2056 IU/mL. She was not on any therapy for hepatitis C. Other autoimmune and infectious workups were unremarkable. Due to rapidly declining renal function, a renal biopsy was obtained. The biopsy showed evidence of a thrombotic microangiopathic process (). Plasmapheresis was discontinued when ADAMTS-13 levels obtained at admission returned at 33%. With intensive care and supportive measures, her hematologic profile improved. However, she remained dialysis dependent. Based on her clinical picture she was thought to have atypical hemolytic uremic syndrome, and plans were made to start eculizumab. The true cause of her condition remained unclear until her friend (Case A) was admitted with similar issues. At this time, she too admitted to abusing Opana ER intravenously, which was confirmed by a positive urine test. With intensive care and supportive measures, her hematologic profile improved. However, she remained dialysis dependent.</t>
  </si>
  <si>
    <t>A 49-year-old morbidly obese African-American female patient presented to the hospital with an initial complaint of fever, pain, redness, swelling and discharge in her left lower extremity. The pain was progressive and worsened to 10 out of 10 on the pain scale. It aggravated with movement and on weight bearing. There were no alleviating factors. She denied any recent history of trauma to her leg, chest pain, shortness of breath or any history of prolonged immobilization.
Her past medical history included morbid obesity with a Basal Metabolic Index (BMI) of 85. She also has a history of hypertension, lymphedema, hypersensitivity lung disease, obstructive sleep apnea, and chronic gastroesophageal reflux disease. Her past medical records showed a previous hospitalization for group G and beta-hemolytic streptococcal bacteremia three years ago that was properly treated.
Her family history included hypertension in her father and type two diabetes mellitus in her mother. She denied any consumption of alcoholic and tobacco products or any recreational drug use.
Physical examination showed a morbidly obese patient with a temperature of 101.4 F. Her heart rate was 120 beats per minute and respiratory rate of 33 per minute. Her oxygen saturation at normal air was 91%. Bilateral non-pitting lymphedema in both lower extremities was observed. Her left lower extremity showed erythema and swelling in her calf region with significant serosanguinous discharge. She had a restricted range of motion in her left lower extremity.
The patient was admitted for further investigations. Her complete blood count showed significant leukocytosis of 25,600 cells/mm3 with bandemia, elevated procalcitonin (PCT) levels of 8.33 ng/mL, elevated C-reactive protein (CRP) of 348.0 mg/L suggesting an acute infectious process. Her creatinine level was elevated at 1.22 mg/dL compared to her previous laboratory results of 0.8-0.9 mg/dL. She also showed signs of liver dysfunction with an elevated aspartate aminotransferase (AST) of 56 U/L, alkaline phosphatase (ALP) of 144 U/L, and of coagulopathy with an international normalized ratio (INR) at 1.21.
Left lower extremity Doppler ultrasound showed no evidence of deep venous thrombosis with limited evaluation for popliteal vein compression due to edema. There was Doppler flow within the popliteal vein. Significant edema was identified in the left popliteal fossa without any underlying abscess. Two separate blood cultures were tested positive for Streptococcus dysgalactiae subsp. dysgalactiae. The urine cultures grew no organisms.
The patient was administered a loading dose of Vancomycin in the emergency department and later started on Cefepime. Proper fluid hydration was included in her treatment plans. She was then shifted to Ceftriaxone when her blood cultures came back positive for SDSD. A transesophageal echo was ordered to rule out endocarditis and came back negative for vegetations. Her condition improved slowly as her white blood cell count went from 26,000 cells/mm3 to 14,000 cells/mm3 and other inflammatory markers such as PCT were back to normal. The pain, erythema, and edema in her left lower extremity also improved gradually.
She was discharged after one week of inpatient treatment at her own request and prescribed another one week of ceftriaxone that she received intravenously at her home. Her follow-up after two weeks showed major improvement.</t>
  </si>
  <si>
    <t>A 26-year-old-woman, with history of labial herpes and asthmatic bronchitis, presented with bilateral retroocular pain, odynophagia, fever, vaginal discomfort and vulvar ulcers. The ulcers continued to progress despite treatment with nonsteroidal anti-inflammatory drugs and valacyclovir, prescribed at the primary healthcare site. Two days later, after initial consultation at our emergency room, she was admitted immediately at the Vulvar Clinic of our institution, with increasing vulvar pain, without other symptoms. Physical examination of the vulva showed extended vulvar oedema and kissing pattern ulcers on labia minora and majora, vagina and cervix (). Inguinal lymph nodes were also bilaterally swollen. The patient denied the use of other medications and sexual activity in more than 6 months. First blood tests only showed C-reactive protein 12.35 mg/dL (normal: &lt;0.5 mg/dL). Serologies for herpes virus 1 and 2, Ebstein-Barr virus (EBV; IgG+), cytomegalovirus, mycoplasma pneumoniae, parvovirus B19, toxoplasmosis, rubella, hepatitis, human immunodeficiency virus, and syphilis (using the Venereal Disease Research Laboratory test) were negative. After this, a multidisciplinary approach was performed. When directly asked, she complained about mild eye dryness and she often felt a discomfort of dry mouth. There was no familial history of autoimmune diseases, but her father had some episodes of oral aphthosis. Immunological examination was positive for rheumatoid factor (RF – 22.3 UI; normal: &lt;15 UI), anti-nuclear antibodies [ANA (speckled, titer 1:320)] and antibodies to SSA/Ro (SSA 3+/ Ro52KD 3+)—initial screening step of ANA by indirect immunofluorescence on HEp-2 cells (Euroimmun ®, Germany); autoantibodies confirmation assay by line immunoblot (ANA profile 3 - Euroimmun ®, Germany)—antibodies detected on strips were evaluated semiquantitatively (negative, 1+, 2++, and 3+++). Anti-SSB/La, anti-RNP, anti-Sm, anti-dsDNA, antineutrophil cytoplasmic, anticardiolipin, and anti-beta(2)-glycoprotein1 antibodies were negative. Serum C3 level was 1.79 g/L (normal: 0.9-1.8 g/L) and C4 level was 0.31 g/L (0.1-0.4 g/L). Immunoglobulins (IgG, IgM, IgA) were measured and a high IgG level was found (20.50 g /L; normal: 7-16 g/L). Erythrocyte sedimentation rate was also high (45 mm/h; normal: &lt;16 mm/h). Lupus anticoagulant and HLA-B27 were both negative. Ophthalmological evaluation was refused by the patient. Labial salivary gland (LSG) biopsy revealed focal lymphocytic sialadenitis (FLS), with a focus score (FS) =1 (per 4 mm2) obtained by four LSGs (3-5 mm). No other histopathological features were reported. The patient was diagnosed as having pSS on the basis of dry eyes and dry mouth, positive anti-SSA/Ro antibody, and typical histopathologic abnormalities on LSG biopsy. Prednisolone 20 mg/day was prescribed and vulvar healing appeared within 2 weeks with partial loss of left labia ().</t>
  </si>
  <si>
    <t>A 43-year-old Caucasian man was referred to the Rennes Hospital Nephrology Department to investigate an unexplained serum creatinine increase observed after the introduction of nifedipine for Raynaud's disease treatment. The patient's medical history included diabetes, secondary to a partial pancreatectomy following a work accident, treated with insulin since 2004, posttraumatic splenectomy, anxiety-depression syndrome, and family history of Raynaud's disease, but not of kidney disease, macroscopic hematuria, kidney stones, or urinary tract infections. A laboratory work-up performed on April 5, 2012, in the context of the Raynaud's disease follow-up showed that immunologic tests and C-reactive protein (CRP) were negative and serum creatinine concentration was 91 μmol/L. His regular treatment included metformin, insulin, venlafaxine, clomipramine, and aripiprazole. Following the development of digital ulcers, nifedipine was introduced (on January 11, 2013) without any other treatment change. Within few weeks, serum creatininemia progressively increased to 169 μmol/L (April 23) and 188 μmol/L (May 29).
On June 11, 2013, the patient was hospitalized for renal investigations. Signs of urinary function alteration (with the exception of nocturnal pollakiuria), fever, and (present or past) extrarenal manifestations, especially cutaneous eruption and arthralgia, were not observed or reported. Body mass index was 26 kg/m2, and blood pressure was 125/70 mmHg. Physical examination found Raynaud's syndrome, but without active ulcers, cutaneous sclerosis, or trophic disorders. Cardiopulmonary auscultation and abdominal examination were normal. Urine dipstick test found protein ++, hemoglobin +, and leucocytes −. Urine electrophoresis showed proteinuria (0.41 g/g creatinine) of tubular origin (albuminuria/proteinuria ratio: 19%). The cytobacteriological urine test found 104 red blood cells without leukocyturia and negative culture. Blood analysis showed no hydroelectrolyte imbalance, normal complete blood count (specifically no hypereosinophilia), moderate increase of inflammatory markers (CRP between 12 and 31 mg/L, polyclonal hypergammaglobulinemia), and normal albumin levels. Immunological tests (ANA, ANCA, and anti-GBM antibody) were negative; serum complement and angiotensin converting enzyme (51 UI/L) levels were normal. Blood culture, gastric aspirates for mycobacterium testing HVB, HVC, HIV, and CMV serology were negative, whereas anti-EBV antibodies suggested a previous exposure to this virus. Abdominal ultrasound and abdominal-pelvic computed tomography did not find any abnormality.
Histological analysis of the renal biopsy, performed on June 11, 2013, found nonnecrotic granulomatous interstitial nephropathy with epithelioid cells, some multinucleated giant cells, a lymphoplasmacytic infiltrate, and tubular atrophy in 20% of the kidney biopsy tissue (). There was no immunofluorescent deposit and the Ziehl-Nielsen coloration was negative. Neither vascular nor glomeruli abnormality was detected.
Nifedipine was stopped on June 11 and corticosteroid treatment (0.5 mg/kg/day) was started on June 13. Serum creatininemia rapidly decreased from 175 μmol/L (June 11) to 133 μmol/L (July 12) and then remained stable (138 μmol/L on October 4). The concentration of blood inflammatory markers decreased. Corticosteroids were progressively reduced and then stopped on October 4, 2013. Serum creatininemia further improved (115 μmol/L January 24, 2014, and 106 μmol/L on January 22, 2015).</t>
  </si>
  <si>
    <t>A 48-year-old woman with chronic tension headaches comes to the physician because of several episodes of bilateral flank pain and reddish urine within the past month. Current medications include aspirin, which she takes almost daily for headaches. Her temperature is 37.4°C (99.3°F) and her blood pressure is 150/90 mm Hg. Physical examination shows costovertebral tenderness to percussion bilaterally. Laboratory studies show a hemoglobin concentration of 10.2 g/dL and serum creatinine concentration of 2.4 mg/dL. Urine studies show:
Urine
Protein
3+
RBC &gt; 16/hpf
WBC 2/hpf
There are no casts or dysmorphic RBCs visualized on microscopic analysis of the urine.</t>
  </si>
  <si>
    <t>A 63-year-old female who was visitor from Veracruz, Mexico, presented to the emergency room with complaints of progressively worsening abdominal pain and distention for three days. She also had fever and altered mentation. Her past medical history was significant for hypertension, diabetes mellitus, hyperlipidemia, and end-stage renal disease. She had been on PD for four years and denied any recent changes in technique. She had two episodes of peritonitis in the past while in Mexico but was unaware of the details of those episodes. Her surgical history was significant for appendectomy, cholecystectomy, and tubal ligation and she denied any recent abdominal procedure. She denied smoking, alcohol intake, or use of recreational drugs.
On examination, her blood pressure was 172/85 mm of Hg, pulse 88/min, oral temperature 39.5°C (103.1°F), respiratory rate 14/min, and oxygen saturation on room air 94%. She was lethargic and confused. She had abdominal distention and diffuse tenderness without any rebound or guarding. Her PD catheter exit site was clean and dry. Laboratory studies showed white blood cell count of 14.5 × 103/μL with 87.1% granulocytes, hemoglobin of 6.3 g/dL, and hematocrit of 18.4%. Serum chemistries showed sodium of 130 mmol/L, potassium of 2.7 mmol/L, chloride of 90 mmol/L, bicarbonate of 27 mmol/L, blood urine nitrogen of 30 mg/dL, and creatinine of 7.7 mg/dL. Her liver function tests were within normal limits. Computed tomography of abdomen and pelvis without intravenous or oral contrast showed peritoneal thickening consistent with peritonitis, and there was no evidence of perforation or obstruction (). PD fluid analysis showed white cell count of 2173 per mm3 with 96% neutrophils and red blood cells of &lt;3000 per mm3.
Blood and PD fluid cultures were sent, and she was empirically treated for bacterial peritonitis with intraperitoneal cefazolin and ceftazidime. PD fluid gram stain revealed budding yeast; blood and PD fluid cultures did not reveal bacterial growth. Given the high suspicion of fungal peritonitis, immediate removal of the PD catheter was discussed with the patient. She chose not to have the catheter removed, leave to Mexico, and get treated by her own nephrologist. Hence oral fluconazole was started for presumed Candida peritonitis. However, six days later, the fungal culture [Mycosel Agar and Brain Heart Infusion Agar] of the PD fluid grew H. Capsulatum.</t>
  </si>
  <si>
    <t>A 73-year-old African American woman with diabetes mellitus, hypertension, and recently diagnosed immunoglobulin G MM, presented with 2 days’ history of fever, nausea, vomiting and dizziness. She was found to be obtunded in our Emergency department and was intubated for airway protection. She was febrile (39.33°C, 102.8°F), but hemodynamically stable. She demonstrated mild respiratory distress, had rales and wheezes on auscultation, and edema in both lower extremities. Initial laboratory results (Table ) revealed pancytopenia, elevated creatinine and corrected calcium of 7.3mg/dL, other electrolytes were within normal limits. A chest radiograph revealed cardiomegaly and pulmonary edema. Ten days prior to admission she received one dose of ZA, three doses of bortezomib, and seven doses of daily lenalidomide in addition to weekly dexamethasone. A clinical diagnosis of neutropenic fever, acute renal failure and severe hypocalcemia was made. Treatment was started with intravenous vancomycin and cefepime. She was also given calcium gluconate boluses for her hypocalcemia.
Even after 24 hours of treatment, her mental status did not improve. She remained febrile, her kidney functions worsened, and her calcium level became undetectable (&lt;5mg/dL) and ionized calcium was 0.66mmol/L (see Table ). She was started on continuous intravenous calcium gluconate infusion in addition to boluses, which still did not increase her calcium levels. We then tested for vitamin D levels which were found to be low (13ng/mL). The value of vitamin D was measured on the day in which renal function was most impaired (creatinine 8mg/dL). Intravenous paricalcitol was initiated, which did improve her calcium level, but, it did not revert to normal. Despite aggressive calcium replacement she remained persistently hypocalcemic and eventually developed tonic–clonic seizures. An electrocardiogram revealed a QT interval of 500ms using Bazett’s formula. Her neuroimaging, however, was normal except for several small calvarium lytic lesions (Figure ). Her family eventually made the decision to focus on comfort measures only, following which, she had a cardiac arrest and died on hospital day 17.</t>
  </si>
  <si>
    <t>Ideal Body Weight</t>
  </si>
  <si>
    <t>Using the Ideal Body Weight Formula, what is the patient's ideal body weight in terms of kg?</t>
  </si>
  <si>
    <t>Our patient was a 47-year-old man who was diagnosed with tetralogy of Fallot 3 months after birth. He had a Waterston operation at 9 months of age and a Blalock–Taussig procedure at 1 year, 10 months of age. At age 10, the patient underwent surgery to ligate the ascending aorta–right pulmonary artery shunt path. He did not undergo intracardiac repair. The main pulmonary artery was completely occluded from the right ventricular outflow tract. The right-to-left shunted blood ejected from the left ventricle through the ventricular septal defect and merged with oxygenated blood via the shunt path from the left subclavian artery to the left pulmonary artery.
Renal function decreased when the patient was 38 years of age. Home oxygen therapy at night was initiated 1 year before the patient presented at our hospital; a β-blocker (carvedilol, 2.5 mg/day) was started 6 months before presentation. The patient did not experience breathing difficulty in his daily life (New York Heart Association Class II) and was able to work. A PD catheter was inserted in April 2015. Renal function gradually decreased and exacerbation of lower leg edema was observed, so PD was started. The patient’s height was 158 cm, his weight was 54 kg, his body temperature was 36.3 °C, his blood pressure was 136/69 mmHg, his pulse rate was 81 beats/min, and his oxygen saturation was 81% in room air.
Laboratory testing was performed on admission. Urinalysis dipstick examination indicated 4+ protein (8 g/g Cr) and was negative for blood. Arterial blood gas analysis showed a pH of 7.278, PaCO2 of 43 mmHg, PaO2 of 52 mmHg, bicarbonate of 19.7 mmol/L, and base excess of − 6.9 mmol/L. Chest X-ray showed a cardiothoracic ratio of 63%, indicating cardiac enlargement. Abdominal ultrasonography showed mild atrophy of the bilateral kidneys, increased cortical brightness, and cysts. Left ventricular findings of cardiac ultrasonography included a left ventricular end-diastolic diameter of 44 mm, left ventricular end-systolic diameter of 28 mm, left ventricular ejection fraction of 71%, septal thickness of 26 mm, and rear wall thickness of 11 mm. The valve findings were mild aortic regurgitation, trivial mitral regurgitation, moderate tricuspid regurgitation, and pulmonary artery closure. The main pulmonary artery was not visible from the right ventricular outflow tract. The ventricular septal defect was 19–22 mm in diameter; there was almost right-to-left shunting across the defect, with only a slight left-to-right shunt. After Waterston operation there was good flow through the shunt from the ascending aorta to the right pulmonary artery. After left Blalock–Taussig shunt operation there was decreased flow velocity from the left subclavian artery to the left pulmonary artery.
In July 2015, PD was started. Serum creatinine (Cr) at the start of PD was 5.5 mg/dl. The fast peritoneal equilibrium test (PET) result was low average. From November 2015 (4 months after the start of PD), B-type natriuretic peptide (BNP) gradually increased, water removal was 200–300 mL/day, and body weight increased. In March 2016 (8 months after starting PD), the PD fluid protocol was changed. In February 2017, the patient developed lower leg edema and his BNP increased to 1300 pg/mL, so treatment was changed to continuous cycling PD. With increased water removal, the edema resolved and BNP rapidly decreased. Changes associated with cyanosis included a hemoglobin level of 18–20 g/dL, indicating polycythemia; the patient also experienced headache. Phlebotomy treatment was performed four times. Because of concerns about iron deficiency resulting from phlebotomy, hemostasis therapy was discontinued, after which the patient’s headache improved (Fig. ).
The serum bicarbonate level at the start of PD in July 2015 was 20 mmol/L. This value increased to 25–30 mmol/L with the change in PD fluid protocol, and venous blood PCO2 increased with the start of PD (Fig. ).
The target SpO2 was adjusted to 70–85%; SpO2 was unchanged after PD. SpO2 decreased with the complication of heart failure, but improved with fluid management. Periodic echocardiography showed that PD initiation had little effect on hemodynamics.
There were no PD-related complications.
In July 2019, 5 years after the start of dialysis, the patient was admitted to the hospital for treatment of abdominal pain and dyspnea. Abdominal CT revealed a diverticulum of the colon in the hepatic curvature of the transverse colon. Surgery was considered to carry a high risk of respiratory and hemodynamic breakdown in this patient. On the basis of abdominal findings and CT findings, it was concluded that conservative treatment with antibiotics and fasting was appropriate. With the consent of the family, laparotomy was not performed and conservative treatment was initiated. Streptococcus salivarius was subsequently detected in culture of the PD effluent and MRSA was detected in blood culture. Antibiotic treatment based on sensitivity testing was started and the peritoneal catheter was removed, but there was no improvement. The patient developed septic shock and died 27 days after admission.</t>
  </si>
  <si>
    <t>A 26-year-old man who appeared healthy was transferred to our facility for persistent intermittent low abdominal and perineal pain for the previous 2 months. The patient had also experienced urinary symptoms including frequency, urgency, gross hematuria, and dysuria for a month and had no history of any medical or surgical procedures prior to the visit. He was treated with antibiotics for 2 months under a diagnosis of cystitis and Meckel's diverticulum or Crohn's disease at local clinics; however, there were no pathologic findings on colonoscopy and no complaint about bowel symptoms. His family history was not notable for Crohn's disease.
He was 177 cm in height and 72 kg in weight with no acute distress. On physical examination, there were no abnormal findings. There was pyuria and microscopic hematuria on urine analysis; however, the other laboratory findings were within normal range. Cystoscopy showed diffuse erythematous mucosal thickening on the right side wall of the bladder dome (). However, there was no stool debridement no any fistulous opening in the bladder. A computed tomography (CT) scan showed that there was a tubular structure connected with the right side wall of the bladder, suggesting Meckel's diverticulum with fistula formation to the bladder as well as a mass-like bladder wall thickening ().
With an impression of Meckel's diverticulum with fistula with the bladder, a laparoscopic operation was performed through 3 abdominal ports (one 10 mm port placed at 10 mm above the umbilicus [camera] (KARL STORZ GmbH &amp; Co. KG, Mittelstr, Tuttlingen, Germany), one 12 mm port for the right pararectal trocar, and one 5 mm port placed between the left anterior iliac spine and the umbilicus). The distal tip of the long appendix, which had a normal shape on its body and base was found to be densely adhered to the right side wall of the bladder (). Laparoscopic appendiceal ligation was performed with 10 mm Hem-O-Lok clips (Teleflex Medical, Research Triangle Park, NC, USA) and 2-0 Vicryl (Ethicon Inc., Somerville, NJ, USA). After removing the proximal appendix, dissection of the bladder around the tip of the appendix was performed. There was a dense fibrotic change around the tip of the appendix. Partial cystectomy was performed and laparoscopic two-layered bladder repair was done with 3-0 Vicryl (Ethicon). The total surgical time was 75 minutes and the estimated intraoperative blood loss was minimal.
On the 7th postoperative day, cystography was performed and no urinary leakage around the bladder was demonstrated. The urinary symptoms including gross hematuria, dysuria, and frequency improved and abdominal discomfort symptoms also subsided. The other laboratory findings were within normal range. The surgical specimen showed a 9.2×1.2 cm appendix attached to a 4.3×3.2 cm bladder with dense fibrotic change without any malignancy.
At 1 month postoperatively, he had no symptoms including frequency, urgency, sense of residual urine, or intermittent gross hematuria. Nor were there any abnormal findings by CT which was performed 1 year postoperatively.</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</si>
  <si>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</si>
  <si>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A 30-year-old male who was 161 cm tall and weighed 91 kg (morbid obesity, body mass index 35.0 kg/m2) underwent WLL as treatment for PAP (). The patient had been suffering dyspnea on exertion for three years. His vital signs were blood pressure (BP) 130–150/70–80 mmHg, heart rate (HR) 80–100 beats/min, respiratory rate (RR) 18–22 rates/min, and body temperature 36.2℃. The patient's oxygen saturation by pulse oximeter (SpO2) while receiving air was 75–89%, which was partially corrected to 91–98% while receiving 2 L/min of oxygen via nasal prong (VNP). Arterial blood gas analysis (ABGA) under oxygen administration revealed the following: pH 7.39, arterial CO2 partial pressure (PaCO2) 44.6 mmHg, arterial O2 partial pressure(PaO2) 65.3 mmHg, and bicarbonate (HCO3–) 26.1 mEq/L.
During induction, both mask ventilation and intubation were difficult (laryngeal view: Cormack-Lehane grade IV). Intubation trials with a 37-Fr. left-sided double lumen tube (DLT) (Mallinckrodt™, Covidien, Dublin, Ireland) and laryngoscopy, followed by a videostylet (Optiscope®, Pacific Medical, Seoul, Korea) failed. Hence, a flexible fiberoptic bronchoscope (FOB) was used to intubate a single lumen tube (SLT) (ID 8.0), and then the SLT was changed to a DLT using a tube exchanger.
Left one-lung ventilation (OLV) was maintained with an SpO2 of 86–90% at an inspired oxygen fraction (FIO2) of 1.0 during right-lung lavage. We performed external percussion physiotherapy with an automatic mechanical percussion device (The Vest™ Model 205 [Airway Clearance System], frequency 10 Hz, duration 3 minutes, Hill-Rom, Charleston, SC, USA) rather than manual chest percussion. After right-lung lavage, we resumed two-lung ventilation (TLV) with intermittent suction for 20 minutes (FIO2 1.0). For left-lung lavage, right OLV was started with an FIO2 of 1.0, but it was impossible to maintain SpO2 &gt; 80% (). Therefore, we decided to postpone left-lung lavage until conditions in the right lung improved (). A chest X-ray taken after intensive care unit (ICU) transfer showed no specific findings, including pneumothorax. One day after the lavage, while in the ICU, the patient was weaned from mechanical ventilation, extubated, and transferred to the general ward.
Three days later, the patient was returned to the operating room for left-lung lavage. The patient's SpO2 was 91–96% with O2 3 L/min VNP. We intubated the trachea with a SLT via Glide-Scope (Verathon Medical, British Columbia, Canada) and then changed the SLT to a DLT with a tube exchanger because the previous intubation was difficult. We confirmed breath sounds from both lungs, and right and left lung ventilation during separation through auscultation. The proper tube location was confirmed using an FOB.
TLV was performed in volume-controlled mode: FIO2 1.0, tidal volume of 400 ml, RR of 15 rates/min, peak inspiratory pressure (PIP) of 31 cmH2O, and positive end-expiratory pressure (PEEP) of 5 cmH2O. PaO2 was 57 mmHg (SpO2 86%) on ABGA examination. Fifty minutes after induction, we started right OLV in pressure-controlled mode: FIO2 1.0, inspiratory pressure of 25 cmH2O above PEEP 5 cmH2O, tidal volume of 200 ml, and RR of 20 /min. Within a few minutes of starting right OLV, the patient's SpO2 plunged below 80%, so we rapidly resumed TLV and re-confirmed the proper position of the DLT using an FOB. We did not observe any bronchial secretion or obstruction. Right OLV was tried again, but the patient's SpO2 rapidly decreased to &lt; 80% within a few minutes. After resuming TLV, 2.5 mg of salbutamol was nebulized to relieve any bronchial constriction, and 100 mg of hydrocortisone was injected intravenously to improve symptoms. During manual ventilation, we detected very poor lung compliance. In auscultation, the patient's breath sounds from the right lung were very distant and nearly inaudible. Therefore, we suspected he had a right-side pneumothorax, which was confirmed on chest X-ray (). A chest tube was inserted by a thoracic surgeon, and a follow-up chest X-ray showed that the pneumothorax had decreased (). Two hours after induction, lung compliance and arterial oxygenation improved: FIO2 1.0, tidal volume of 450 ml, RR of 18/min, PIP of 24 cmH2O, and PEEP of 5 cmH2O. PaO2 improved to 93 mmHg on the following ABGA examination ().
We re-tried right OLV and were finally able to maintain SpO2 &gt; 90%: FIO2 1.0, inspiratory pressure of 23 cmH2O above PEEP 5 cmH2O, tidal volume of 320 ml, and RR of 20 /min, without any severe air leakage or tidal-volume loss. The left-lung lavage was started along with right OLV with the chest tube inserted state. During the remaining lavage period, we maintained SpO2 &gt; 85% without further deterioration.
After lavage, the patient was transferred to the ICU and received mechanical ventilation. On postoperative day (POD) 1, the patient developed a high fever (38.8℃) and was diagnosed as having pneumonia with parapneumonic effusion in the right lower lobe, so antibiotics were administered. The chest tube was removed on POD 3, and extubation was performed on POD 4. The patient was transferred to the general ward on POD 7 and discharged on POD 19. Follow-up chest computed tomography was performed 40 days after the left-lung lavage; it showed interval decreases in the extent of PAP in both lungs, resolved parenchymal consolidation in the right lung, and decreased right pleural effusion ().</t>
  </si>
  <si>
    <t>A 52-year-old male, weighing 54 kg, height 164 cm, with a 22-year-old history of ankylosing spondylitis was admitted in the Urology Department, for percutaneous nephrolithotomy.
During preanesthetic assessment his history revealed that the he required three pillows to support his head due to the disease process and involvement of the cervical spines []. A physical examination suggested that there was severe cervical spondylitis involving thoracolumbar vertebral column, without lower limb neurological involvement. No cardiovascular system abnormality was detected.
The airway examination showed adequate mouth opening with artificial dentures, Mallampati grade III restricted neck mobility. A preoperative assessment for difficult intubation was made.
Radiographs of the vertebral column revealed ankylosis of the cervical, thoracic, and lumbar spinous processes showing posterior joint involvement, resorption of the anterior surfaces of the vertebral bodies and calcification and ossification of the posterior ligaments and surrounding soft tissues.
Following the traditional anesthetic approach to ankylosing patients, we decided to opt for securing the airway using awake endotracheal intubation; however, the patient did not give his consent for this. A difficult intubation cart, which had a selection of oropharyngeal, nasopharyngeal airway, gum elastic bougie, fiberoptic bronchoscope, cricothyroidotomy, and other aids, was kept ready.
On the day of the surgery, the patient was premedicated with oral ranitidine 150 mg and diazepam 5 mg, two hours before surgery, with a sip of water, and injection glycopyrrolate 0.2 mg intramuscularly one hour before surgery. Preparation for fiberoptic intubation was done. Nasal patency was checked and the nasal cavity prepared with oxymetazoline nasal drops. In the operation room the patient was made to lie supine with the head adequately supported on three pillows and routine monitors, such as, the electrocardiogram, non-invasive blood pressure, and pulse oximeter and capnograph were placed. The IV line, with a 18 Gauge canula, was started. Anesthesia was induced with IV injection propofol 2 mg/kg, slowly, in titrated doses, with fentanyl 2 μg/kg. The anesthetist had to use a higher footstep than normal to get the desired level. We opted for fiberoptic bronchoscopy, but as the heart rate increased to 144/min and the blood pressure increased to 180/118 mmHg, we administered a further bolus dose of 50 mg of propofol to increase the depth of anesthesia. The patient's heart rate, and blood pressure stabilized, but the patient started desaturating with apneic spells, so we decided to abandon the procedure. The patient was allowed to wake up. Regional anesthesia was taken as the next option. Even after three attempts by expert hands no cerebrospinal fluid (CSF) was obtained through the spinal needle.
Taylor's approach was attempted. Clear CSF was obtained through the spinal needle and 3 ml of 0.5% bupivacaine and 25μg/kg fentanyl was injected intrathecally. Due to the spinal deformity, we were not able to achieve the appropriate position for intrathecal block. Therefore, we carried out some maneuvres; we placed a pillow beneath the left shoulder to make the spine of the scapula perpendicular to the table, and the operating table (OT) was tilted 20° to the right, to straighten the spine and to make it parallel to the floor.
The block was adequate with sensory block up to T4 and adequate motor blockade upto T6. The vital signs remained stable. Fluid calculations and management of blood pressure were very important in this patient with severe lung disease. Prone position had to be given carefully, with bolsters confirming to the contours of the patient, to avoid fractures.
There were no intraoperative problems throughout the procedure, which was completed within three hours. Hemostasis was adequate. Supplementary oxygen was administered continuously during the surgical procedure. There were no postoperative sequelae to the spinal technique.</t>
  </si>
  <si>
    <t>A fifteen-year-old female adolescent was admitted to the child and adolescent acute psychiatric unit of our hospital for the first time after remaining isolated in her home for four months. She had initiated treatment in the outpatient clinic of her district in June 2013, attending only one visit and refusing all psychiatric treatment thereafter.
There was a family history of schizophrenia in second degree relative on her mother's side. The patient's medical history, according to her family, included recurrent acute bronchitis until 10 years of age. No history of alcohol or tobacco consumption or psychoactive substance use was reported. The patient was very selective and restrictive in her meals since her childhood. She only ate biscuits, ham croquettes, bread, and omelettes.
Regarding school, she described acceptable performance until the previous academic year when she presented some difficulties, and her teachers decided to change her to another classroom with a lower academic level.
Her premorbid personality was described as quiet and shy, with some difficulty in social relationships, but with a group of friends at the beginning of the episode. She lived with her parents and an 18-year-old sister in a mid-size city (with a population of about 216,000 inhabitants).
The patient reported that during the previous academic year she had been separated from her friends due to the change of classroom and at the same time she had begun to suffer digestive cramps and headaches, and as a result she stopped going to school. She stayed at home, with no interest in leaving the house, playing computer games and surfing the internet all day from April 2013 until her admission in our department 6 months later. The family explained that she had also become withdrawn from them, showing little interest in conversation, giving only monosyllabic answers, and gesturing in response to her parents' questions. She showed neglect in her personal hygiene and apathy regarding her physical appearance.
At the time of her admission, the mental status examination showed she was conscious and oriented in time, place, and person, though unkempt and exhibiting psychomotor retardation, poor eye contact, and limited language, answering questions with monosyllables or gestures. She also displayed emotional lability when discussing sensitive issues like friends and school and showed hypothymia, poorly reactive mood, apathy, weakness, and anhedonia and was only interested in computer usage. She did not exhibit impaired sensory perception, self-referentiality, or psychotic behavior, though she was sleeping from 4:00 am to noon. Her food intake was very selective, limited to certain specific foods, but there was no loss of appetite. The patient denied having suicidal ideation.
In the first interview, apathy and depressive moods were observed when she spoke about life events related to her friends at school and how this situation interfered with her functioning. Physical examination revealed a weight of 83.1 kg, height of 1.63 m, body mass index of 31.3, body mass index standard deviation score of 2.689, and blood pleasure of 120/80 mmHg. She denied muscular pain and no goiter or myxedema.
Soon after admission, a blood test and electrocardiogram (EKG) were performed. EKG, liver function tests, electrolytes, and whole blood count were within normal limits. Due to her isolation at home and selective food intake, levels of some vitamins were analyzed; vitamin D3 and folic acid levels were insufficient (vitamin D3: 20.9 ng/mL insufficient with levels above 30 ng/mL and folic acid: 2.3 ng/mL insufficient with levels above 3 ng/mL). The thyroid function test showed thyroid-stimulating hormone (TSH) levels of 24.159 mIU/L (reference range: 0.400–4.00), free thyroxine (FT4) 0.93 ng/dL (reference range: 0.80–2.00), and triiodothyronine (T3) 1.08 ng/mL (reference range: 0.70–1.90), with antithyroid peroxidase antibodies &gt;1300 IU/mL (reference range: &lt;35).
We requested interconsultation with the endocrinology department where hypothyroidism secondary to Hashimoto's thyroiditis was diagnosed, and treatment with levothyroxine 50 micrograms/day was recommended. We began folic acid (5 mg/day) and vitamin D (0.266 mg/alternate days) supplementation too.
During her hospital stay, the patient adapted well to the rules of the unit, was sociable with peers, and showed no behavioural disturbances at any time.
After 8 days in our acute unit, the patient showed significant improvement in mood and social interaction and was discharged. Monitoring continued in the outpatient clinic, while the patient maintained the same pharmacological treatment. At six weeks, the patient was asymptomatic; she had returned to school showing acceptable performance and socialization with family and classmates. The new thyroid function test showed TSH 9.096 mIU/L and FT4 1.21 ng/dL. Six-months after discharge, the improvement persisted, and thyroid function was TSH 6.935 mIU/L and FT4 1.35 ng/dL and antithyroid peroxidase antibodies decreased, with 75 micrograms/day of levothyroxine.</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</si>
  <si>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t>
  </si>
  <si>
    <t>A 35-year-old African American man with a history of hypertension, carpal tunnel syndrome, osteoarthritis of the knee, and glucose-6-phosphate deficiency (G6PD) was scheduled for removal of keloids found in the occipital region of his head. His medications include amlodipine, hydrochlorothiazide, lisinopril, and cholecalciferol. He was 1.85 m (73 inches) tall, weighed 134 kg with a body mass index of 39. An airway examination on the day of surgery showed a prominent mandible, limited mouth opening, macroglossia, positive prognathism, Mallampati IV classification, and thyromental distance (thyroid notch to the tip of the jaw with the head extended) &gt;6 cm; a thyromental distance &lt;6 cm serves as a predictor for difficult intubation. He also had other distinct skeletal features that included prominent supraciliary arches and nose bridge, as well as large hands and feet.
Following induction of general anesthesia with lidocaine, fentanyl, and propofol and muscle relaxation with succinylcholine, an elective Airtraq device was used for intubation with moderate difficulty. Following a second attempt, a 7.0 endotracheal tube was passed blindly into his trachea because of large immobile epiglottis that resulted in a grade IV indirect view. His surgical procedure was uneventful and he was extubated without difficulty. After full recovery in the post-anesthesia recovery unit, he was informed that he had a difficult airway and advised to inform all future anesthesia providers. In addition, because of the high index of suspicion for acromegaly he was educated about the possibility of having this disorder and was advised to follow up with his primary care provider for further evaluation.
Endocrine tests performed subsequently included serum cortisol, adrenocorticotropic hormone, thyroid-stimulating hormone, prolactin, hemoglobin A1C, insulin-like growth factor 1 (IGF-1), GH, and parathyroid hormone levels. All of his biochemical markers were normal except for his serum IGF-1 and GH (Table ) that were 700 ng/ml and 22.5 ng/ml, respectively: twofold greater than the reference normal upper limit. A transthoracic echocardiogram showed moderate left ventricular hypertrophy with preserved systolic left ventricular function. Magnetic resonance imaging of his brain showed a large mass arising from the sella and extending into the suprasellar cistern (19 × 12 × 20 mm), consistent with pituitary macroadenoma (Fig. ).
A neurosurgical evaluation was performed and he underwent a transsphenoidal resection of his pituitary tumor 3 months later. Given his known difficult airway, he was intubated using an awake oral fiberoptic technique. His perioperative period was uneventful. Pathological evaluation showed the resected pituitary adenoma to be focally reactive for prolactin and GH, and was negative for adrenocorticotropic hormone, thyroid-stimulating hormone, follicle-stimulating hormone, and luteinizing hormone. Serum laboratory tests performed 3 weeks postoperatively showed normalization of his prolactin, IGF-1, and GH levels (Table ).</t>
  </si>
  <si>
    <t>We obtained Institutional Review Board (IRB) approval (Dankook University Hospital IRB 2021-02-015) and written informed consent from patient's legal representative for the publication of this report.
A 42-year-old male (American Society of Anaesthesiologists class II; weight, 59 kg; height, 165 cm) with a malignant melanoma in the left side of the oral cavity, gingiva, and buccal mucosa was scheduled for mass excision and reconstruction with a fibular free flap (). Preoperative magnetic resonance imaging (MRI) showed an ill-defined mass lesion that was 2.6 × 2.4 × 1.8 cm in size in the left lateral part of the oral cavity (Figures and , stage III, T2N1). He was previously healthy and had no history of systemic disease or medication. Preoperative evaluations, including laboratory tests, electrocardiography, and chest radiography, were unremarkable.
Patient monitors were instituted, including standard monitors and continuous arterial blood pressure monitoring with radial artery catheter insertion. General anaesthesia was induced with intravenous injections of fentanyl (100 μg), lidocaine (60 mg), propofol (120 mg), and rocuronium (50 mg) and maintained with 7–10 vol% desflurane. After the induction of anaesthesia, nasal packing was performed with cotton swabs moistened with a 0.01% epinephrine solution. Nasotracheal intubation was performed using fibreoptic bronchoscopy (FI-10RBS, Pentax, Japan), and a 6.5 mm reinforced tube was inserted. After intubation, a central venous catheter (CVC, Bio Line, 7 F double lumen catheter, Ewha Biomedics, Republic of Korea) was inserted into the right subclavian vein using the anatomical landmark technique.
Partial mandibulectomy (from # 21 to the mandibular angle), radical neck dissection, and reconstruction with a fibular free flap were performed (). The operation time was approximately 13 hours and 25 minutes. The infused volume was crystalloid 7200 ml, colloid 1700 ml, packed red blood cells (pRBC) 5 units, and fresh frozen plasma 5 units. The urine output was 3800 ml, and the estimated blood loss was approximately 1800 ml. The patient was transferred to the intensive care unit and was kept sedated with endotracheal intubation.
The patient recovered from anaesthesia 3 hours after the surgery. Ventilator weaning was initiated at 8 AM on the first postoperative day (POD 1), the ventilator was stopped at 1 PM, and oxygen (5 L/min) was administered via a T-piece. The patient did not complain of respiratory difficulties. The patient was evaluated before extubation, and his mental status was alert, muscle tone was intact, surgical wound condition was visually acceptable, and the endotracheal tube cuff leak test was fair. No bleeding was noted from the surgical wound. Blood pressure was maintained between 110/60 mmHg and 140/90 mmHg. Postoperative pain was treated with an intravenous infusion of patient-controlled analgesia with fentanyl and nefopam. There was no dyspnoea, and arterial oxygen saturation was 100%.
At 8 AM POD 2, the patient was extubated (approximately 36 hours postsurgery), and oxygen (3 L/min) was administered via a nasal prong. Four hours after extubation, his haemoglobin level decreased to 8.9 ml/dl. One unit of pRBC was transfused.
Seven hours after extubation (POD 2, 3 PM), the patient complained of dyspnoea, and arterial oxygen saturation decreased from 100% to 87%. Bag-mask ventilation was initiated but was ineffective. Oral and nasal airway insertion was not sufficient to open the airway. Conventional direct laryngoscopy, video laryngoscopy, and laryngeal mask insertion were not successful because the structures in the oral cavity were severely distorted due to operation site oedema and haematoma. An otolaryngologist performed an emergency TT while performing bag-mask ventilation. During TT, the heart rate decreased from 90 bpm to 42 bpm. Intravenous atropine (0.5 mg) and epinephrine (200 μg) were administered. Ten minutes after the initiation of bag-mask ventilation, cardiopulmonary resuscitation was initiated to treat cardiac arrest, and epinephrine (1 mg) was administered every 5 minutes. The TT tube was secured 28 minutes after the initiation of bag-mask ventilation. Blood pressure was 80/30 mmHg, and dopamine, dobutamine, and norepinephrine infusion (20 μg/kg/min each) were administered. The patient was connected to a ventilator and was sedated with midazolam. On POD 3, midazolam sedation was stopped; however, patient's mental status was semicomatose, and he showed seizure-like movements. A neurology consult was obtained, and postoperative computed tomography showed severe swelling and increased soft tissue density with airway compression in the left side of the face and neck (). On POD 4, a brain MRI showed a diffusely restricted lesion involving the whole cerebral cortex and basal ganglia. The patient received conservative treatment but his mental status did not recover. On POD 67, a recurring tumour was found. Further chemotherapy or radiotherapy was considered; however, it was decided that it would not be beneficial. On POD 103, the patient was transferred to a hospice.</t>
  </si>
  <si>
    <t>Patient 1 (reported in DECIPHER database with identification # 256835) was a 15-year-old girl, the second child to non-consanguineous healthy Norwegian parents. Pregnancy and delivery were uneventful, with the following birth measures: weight 4470 g (97th centile), length 55 cm (&gt;97th centile) and occipitofrontal circumference (OFC) 36 cm (75th centile). Global developmental delay was present from early childhood and she walked independently at 3.5 years of age. Testing with Reynell Developmental Language Scales and British Picture Vocabulary Scale at age 9 years, and Leiter International Performance Scale-Revised (Leiter-R) at age 9 and 10 years, indicated a mental age between 3 and 4 years, with expressive language below 3 years. The test results were consistent with moderate intellectual disability (IQ 35–49). A cerebral magnetic resonance imaging (MRI) examination at age 8 years showed unspecific periventricular white matter changes. She has had seizure-suspected syncope episodes from 13 years of age, but an electroencephalogram (EEG) was normal. At the last examination, at age 15 years, her weight was 53.7 kg (50th centile), height 157.5 cm (10th centile) and OFC 54 cm (25th centile). Her vocabulary consisted of 20–30 words, no sentences, and her articulation was blurred. She was hyperactive with a short concentration span, and had sleeping difficulties. She demonstrated unsteady and broad-based gait with difficulties standing on one leg at a time, and a remarkable inability to jump on one as well as on two legs (Additional file
: Video Patient 1). Dyspraxia was suggested by a discrepancy in performance between on-command and self-initiated tasks and language. Muscle tone was normal. Hearing and vision were normal. Ultrasound scan of kidneys was normal. She had pes planovalgus, short halluxes and apparently long 2nd toes bilaterally. X-ray images of hands and feet revealed shortening of the 1st and 3rd -5th metacarpal bones of the left hand and the 1st and 5th metacarpal bones of the right hand, and bilateral short 1st metatarsal bones (Additional file
: Figure S1). Dysmorphic facial features (Figure
) and minor congenital anomalies in this patient are listed in Table
.</t>
  </si>
  <si>
    <t>A 28-year-old woman was admitted to the hospital with progressive ocular symptoms as well as newly developed hemianesthesia and mental signs. Half a month before hospitalization, she complained of double eyelid droop and diplopia; the ocular weakness and fatigue was stable throughout the day and had nothing to do with physical activity. The local hospital suspected myasthenia gravis, a computed tomography scan of her brain revealed nothing, and her serum was collected to detect the acetylcholine antibody. While waiting for a hospital bed, she developed numbness in her right upper and lower extremities. At the same time, she presented with prolonged sleep duration and mental symptoms. She was then transferred to our institution. On admission, she was noted to have difficulty walking by herself due to truncal ataxia. There was no cold, fever, or diarrhea before her symptom onset.
She had been suffering from chronic anemia, and her family reported that she had dietary deficiencies due to poor appetite although she denied it herself. She was on no other medications, not pregnant, and did not use alcohol or illicit drugs.
On physical examination, the patient presented obviously unbalanced nutrition; she was 1.65 m in height yet only weighed 40 kg. She was conscious and oriented and scored 23 in the MMSE, mainly due to impaired memory and calculation performance. Eye signs were obvious; she had drooping eyelids (both 5 mm). The ophthalmoplegia was remarkable; she demonstrated bilateral abducens nerve palsies and adduction deficit of both eyes. Limitation and nystagmus on vertical gaze were also noted. There was slight dysmetria on both finger–nose and heel–shin testing. Limb dysdiadochokinesia was also observed. Bilateral pyramidal signs were positive. Sensory examination indicated hyperesthesia on the right side. Findings on muscle tone and strength tests were normal.
She had an abnormal Hb level of 92 g/L, accompanied by low levels of serum folate and ferritin; vitamin B12 level was normal. Laboratory tests also revealed elevated levels of CA199 and CA242; both were gastrointestinal tumor markers although an abdominal enhanced CT scan reported no findings. The CSF revealed an increased white blood cell count of 28/mL (dominantly lymphocytes); other routine analyses of the cerebrospinal fluid (CSF) were normal, including protein level and IgG index (0.49). Also, no oligoclonal bands were found. Additional laboratory workup—including rheumatology analysis—was negative.
Magnetic resonance imaging of the brain () showed symmetric T2 hyperintensities predominantly located within periaqueductal gray matter and periventricular regions of the fourth ventricles. A diffusion-weighted sequence also showed a hyperintense signal along the floor of the fourth ventricle. The presence of a lateral ventricle lesion was also noted. All brain lesions did not show contrast enhancement. Nerve conduction studies and visual evoked potentials were normal.
In view of the possible diagnosis of WE, thiamine was started intramuscularly (300 mg 12-h). However, poor clinical recovery was observed. Her mental status worsened and exhibited hallucination, and the ocular palsy also progressed.
Then came the crucial result that her serum and cerebral fluid tested positive for NMOSD-IgG (1:32 and 1:3.2, respectively). Thereafter, the spinal cord was evaluated, and MRI of the spine revealed a suspicious enhanced T2-weighted signal at the lower thoracic cord region ().
We corrected the diagnosis, and the patient started with treatment of high-dose intravenous steroids, but still little improvement was detected. The patient then experienced bilateral visual loss, but MRI results of the optic nerve reported no findings. After that, intravenous immunoglobulin treatment was given, followed by intravenous cyclophosphamide therapy. On discharge, she showed moderate improvement in eye movement and ataxia although her vision remained unchanged.</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</si>
  <si>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</si>
  <si>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A 73-year-old man was referred to our hospital by his primary care doctor because of a bulge in his right inguinal region. The patient reported this bulge had been present since his adolescence. The hernia had been reducible until age 55, and had become irreducible, thereafter. Medical history included hypertension, diabetes mellitus, asthma and cerebral infarction. He was currently taking one aspirin daily. The patient was 159 cm tall and weighed 84 kg, with a body mass index of 32.2 kg/m2. On physical examination, the bulge in his right inguinal region was roughly the size of an infant's head and the bottom of scrotum descended to his knees in the upright position (Fig. ). Laboratory tests indicated a hemoglobin A1C (HbA1C) concentration of 7.0% and a urine glucose concentration of 4+. Lung function tests identified restrictive lung function and pre-operative cardiac ultrasound revealed no local asynergy. Abdominal computed tomography (CT) imaging identified the sigmoid colon with a large amount of feces and the great omentum as part of the contents of the hernia (Fig. ). Although the hernia was irreducible, the patient was planned to undergo an elective surgery for hernia repair due to absence of symptoms of incarceration. Informed consent was obtained from the patient. The patient achieved a weight reduction of 3 kg within 3 months prior to surgery.
CT on the day of admission showed a hernia sac of 2263 ml, with an intra-abdominal volume of 12 021 ml. Pre-operative bowel preparation with Magcorol P reduced the volume of the hernia contents to 1604 ml, representing a 71% reduction. The intra-abdominal volume was decreased to 10 485 ml.
The TAPP procedure was performed under general anesthesia with the patient placed in a slight Trendelenburg position. In the aeroperitoneum, no adhesion between the orifice of the hernia and the abdominal content was identified. With four laparoscopic ports in place (Fig. ), the prolapsed intestine was slowly reduced by applying external pressure to the hernia from outside of the body. Following this procedure, complete reduction of the hernia contents was achieved, with an operative time of 2 h 50 min and a blood loss of approximately 700 ml. The loss of 700 ml of blood was mainly due to the injury caused by forceps when we sought to reduce the incarcerated omentum. We did not dissect the hernia sac, leaving it with the cord distally.
CT imaging before hernia reduction indicated the diameter of the hernia orifice to be approximately 50 mm, with the posterior wall of the hernia orifice strengthened. A mesh of sufficient area was placed to cover the orifice of the hernia, completely detaching the dorsal aspect of the hernia from the peritoneal membrane up to the dorsal ileocecal region. Given the possibility of tearing of the peritoneal membrane, a VentralightTM ST mesh (Bard Davol Inc., RI, USA), 15 cm in diameter, was used.
The patient followed a satisfactory post-operative course. The scrotum on post-operative Day 2 is shown in Fig. . On post-operative Day 2, the patient complained of mild abdominal fullness, which disappeared by post-operative Day 4 (Fig. ). Ultrasonography of the lower limbs indicated absence of deep vein thrombophlebitis. The patient was discharged from the hospital on post-operative Day 12, with no recurrence of herniation, 12 months post-surgery (Fig. ).</t>
  </si>
  <si>
    <t>A 35-year-old nulliparous Arab woman with an 8-year history of primary infertility presented to our infertility center. During these 8 years, she was diagnosed with uterus didelphys with two cervices and no vaginal septum (Fig. ). She underwent hysterosalpingogram (HSG), three-dimensional ultrasound (3D US), and diagnostic laparoscopy, which proved the diagnosis (Fig. ). Hence, no magnetic resonance imaging (MRI) was done since the 3D US was enough to determine the sizes of both horns, which showed minor differences in dimensions.
She had no specific history, apart from her irregular period explained by the diagnosis of polycystic ovary syndrome (PCOS), was not a smoker, and did not consume alcohol. Her weight was 87 kg and her height 158 cm.
Her spouse was 44 years old, with uncontrolled type 2 diabetes, a recent history of coronary angioplasty and stents, and chronic hypertension.
They had three previous failed intracytoplasmic sperm injection (ICSI) trials outside our center years prior due to an indication for a male factor (oligo-astheno-teratozoospermia).
The couple was very anxious, depressed, and distressed at the first consultation, to which they brought a new semen analysis showing azoospermia.
The male, who had a medical condition, declined any intervention to extract the sperm surgically per recommendations from the anesthesiologists and cardiologists. A diagnosis of retrograde ejaculation was made, as well as a plan for isolation of the sperm from a urine sample after the preparation. Three vials of frozen motile sperm were obtained before embarking on the fourth IVF trial.
Four blastocysts were obtained from the first IVF/ICSI antagonist cycle in February 2018 (Table ), one of which (4AA) was transferred to the left uterus, and surplus freezing was done. The patient tolerated the procedure very well with no need for sedation or anesthesia. Her vital signs were normal (blood pressure 118/67 mmHg, heart rate 73 beats per minute, temperature 36.7 °C).
Both horns had a highly suitable endometrium, with a triple line with an average thickness of 10.3 mm. The left horn was chosen because it was more accessible to the left cervix at the moment of embryo transfer. It was planned to transfer one embryo, and the couple was counseled by our high-risk-pregnancy consultant to improve the obstetrics outcome for this uterine anomaly.
The first successful IVF journey ended with no need for cerclage and with no obstetrical complication by an elective C-section at 35 weeks for a baby girl of 2800 g weight, 46 cm length, 31.5 cm head circumference, and 7/10 Apgar score at delivery.
The couple visited our infertility center again in 2020 with the goal of conceiving a second child. The first child was with them, showing very good progress, normal development, and intelligence as per her parents. They extended their request to transfer one of the frozen embryos.
The endometrium was prepared by hormone replacement therapy (HRT) protocol for embryo transfer for the frozen embryo transfer (FET) cycle using 6 mg ethinyl estradiol daily starting from second day of period. Progesterone was added on day 14, when reaching triple-line endometrium with thickness of 11.1 mm. One blastocyst was thawed and survived. The initial decision was to transfer the embryo to the same horn (left) because of the previous successful transfer. The very deep and long vagina forced us to reach one of the cervices. The outer sheet of the embryo transfer catheter was used and showed that we were targeting the right horn.
Embryo transfer proceeded successfully and smoothly (Fig. ), in which the embryo was placed in the right uterus without changing or manipulating the anatomy, and the embryo was placed 1 cm from fundus. The patient tolerated the procedure well, and the couple was counseled properly.
Nine days later, her beta human chorionic gonadotropin (b-hCG) level was 258 mIU/ml. A single gestational sac with a viable pregnancy (positive heart beat) was observed in the right uterus, and the patient was referred to our high-risk-pregnancy specialist for follow-up. An elective C-section was performed at 34 weeks for a baby boy of 2650 g weight, 47 cm length, 31 cm head circumference, and 6/10 Apgar score at delivery.</t>
  </si>
  <si>
    <t>A 16-year-old female patient (weight: 56 kg, height: 165 cm) was referred to ophthalmic clinic of our hospital and reported sudden left eye pain and visual acuity reduction over the past 4 days. She was febrile (38 °C) and experienced malaise.
Ophthalmic examinations revealed that the patient’s left eye visual acuity was 0.8 (LogMAR scale, no improvement was achieved after correction) and the intraocular pressure (IOP) was 18.3 mmHg (non-contact tonometer). Slit-lamp microscope showed erythema and edema of the eyelids and chemosis (Fig. a). Color fundus photograph revealed two ERD lesions temporal and superior-nasal to the optic disk (Fig. b). The presence of ERD was further confirmed by SD-OCT (spectral-domain optical coherence tomography, Heidelberg Engineering, Heidelberg, Germany) (Fig. c).
Systemic laboratory tests were revealed by full blood count (WBC 10.54 × 109/L, 84% neutrophils) and assessment of erythrocyte sedimentation rate (ESR) (37 mm/h) and C-reactive protein (12 mg/L). Blood cultures were performed which identified Staphylococcus aureus. Orbital computed tomography (CT) scans identified left eye proptosis and swelling of the periorbital and postbulbar soft tissue, which all led to the diagnosis of orbital cellulitis. The presence of ERD was again verified by orbital CT scans (Fig. d). However, the cause for the orbital cellulitis was not idenitfied in this patient, such as trauma, periorbital cellulitis with local spread, paranasal sinusitis, or hematogenous spread of a remote infection.
Treatments in this patient were initiated soon after final diagnosis was made. Intravenous administration of antibiotics (cefatriaxone, 2.0 g, daily) was received, in addition to topical antibiotics (Lenofloxacin eye drops, Santen, Osaka, Japan) four times a day. The patient was closely followed up daily with routine ocular examinations. Considerable improvement of laboratory tests, including those revealed by the normalized blood test, was achieved after 1 week, when intravenous antibiotics were terminated. Complete recovery of ERD was evident about 1 month later (Fig. ), and the visual acuity improved to 0.6 (best-corrected visual acuity improved to 0.4, LogMAR scale).</t>
  </si>
  <si>
    <t>A 50-year-old woman patient without medical history and any cardiovascular risk factors was hospitalized for exertional dyspnea and palpitations from three months and signifiant weight loss. She related worsening of symptoms in the last week before admission.
On admission, she was in the poor condition, cachectic, weighing 45 kg for a height of 1, 65 m and a BMI 17 kg/ m2, blood pressure was 100/60 mm Hg, heart rate was regular 120/min, respiratory rate was 29 breaths/ min and she was afebrile. Oxygen saturation was 98%. Physical examination revealed bilateral lung crepitations. A full blood cell count showed a mild normocytic anemia (hemoglobin = 11.5 g/dl). A chest radiograph showed left atrial enlargement and data of left cardiac failure. The electrocardiogram showed sinusal tachycardia.
Transthoracic echocardiography performed in emergency showed a giant left atrial mobile mass (72× 53 mm) attached to the interatrial septum and confined to the left atrium in systole (Figure ). In diastole (Figure ) the tumor was seen prolapsing across the mitral valve into the left ventricle and partially obstructing it and causing severe functional mitral stenosis with a mean gradient of 21,3 mmHg. A mild mitral regurgitation was also found. Severe pulmonary hypertension was confirmed by Doppler PAPs =137 mmHg. The patient was scheduled for cardiac surgery. During the operation, the tumor was excised through a sternotomy from a transseptal approach with a small portion of the atrial wall and the histopathological analysis found atrial myxoma. The clinical course was uncomplicated and the patient was discharged after three weeks with good outcome.</t>
  </si>
  <si>
    <t>A 68-year-old Japanese man (height: 160 cm, weight: 75 kg) was admitted to our hospital with chest pain and acute dyspnea. He worked as a truck driver and had never traveled abroad.
The chest pain and dyspnea had started a few days previously and had worsened over time. The patient had not received treatment prior to admission.
The patient’s medical history included type 2 diabetes mellitus and hypertension that were treated with oral metformin hydrochloride (750 mg daily) and valsartan (80 mg daily), respectively. His diabetes was poorly controlled, with a hemoglobin A1c of 7.7%.
He denied a history of similar diseases in close relatives.
On auscultation, his heart sounds were normal with no murmur. Coarse crackles were heard in both lungs. No other abnormalities were detected.
Laboratory data at the time of admission are shown in Table . In summary, his white blood cell count and C-reactive protein levels were high. Myocardial enzymes lactate dehydrogenase and aspartate aminotransferase were elevated, and troponin-T was positive. An anti-human immunodeficiency virus (HIV) antibody test result was negative.
His chest radiography on admission showed consolidation in the right upper lobe and bilateral congestion (Figure ).</t>
  </si>
  <si>
    <t>QTc Bazett Calculator</t>
  </si>
  <si>
    <t>Using the Bazett Formula for corrected QT interval, what is the patient's corrected QT interval in msec?</t>
  </si>
  <si>
    <t>Patient has a heart rate of 131 bpm and a QT interval of 330 msec.</t>
  </si>
  <si>
    <t>Patient has a heart rate of 48 bpm and a QT interval of 330 msec.</t>
  </si>
  <si>
    <t>Patient has a heart rate of 82 bpm and a QT interval of 330 msec.</t>
  </si>
  <si>
    <t>Patient has a heart rate of 75 bpm and a QT interval of 330 msec.</t>
  </si>
  <si>
    <t>Patient has a heart rate of 144 bpm and a QT interval of 330 msec.</t>
  </si>
  <si>
    <t>Patient has a heart rate of 136 bpm and a QT interval of 330 msec.</t>
  </si>
  <si>
    <t>Patient has a heart rate of 165 bpm and a QT interval of 330 msec.</t>
  </si>
  <si>
    <t>Patient has a heart rate of 57 bpm and a QT interval of 330 msec.</t>
  </si>
  <si>
    <t>Patient has a heart rate of 102 bpm and a QT interval of 330 msec.</t>
  </si>
  <si>
    <t>Patient has a heart rate of 49 bpm and a QT interval of 330 msec.</t>
  </si>
  <si>
    <t>Patient has a heart rate of 113 bpm and a QT interval of 330 msec.</t>
  </si>
  <si>
    <t>Patient has a heart rate of 72 bpm and a QT interval of 330 msec.</t>
  </si>
  <si>
    <t>Patient has a heart rate of 133 bpm and a QT interval of 330 msec.</t>
  </si>
  <si>
    <t>Patient has a heart rate of 119 bpm and a QT interval of 330 msec.</t>
  </si>
  <si>
    <t>Patient has a heart rate of 125 bpm and a QT interval of 330 msec.</t>
  </si>
  <si>
    <t>Patient has a heart rate of 154 bpm and a QT interval of 330 msec.</t>
  </si>
  <si>
    <t>Patient has a heart rate of 46 bpm and a QT interval of 330 msec.</t>
  </si>
  <si>
    <t>Child-Pugh Score for Cirrhosis Mortality</t>
  </si>
  <si>
    <t>What is the patient's Child-Pugh Score?</t>
  </si>
  <si>
    <t>A 61 year old male with a history of chronic iron deficiency anemia, type 2 diabetes mellitus, cirrhosis secondary to alpha 1 antitrypsin deficiency, hypertension, and chronic kidney disease presents to the emergency department from a skilled nursing facility for lethargy and confusion. History is limited by confusion, though the patient complains of abdominal pain. The patient is unsure when his last bowel movement was. He denies dysuria, nausea or vomiting. Vitals are as follows: heart rate 102 bpm, blood pressure 127/77, temperature 97.5°F. The patient is oriented only to self. Asterixis is present. Abdominal exam is notable for decreased bowel sounds, and negative for ascites. Labs are notable for sodium 135 mmol/L, potassium 3.3 mmol/L, BUN 38 mg/dL, creatinine 2.0 mg/dL, albumin 3.1 g/dL, bilirubin 40.2umol/L, ammonia 125 umol/L, TSH 1.83 ulU/mL, WBC 4.3, hemoglobin 8.9 g/dL, and INR 2.1. The patient is admitted to the medical service.</t>
  </si>
  <si>
    <t>A 60 year old male with a past medical history of chronic obstructive sleep apnea on 2L home oxygen, chronic portal vein thrombosis with cavernous transformation, and cirrhosis complicated by history of variceal bleeding treated with band ligation is admitted to the hospital for abdominal pain and tactile hallucinations. The patient has a complex history including multiple admissions for gastrointestinal bleeding and worsening liver function tests. On admission, the patient reports that he had been doing well until earlier in the week when he began feeling like spiders were crawling on him. He also notes abdominal pain in the right lower quadrant which is sharp, constant, and 9/10 in severity, and he feels that his abdomen has recently become more distended. The patient is adherent to his prescribed regimen of Lactulose. He reports 3 bowel movements daily with no melena or hematochezia. He notes decrease urine output over the last 2-3 days. He denies any recent fever, dyspnea, cough, hematuria, or lower extremity swelling. He does not use alcohol, NSAIDs, or recreational drugs. Vital signs are stable. Physical exam is notable for jaundice, asterixis, and moderately distended abdomen with positive fluid wave and moderate tenderness. The abdomen is tympanic on percussion. Laboratory studies are notable for potassium 3.8 mmol/L, creatinine 1.67 mg/dL, BUN 30 mg/dL, total bilirubin 13.3 mg/dL, ALP 473 U/L, ALT 99 U/L, AST 121 U/L, lipase 63 U/L, ammonia 100 umol/L, WBC 5800/uL, hemoglobin 11.9 g/dL, albumin 3.33 g/dL and INR 2.2. A CT of the abdomen and pelvis is ordered and diagnostic paracentesis is performed.</t>
  </si>
  <si>
    <t>A 62-year-old male with a history of AUD, HTN, and cirrhosis presents with progressive abdominal distension and altered mental status over the past few weeks. On examination, he appears jaundiced with minimal palpable ascites. Laboratory findings reveal an elevated INR of 2.1, serum albumin level of 3.1 g/dL, and Tbili of 2.45 mg/dL. Furthermore, liver function tests demonstrate a reduction in serum protein levels, with a total protein of 5.2 g/dL and elevated liver enzymes, including ALT at 140 U/L and AST at 160 U/L. On neurological exam the patient is A&amp;Ox1 (self) with hyperactive reflexes, and rigidity.</t>
  </si>
  <si>
    <t>A 74-year-old male with a history of alcohol abuse, HIV, and Hashimoto's thyroiditis presents with complaints of fatigue and intermittent abdominal discomfort over the past few weeks. He denies any recent alcohol intake but admits to a long-standing history of heavy alcohol consumption. On examination, there are no signs of jaundice, and his abdomen is soft with no tenderness appreciated. Laboratory evaluation reveals an elevated INR of 2.4, a total bilirubin level of 3.00 mg/dL and albumin level of 2.7 g/dL. Thyroid function tests reveal a TSH level of 8.5 mIU/L and a decreased free T4 level. On physical exam the patient is A&amp;Ox3 all reflexes 2+ and absent asterixis.</t>
  </si>
  <si>
    <t>A 54-year-old male with an extensive medical history, including Hepatitis C, hypertension, and recently diagnosed cirrhosis, presents to the clinic with complaints of increasing abdominal girth. On physical examination, the patient has mild jaundice, a slightly distended abdomen, and fine, flapping tremors of the hands indicative of asterixis. Relevant lab findings include INR of  1.8, albumin 3.1 g/dL, and serum bilirubin 2.4 mg/dL. His general orientation and cognition are slightly impaired (grade 1-2 encephalopathy). Hemoglobin A1c was 6.5 % indicating adequately controlled diabetes and creatinine levels are improved and within normal ranges, reflecting consistency in regular dialysis sessions. The patient is to continue diuretics for his mild ascites.</t>
  </si>
  <si>
    <t>A 70-year-old female with a past medical history of cholelithiasis and non-alcoholic steatohepatitis-induced cirrhosis presents for a progressively uncomfortable, bloated feeling in her abdomen. She is alert, oriented, and cooperative. Her abdomen was visibly distended on inspection, consistent with moderate ascites. Laboratory analysis demonstrates INR of 1.5, albumin 2.9 g/dL, and total bilirubin 1.8 mg/dL (direct bilirubin 0.8 mg/dL). Coordination was normal during Romberg's test, and she articulated her history well, indicating no encephalopathy. Her creatinine levels were within normal limits, and complete blood count (CBC) was normal. Her diuretic dose was increased to control her ascites and she will continue to monitor her liver health regularly.</t>
  </si>
  <si>
    <t>A 65-year-old female patient with history of Hepatitis B, DM type II, and recently diagnosed cirrhosis visited the clinic for her scheduled visit. A firm liver edge was palpated below the costal margin, but there was no detectable ascites on physical examination. Laboratory evaluation revealed a direct bilirubin of 1.5 mg/dL and a total bilirubin of 3.0 mg/dL. INR was 1.3. Her albumin level was 3.4 g/dL, slightly below normal range. Elevated levels for serum alkaline phosphatase and gamma-glutamyl transferase were also noted. Her random blood sugar was measured at 155 mg/dL and her BUN/Creatinine ratios were within normal limits. She was encouraged to abstain from alcohol, follow a low salt diet to prevent fluid accumulation, and regular follow-up visits for monitoring were scheduled.</t>
  </si>
  <si>
    <t>A 50-year-old male with a history of chronic Hepatitis C and cirrhotic liver disease arrived at the ED with advanced disorientation and severe confusion. During the examination and assessment, the patient had considerable cognitive impairment, suggestive of grade 3-4 hepatic encephalopathy. There was no visible abdominal distension. Laboratory findings included an INR of 1.7, albumin of 3.2 g/dL, and total bilirubin at 2.1 mg/dL. Blood pressure readings showed pre-hypertensive levels, and the patient had leukocytosis, suggestive of systemic infection or inflammation. After stabilization, he was admitted to the hospital for comprehensive hepatic function assessment and intravenous lactulose therapy for hepatic encephalopathy. A liver transplantation consultation was also suggested.</t>
  </si>
  <si>
    <t>A 52-year-old female with hypothyroidism, autoimmune hepatitis and recent diagnosis of cirrhosis arrives for routine follow-up. The patient has been experiencing a slight increase in her abdominal girth. Physical evaluation reveals mild distension in the abdominal area indicating slight ascites. She underwent laboratory tests, including coagulation studies, revealing an elevated INR of 2.0, a slight elevation in total bilirubin to 1.6 mg/dL and serum albumin 3.0 g/dL, indicative of decreased liver function. Thyroid function tests were also performed due to her reported symptoms of cold intolerance and fatigue, revealing a TSH of 6.2 mIU/L, indicating hypothyroidism. Her levothyroxine dose was adjusted.</t>
  </si>
  <si>
    <t>The patient is a 59-year-old male with a known history of cirrhosis due to chronic Hepatitis B infection. Upon clinical examination, he has jaundice and his abdomen is moderately distended with a noticeable fluid wave on palpation, indicating moderate ascites. He has been experiencing episodes of short-term memory loss and confusion, consistent with grade 1-2 hepatic encephalopathy. His laboratory results reflected impaired coagulation status given INR of 1.9. Overall liver function tests showed albumin level of 2.8 g/dL and total bilirubin 2.5 mg/dL. His hemoglobin level was 12.3 g/dL, and other routine biochemical parameters were within acceptable range. His medication list includes diuretics, lactulose, and antiviral agents for ongoing Hepatitis B infection. The patient and his family have been advised to monitor his cognitive function at home and relay any further deterioration.</t>
  </si>
  <si>
    <t>A gentleman in his 60s with a known history of alcohol-related cirrhosis presented for routine liver function tests. He had been compliant with alcohol abstinence for about a year and was on thiamine supplementation. His abdomen appeared flat, with no ascites noted on percussion or palpation. Blood examination revealed a slightly raised INR of 1.4 and an Albumin level of 3.5 g/dL. Bilirubin was slightly elevated at 2.7 mg/dL. He was oriented to time, place, and person with no visible signs of hepatic encephalopathy. His speech was fluent. His platelets were slightly reduced, and other hematologic parameters were within normal limits. Echocardiogram and ECG were normal. Abdominal ultrasound confirmed cirrhotic changes in the liver. Adequate hydration, nutrition, and adherence to current medication regimens were advised.</t>
  </si>
  <si>
    <t>A male patient in his early 70s with alcoholic liver disease and diabetes was brought to the hospital due to extreme confusion and unresponsiveness to verbal stimuli. He has been experiencing a progressively worsening mental state suggestive of stage 3-4 hepatic encephalopathy. Blood investigation revealed an INR of 1.6, suggesting a coagulopathy consistent with liver disease. His bilirubin was 1.9 mg/dL, and albumin 3.3 g/dL, reflecting liver damage. He has been prescribed a low-protein diet with lactulose and rifaximin and has been referred for an immediate assessment for liver transplantation. His HbA1c level was also measured, which showed well-controlled blood-glucose levels at 7 %.</t>
  </si>
  <si>
    <t>A 65-year-old male with a history of cirrhosis 2/2 NASH who presented for a scheduled consultation. He mentions feeling bloated lately but denies any remarkable cognitive impairments. Physical examination revealed a mild JVD and minimally distended abdomen. Laboratory findings were notable for an INR of 1.5. His liver function test indicated compromised hepatic function with total bilirubin of 2.3 mg/dL and albumin levels at 3.1 g/dL. His hemoglobin was 11.9 g/dL and WBC count showed no alarming deviation from the norm. Electrocardiogram showed regular heart rhythms and echocardiography revealed preserved ejection fraction. He is maintained on a low-sodium diet and diuretics for ascitic control.</t>
  </si>
  <si>
    <t>A 68-year-old female with a history of Hepatitis C,diabetes, hypertension, and recently diagnosed cirrhosis presenting for a regular check-up. During the physical examination, the patient's abdomen was moderately distended, along with the presence of a palpable liver edge. Laboratory findings revealed coagulopathy with an INR of 2.2. Markers indicating an impairment of liver function were found with a total bilirubin at 1.7 mg/dL and albumin level of 2.6 g/dL. The patient had a fasting blood glucose level of 126 mg/dL, consistent with her known diagnosis of diabetes. Renal function was within normal limits with BUN 14 mg/dL and creatinine 0.9 mg/dL. She was instructed to continue her current medications, which included diuretics for ascites and antiviral medications for Hepatitis C.</t>
  </si>
  <si>
    <t>A 69-year-old male with a past medical history of hypertension, chronic alcohol use, and cirrhosis presented for a routine check. He was sober and although slight mental slowness and mild asterixis were present on exam, There was no evidence of ascites. The laboratory results revealed an INR of 1.9, increasing the concern for impaired liver function. His serum total bilirubin was 2.0 mg/dL and albumin was 3.2 g/dL, indicating diminished liver function. The patient's blood glucose was 120 mg/dL, raising the suspicion of prediabetes, and his creatinine was 1.0 mg/dL, indicating good renal function. He was ordered to abstain from alcohol consumption, maintain a balanced diet, and monitor his blood glucose regularly. His medications including diuretics and antihypertensives remained unaltered until his next appointment.</t>
  </si>
  <si>
    <t>A 58-year-old female with a PMH of Hepatitis C, hypertension, and recently diagnosed cirrhosis presents for a routine check-up. On neurological examination, the patient was disoriented and exhibited asterixis.Further, laboratory results were noted with total bilirubin at 2.2 mg/dL, suggestive of dysfunctional liver, and an international normalized ratio (INR) of 2.1 indicating a potential coagulopathy. Other lab results pointed to a serum albumin level of 3.0 g/dL. Her white cell count was elevated at 12,000 per μL which, combined with a low-grade pyrexia of 100.4°F, raises suspicion of an underlying infective process. Further investigations and strict monitoring are suggested, and she has been referred to a neurologist regarding her encephalopathy. Daily administration of her prescribed medications is strongly advised for better control over her hypertension and liver disease.</t>
  </si>
  <si>
    <t>A 64-year-old gentleman with a medical history of ADPKD and cirrhosis secondary to NASH presented for a routine appointment. The patient's abdomen was slightly distended. Palpation revealed mild ascites. His cognitive function was fair, with fluent speech and no indications of hepatic encephalopathy. His latest laboratory workup showed slightly elevated INR, recorded at 1.7. Liver function tests determined a trimmed albumin level at 3.3 g/dL and total bilirubin of 1.5 mg/dL, suggestive of declining hepatic synthetic function. His creatinine level was slightly raised, indicating renal function needs monitoring considering the underlying ADPKD. The patient was instructed to maintain a low salt diet and continue his current prescribed diuretic therapy to manage ascites. Further instructions with strict alcohol avoidance were emphasized on discharge.</t>
  </si>
  <si>
    <t>A 55-year-old female with a past medical history of primary Biliary Cholangitis (PBC) and cirrhosis presented with abdominal discomfort and episodic forgetfulness. Physical examination revealed an evidently distended abdomen with a fluid thrill sign indicative of moderate ascites. On biochemical investigation, the INR was elevated to 2.0, indicating the potential of coagulopathy. Laboratory data affirmed impaired liver function characterized by albumin levels at 2.7 g/dL and an elevated total bilirubin of 2.6 mg/dL. The CBC showed mild anemia with a hemoglobin level of 11.2 g/dL. Abdominal ultrasonography was advised to evaluate the extent of liver disease further. Medication instructions have been provided to manage the ascites and suspected hepatic encephalopathy. She was additionally prescribed Ursodeoxycholic Acid for PBC and was advised to adhere to a healthy lifestyle by monitoring her diet and avoiding alcohol.</t>
  </si>
  <si>
    <t>A 62-year-old male with a known history of primary sclerosing cholangitis and recently diagnosed cirrhosis arrived for his scheduled consultation. On examination, no notable ascites was reported. His latest laboratory results showed an INR of 1.6, implying altered coagulation status. Further testing revealed a total bilirubin level of 2.8 mg/dL and an albumin level of 3.4 g/dL, pointing to decreased liver function. No specific evidence or comment was documented concerning hepatic encephalopathy during the visit. His vital signs were relatively stable with a blood pressure of 122/78 mmHg. His fasting lipid panel came back normal, and his CRP was slightly elevated at 7.3 mg/L, suggesting an underlying inflammation/infection. The patient was recommended to continue the prescribed medications to manage his sclerosing cholangitis and regularly monitor his condition. They were also advised to return if he noticed any cognitive impairment or confusion.</t>
  </si>
  <si>
    <t>A 63-year-old male with recently diagnosed cirrhosis secondary to NAFLD came for a follow-up consultation. During the appointment, he exhibited confusion, asterixis, and slurred speech. Laboratory evaluations were remarkable with an increased INR value at 1.8. Liver function tests showed a total bilirubin count of 1.9 mg/dL and an albumin level of 3.1 g/dL demonstrating compromised liver function. Additional lab tests showed a glucose level at 130 mg/dL, though hemoglobin A1c was within acceptable bounds which indicate fairly well-controlled DM II. The patient was advised to maintain dietary restrictions and adhere to prescribed therapeutic management. Family intervention was also suggested considering his cognitive impairment. He was reassured that they would initiate steps to manage his encephalopathy right away.</t>
  </si>
  <si>
    <t>Wells' Criteria for DVT</t>
  </si>
  <si>
    <t>What is the patient's Wells' criteria score for Deep Vein Thrombosis?</t>
  </si>
  <si>
    <t>A 12-year-old girl received treatment in a maternal and child care service center on April 08, 2017 for frequent abdominal pain and diarrhea with a little blood. A diagnosis of bacterial infection was suspected and she was administered oral antibiotics like amoxicillin. Symptoms grew progressively worsen over time. Five days later, she was admitted to the same hospital for repeated fever and headache as well as bloody purulent stools. After treatment with cephalosporin, symptoms improved. Six days after admission, she presented a sudden left-sided hemiparesis and numbness, accompanied by intermittent convulsion. Urgent computed tomography (CT) showed an area of low density in the right frontal lobe. A further magnetic resonance imaging (MRI) showed an abnormal signal in the right frontal and left temporal area. Magnetic resonance venogram (MRV) showed the left venous sinus were not visualize with collateral circulation extensiveness formation. Electrocardiogram showed frequent ventricular premature beat. Abdominal ultrasonography revealed thrombus formation in the superior mesenteric arterial hypoechoic. A diagnosis of cerebral infarction was highly suspected. After reducing intracranial pressure and anticoagulant therapy, no improvement was found with her consciousness and hemiparesis, so she was transferred to our hospital on April 25, 2017.
On admission, she was moderately emaciated, hypotensive, and her body temperature was 37.8 °C. She did not have any vascular risk factor. Her personal and family history was normal besides. Neurological examination revealed hemiplegia with a positive Babinski sign on left side.
Biochemical tests revealed hyperleukocytosis (17.4 × 109/L), moderate anemia (hemoglobin, 88 g/L, hematocrit, 27.8%), hypoalbuminemia (albumin, 30.4 g/L), and elevated levels of C-reactive protein and procalcitonin. A coagulation test revealed an elevation of D-Dimer. Antinuclear antibodies, including anticardiolipin, antinuclear antibody, antismooth muscle antibodies, antineutrophil cytoplasm antibody, and rheumatoid factor were negative. A thrombophilia workup including anticardiolipin, antiphospholipid antibodies, homocysteine, antithrombin was performed and showed normal results.
After admission, due to severe hematochezia, colonoscopy was unable to perform to determine the cause. At that time the patient was only placed on omeprazole (20 mg QD) for protecting gastrointestinal mucosa. In surprise, symptoms of hematochezia disappeared when treated with frozen plasma and erythrocytes transfusion. The anticoagulation therapy with low-molecular-weight heparin (LMWH; 4000 IU BID) was started, and DSA was performed followed, which confirmed multiple thrombosis of the superior sagittal sinus with secondary hemorrhage (Fig. A). Interventional therapy with guide wire was administered simultaneously (Fig. B–D). After operation, the patient was treated with Warfarin Sodium Tablets (2.5 mg QD) and LMWH. CT scan (Fig. ) in 10 days demonstrated a residual left-sided forntal infarction. Twenty days after admission a follow-up MR venography showed partial recanalization of superior sagittal sinus, a filling defect of left sigmoid, and underdevelopment of left transverse sinus (Fig. A–B). MRI (Fig. ) at the same time showed infarctions in the left frontal and temporal lobes. Five days later, with clinical improvement, she was discharged home. She switched to Warfarin Sodium Tablets (2.5 mg QD) only which was withdrawn after a few days with no other recurrent strokes and a slow improvement of her neurological condition.
The patient received another hospitalization for recurrence after 1 year and a colonoscopy was taken (Fig. ), then ulcerative colitis was confirmed. A follow-up MR venography showed a similar situation as before (Fig. C). At that time she achieved a complete recovery of limb functions and did not present any other stroke recurrences.</t>
  </si>
  <si>
    <t>Primary time frame is "Six days after admission, she presented a sudden left-sided hemiparesisd and numbness ..." with the following imaging, history and physical, vitals, laboratory information. 1) Bedridden recently &gt;3 days given the several days of progressive abdominal pain and diarrhea and previous admission to the hospital for antibiotics (likely several days inpatient itself) ... but I could see why someone might mark this category as 0 as it is not explicit bedridden. 2) Left-sided hemiparesis counts as "paresis of lower extremity" category even though it is not just paresis of the lower extremity alone</t>
  </si>
  <si>
    <t>A 68-year-old man presents with urinary retention for the past week. He says his symptoms onset gradually almost immediately after being prescribed a new medication for his depression. He states that he has increased his fluid intake to try to help the issue, but this has been ineffective. He also mentions that he has been having problems with constipation and dry mouth. His past medical history is significant for major depressive disorder, diagnosed 6 months ago. The patient denies any history of smoking, alcohol consumption, or recreational drug use. He is afebrile, and his vital signs are within normal limits. A physical examination is unremarkable. A urinalysis is normal.</t>
  </si>
  <si>
    <t>A 69-year-old male presented to his primary care physician with an 8-year history of a slow-growing large mass protruding from the right anal verge. The patient’s past medical history included a previous basal cell carcinoma, coronary artery disease, atrial fibrillation and diverticular disease. The patient had previously undergone colonoscopic investigation of diverticulosis and underwent polypectomy of the three colonic and one rectal tubular adenoma with low-grade dysplasia a year before. There was no past medical history of trauma to the perineal region or previous perineal procedures. On assessment of the patient at the colorectal unit, the mass originated from the skin of the anal verge and was not involving the anal canal. It was cylindrical in shape, was soft and fluctuant with no irregularities and did not display any overlying cutaneous features. Magnetic resonance imaging (MRI) was undertaken and demonstrated a thin-walled homogenous cystic structure arising in the intersphincteric plane measuring 7 cm × 5 cm × 5 cm (). The cyst was well defined with no invasive features and demonstrated high signal on T2-weighted imaging suggestive of a fluid-filled structure.
The cyst was examined under anaesthesia in the lithotomy position and was mobilized into the intersphincteric space and excised preserving the perianal skin (). The cyst was excised entirely and macroscopically appeared to be a thin-walled 8-cm long sac containing a yellow fluid. The resulting skin defect was closed with interrupted 2-0 vicryl dissolvable suture material. Histological analysis of the mass confirmed a large hybrid epidermal inclusion cyst ().</t>
  </si>
  <si>
    <t>A 60-year-old woman with a history of lung cancer currently in remission was admitted with complaints of chest pain. She had recurrent substernal chest pain, increasing in severity, without radiation or associated symptoms during the preceding week. She denied any specific alleviating or provoking factors.
Past medical history was significant for hypertension and stage IIIA nonsmall cell lung carcinoma which was diagnosed eight years earlier. She had been treated with chemotherapy and radiotherapy. One year later she developed a malignant pericardial effusion, treated with a pericardial window, and recurrent pleural effusions, which were drained with pleural catheters. During the next six years, she was in full remission as confirmed by annual chest computed tomography (CT). Her medications included aspirin, metoprolol, iron, vitamin B12, and gefitinib. She was a nonsmoker and drinks alcohol occasionally.
At presentation, her physical exam was benign. Initial cardiac biomarkers (creatine phosphokinase, troponin) and fasting lipid panel were within normal limits. The 12-lead electrocardiogram (ECG) showed normal sinus rhythm without any significant ST-T changes. Chest radiograph showed left perihilar parenchymal scars, surgical clips, and postoperative changes in the chest (). Other laboratory studies, including two more sets of cardiac biomarkers, were normal.
She underwent an exercise nuclear stress test which demonstrated indeterminate electrocardiogram (ECG) changes with a small anteroseptal wall defect which appeared to be artifactual. Following the stress test, she developed retrosternal chest pain. Although her ECG did not show any acute changes, repeat serum troponin level was elevated at 0.42 ug/L. Coronary angiography was performed and demonstrated 90% stenosis of the left main coronary artery ostium, dominant right coronary artery, and no evidence of any atherosclerotic disease or stenosis in other coronary arteries (Figures , , and ). Left ventricular ejection fraction was 55% without any regional wall motion abnormalities.
Syntax score was calculated to be 12% which predicts comparable outcomes of surgical and angioplastic procedures. Taking into consideration patient's history that may complicate the surgical treatment including her previous surgical interventions, radiation therapy, and chemical therapy, the interventional cardiology team recommended percutaneous coronary intervention (PCI) with stenting of the lesion. Cardiothoracic surgeons were consulted as well for further evaluation and they agreed that surgery will be challenging in this patient, but at the same time they felt that she may tolerate the surgery well, given her functional status, remission from cancer, and the low operative risk (EuroScore is 1.23%), and they suggested coronary artery bypass graft (CABG) surgery as a reasonable option due to the high failure rate of stenting ostial lesions and to avoid the possible cardiac arrest associated with the intervention on the stenotic ostium of left main coronary artery.
After discussing both treatment options, the risks and benefits of each procedure with the patient, she decided to undergo surgical revascularization. Overnight, she experienced excruciating anginal chest pain without any elevation in cardiac enzymes; as a result she was taken to surgery the next day.
Intraoperatively she was noted to have dense adhesions surrounding the heart. As a result, she developed severe bleeding from the adhesions. Despite aggressive transfusion of red blood cells and platelets, bleeding could not be controlled and she died during surgery. The family refused to allow autopsy to confirm the diagnosis.</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</si>
  <si>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</si>
  <si>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A 77-year-old man was diagnosed with RA in 2006 with positive anti-CCP antibodies and RF; MTX was used but was changed to GLM in 2016 (the recent dose interval was 6–7 weeks; the last dose was 5 weeks before vaccine administration) and maintained in remission. The patient was receiving epoetin beta pegol and zinc acetate hydrate for hypertension and chronic renal failure. Four days after the first dose of the BNT162b2 vaccine, the patient developed left upper and lower limb paralysis and was rushed to the emergency room. The blood test revealed a platelet count of 5.6 × 104/μL despite the last count of 11.1 × 104/μL, and the brain CT showed right frontal lobe subcortical hemorrhage and subarachnoid hemorrhage in the central sulcus. There were no significant thrombotic findings. Transient thrombocytopenia recovered spontaneously after a few days, and the patient was transferred to the hospital for rehabilitation. The results of the PA-IgG test were negative.</t>
  </si>
  <si>
    <t>A 52-year-old male patient presented in our emergency room with massive traumatic avulsion of the penile and scrotal skin following mishandling of an electric drill during work 9 h earlier. The missing skin was not retrievable.
The patient was taken to the local hospital immediately after the accident. The wound was quickly dressed and the patient was referred to the Emergency Department of our hospital.
The patient was healthy prior to the accident with no history of chronic disease.
Physical examination showed full-thickness skin of both scrota and the proximal part of the penis was denuded with active bleeding (Figure ). Urinary catheterization was successfully performed which indicated that there was no damage to the urethra.
Laboratory studies revealed a white blood cell count of 12.3 × 109/L (neutrophil percentage, 74.5%) which was higher than the normal level and was believed to be caused by the open trauma. Other results were normal.
A pelvic computed tomography scan revealed that the perineum skin had multiple spots of dense shadows, and the subcutaneous fat gap was slightly blurred.</t>
  </si>
  <si>
    <t>A 43-year-old man received an ABO-compatible living donor kidney transplant donated from his father in July 2012 for treatment of end-stage renal disease. The panel-reactive antibody test of the recipient and crossmatch were negative with two mismatches of HLA-A and HLA-DQ. Neither the recipient nor donor had a history of CD. Serum antibodies to HIV, EBV, and CMV were negative before the operation. The recipient received induction therapy with a 14-day course of antilymphocyte globulin (Pressimum; Behringwerke AG, Marburg, Germany). The immunosuppressive therapy started 3 days prior to transplantation. The immunosuppressive regimen consisted of tacrolimus at 3.5 mg twice daily, mycophenolate mofetil beginning at 750 mg twice daily and tapered off during a 4-week period, prednisone beginning at 20 mg daily and tapered off during a 6-week period, and valganciclovir at 450 mg daily for 3 months post-transplantation. The prednisone was withdrawn in the second month after transplantation because of gastrointestinal bleeding. At 4 years post-transplantation, the serum globulin level was found to have gradually increased without any patient discomfort. Physical examination revealed no abnormalities. The serum creatinine level was maintained at a normal level, fluctuating from 1.1 to 1.2 mg/dL, and the urine protein was negative. The white blood cell count was mildly elevated at 10,580 cells/mm3 (normal range, 4000–10,000 cells/mm3) with 61.5% neutrophils. Serum EBV and CMV immunoglobulin (Ig)M and IgG antibodies were positive, while serum HIV and HHV-8 antibodies were negative. The RNA qualification of EBV showed 4.6 × 104 copies/mL, and CMV-DNA was negative. The serum level of interleukin 6 (IL-6) was normal. B-mode ultrasonography and computed tomography showed multiple lymphadenectases, including the bilateral cervical, inguinal, and abdominal cavity lymph nodes. No visceral enlargement or bone marrow involvement was found. Furthermore, positron emission tomography showed no abnormal metabolic signals of organomegaly or extranodal masses. Serum protein electrophoresis showed a high serum free light chain κ/λ level and low κ/λ ratio. Serum protein electrophoresis also showed an elevated percentage of gamma globulin but did not identify the monoclonal gammopathy. Immunofixation electrophoresis showed M protein negativity ().
The patient underwent biopsy of the right inguinal lymph node in a local hospital. The pathologic examination revealed a follicular pattern with some hyperplastic germinal centers, most of which were small and similarly sized with a round or oval shape. Numerous mature plasma cells were seen in medullary cords (). Cohesive large cells were present mainly in sinuses, and monocytoid B-cell proliferation was scattered in the mantle zone of the follicles; these B cells exhibited features of immunoblasts or anaplastic large cells (). Focally, the architecture was entirely destroyed by sheets of large typical cells. The pathological diagnosis was reactive lymphoid tissue of proliferated lymph nodes and slightly increased plasma cells increased in the medulla of the lymph nodes. Immunohistochemistry showed positive staining of CD3, CD5, CD43, CD38, CD138, CD21, CD23, CD20, CD79, BCL2, and Ki-67 (&lt;10%) in the large cells, with negative staining of CK, CD10, CD56, cyclin D1, SOX11, and IgG4. EBV-encoded early RNAs were found in the plasma cells based on in situ hybridization, while CMV inclusion bodies were not observed.
Because of the persistently elevated immunoglobulin level and generalized lymph node enlargement, another celiac lymph node biopsy was performed. Pathological evaluation of the celiac lymph node showed that multiple lymphoid follicles had been infiltrated by a large number of mature plasma cells. A few small blood vessels showed hyaline degeneration with “onion skin” like changes. The germinal centers were atrophied, and the proliferation of the sleeve cells and concentric round arrangement were not obvious. The pathological diagnosis was the characteristic plasma cell subtype of CD. The plasma cells were positive for CD3, CD20, CD38, CD138, and Ki-67 (&lt;10%) (). CD138 showed strong positive expression in the plasma cells labeled by polyclonal anti-immunoglobulin kappa light chains and lambda antibodies (). Immunostaining for EBV and CMV was negative. We thereafter adjusted the dosage of immunosuppressants, adding prednisolone at 10 mg once a day, slowly tapering the tacrolimus down from 3.5 mg twice daily to 0.5 mg twice daily, and maintaining the mycophenolate mofetil at 500 mg twice daily. Two months after adjustment of the immunosuppression agents, the elevated immunoglobulin level and enlarged lymph nodes were not ameliorated. Because of the patient’s economic conditions and risk of infection, he did not receive rituximab to treat the multicentric CD. Instead, he received a CHOP chemotherapy regimen consisting of monthly cyclophosphamide (750 g/m2, day 1), vincristine (1.4 g/m2, day 1), doxorubicin (50 g/m2, day 1), and prednisone (60 mg/m2, once daily) for four cycles. After four cycles of chemotherapy, the enlarged lymph nodes had significantly decreased in size (). At the third month of follow-up, the serum globulins had dropped to a normal level (). At the ninth month of follow-up, the size of the lymph nodes located in the abdomen, axilla, and groin had significantly decreased. No acute rejection occurred during the post-transplantation follow-up. The serum creatinine level was maintained within the normal range, fluctuating from 1.1 to 1.2 mg/dL.</t>
  </si>
  <si>
    <t>Revised Cardiac Risk Index for Pre-Operative Risk</t>
  </si>
  <si>
    <t>What is the patient's Cardiac Risk Index based on the revised Cardiac Risk Index for pre-operative risk rule?</t>
  </si>
  <si>
    <t>A 74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</si>
  <si>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75-year-old woman appears for an evaluation related to her scheduled minor gynecological operation. She reports shortness of breath and associated fatigue. She experienced a transient ischemic attack several months ago, and her medical history includes episodes linked to ischemic heart disease and congestive heart failure. She does not rely on insulin for the management of her type 2 diabetes mellitus. She reports no known allergies to medication. Vital signs record a blood pressure of 132/80 mm Hg, heart rate of 85 beats per minute, and oxygen saturation 96 % on room air. On examination, an S3 gallop rhythm was noted, and reduced breath sounds seemed predominantly in the lower lung fields. Laboratory data including complete blood count and electrolytes were generally within normal range. However, the creatinine level was found to be 1.74 mg/dL. Interpretation of the electrocardiography revealed nonspecific ST-T wave changes, but no acute events transpired. Further cardiac workup is planned for the control of her heart failure before the pending procedure.</t>
  </si>
  <si>
    <t>A 67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</si>
  <si>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77 year old male presents to his PCP for pre-operative evaluation prior to repair of a rhegmatogenous retinal detachment in the left eye. He has a past medical history of coronary artery disease with myocardial infarction and subsequent percutaneous coronary intervention 9 years ago, heart failure with reduced ejection fraction, paroxysmal atrial fibrillation, and multiple transient ischemic attacks. The patient reports orthopnea, shortness of breath on exertion, and occasional cough. The patient denies any recent chest pain, lightheadedness, palpitations, or wheezing. He has no recent history of respiratory infections, vomiting or diarrhea. Medications include lisinopril, furosemide, metoprolol, rivaroxaban, and rosuvastatin. The patient has no known allergies. Vitals today are significant for heart rate 97 bpm, blood pressure 134/83, respiratory rate 16, and temperature 98.9°F. On physical exam, the patient has mildly increased work of breathing on room air. Heart sounds are regular with no murmurs rubs or gallops. Pulmonary exam is notable for rales in the bilateral lower lung fields. The abdomen is nontender and nondistended. 2+ pitting edema to the knees is noted in bilateral lower extremities. Laboratory studies include creatinine at patient's baseline of 1.6 mg/dL, sodium 143 µmol/L, and hemoglobin A1c 5.4 %. CBC and CMP are otherwise within normal limits. ECG shows evidence of remote ischemia to the anterior wall and borderline left ventricular hypertrophy. Cardiac optimization with increased diuretic dose is planned prior to surgery.</t>
  </si>
  <si>
    <t>A 68-year-old male patient arrives for presurgical consultation before planned shoulder arthroscopy. His medical records indicate a history of coronary artery disease and congestive heart failure. He had a bypass surgery 5 years ago due to significant left main coronary artery stenosis. He denies any history of cerebrovascular events, such as stroke or transient ischemic attack. He endorses orthopnea and bilateral lower extremity edema. The patient's heart rate is 83 beats per minute and blood pressure is 145/90 mmHg. The cardiopulmonary exam shows jugular venous distention, an S3 heart sound, and crackles at both lung bases. His renal function tests return with a creatinine level of 1.7 mg/dL. His echocardiogram suggests reduced left ventricular ejection fraction. Cardiac optimization is recommended prior to surgery with an increased dose of his diuretic. The patient is also reminded of the importance of a low-salt diet to manage his heart failure.</t>
  </si>
  <si>
    <t>An 81-year-old female presents for a pre-operative assessment before a scheduled high-risk abdominal aortic aneurysm repair surgery. She has a history of a past cerebrovascular accident with residual left-sided weakness. She has no history of congestive heart failure and denies any history of chest pain or dyspnea. On examination, her blood pressure is stable at 130/85 mmHg, the pulse rate is 72 beats per minute, and oxygen saturation is 97 % on room air. She has chronic type 2 diabetes managed with insulin, with good glycemic control. Her creatinine level is maintained at a steady-state of 120 µmol/L. She is referred for further cardiology evaluation for perioperative risk assessment and management due to the high-risk nature of the planned surgery.</t>
  </si>
  <si>
    <t>An 83-year-old male presents for a pre-operative risk assessment ahead of his minor procedure for the repair of an inguinal hernia. His past medical history is notable for ischemic heart disease, status post percutaneous coronary intervention a decade ago, and a cerebrovascular event from which he has recovered well, with no residual deficits. He denies any chest pain, dyspnea, or history of heart failure. His medications include aspirin, metoprolol, and rosuvastatin, and he does not require insulin for glycemic control. The vitals including heart rate and blood pressure are within normal limits. On examination, heart sounds are regular, and no lower limb edema or jugular venous distress is noted. His laboratory findings indicate a creatinine level at 1.3 mg/dL. He is counseled to continue his current medications and report any new symptoms promptly. His electrolyte profile and cardiac markers will be monitored closely in the perioperative period.</t>
  </si>
  <si>
    <t>A 74-year-old male was evaluated in anticipation of a scheduled operation. He has a long-standing history of insulin-dependent diabetes, with no history of ischemic heart disease or cerebrovascular accidents. However, he has been diagnosed with congestive heart failure, with frequent hospital visits due to exacerbations and now experiences dyspnea and fatigue on moderate exertion. His daily medications include insulin, metolazone, and bisoprolol. On physical examination, his vitals were stable, but distal pitting edema and raised jugular venous pressure were noted. His lab reports indicated an elevated creatinine level of 140 µmol/L, potentially related to his chronic heart failure. The patient is counseled about the possible implications of his renal function status relating to the surgery, and the team will work towards optimizing his condition preoperatively.</t>
  </si>
  <si>
    <t>A 56-year-old man is evaluated for a high-risk surgery involving colonic resection for a recently diagnosed colon carcinoma. His past medical history is significant for ischemic heart disease. He had a history of stable angina and underwent successful percutaneous coronary intervention seven years ago. He has not reported any cerebrovascular disease or heart failure. His diabetes is well-managed by oral antihyperglycemics only. On examination, his vitals are within the normal range, and cardiovascular and pulmonary examinations reveal no abnormalities. Laboratory investigations reveal a serum creatinine level of 1.5 mg/dL. He is recommended for a cardiology consultation for further risk stratification and appropriate preoperative optimization.</t>
  </si>
  <si>
    <t>A 70-year-old female is being evaluated prior to a scheduled operation. Her medical history is significant for diabetes, ischemic heart disease requiring coronary stents, and a previous cerebrovascular accident with complete recovery. Her type 2 diabetes mellitus is managed with insulin and lifestyle modifications. She has no known history of congestive heart failure and remains asymptomatic, with no dyspnea or leg edema. On physical exam, her vitals were within normal limits, heart sounds were regular with no murmur, and her lungs were clear to auscultation. Laboratory investigations indicated a creatinine level of 110 µmol/L. Given her comorbidities, she is further referred for a detailed cardiology evaluation and optimal perioperative management.</t>
  </si>
  <si>
    <t>Cannot calculate without knowing the surgery.  (Patient would have a risk index of 3 for low-risk surgery or 4 for high-risk surgery.)</t>
  </si>
  <si>
    <t>A 78-year-old man presents for a pre-operative assessment before his high-risk thoracic surgery for a large lung mass. His past medical history is significant for congestive heart failure, and he experienced a stroke three years prior. Medication list does not include insulin. As part of the pre-operative evaluation, his blood pressure and heart rate were found within normal limits, and his oxygen saturation was 93 % on room air. On inspection, slight pitting edema was noticed on lower extremities, and auscultation revealed an S3 heart sound. He is asymptomatic with no recent dyspnea or orthopnea, but his diuretic dosage will be optimized pre-operation due to his chronic heart failure. His latest labs report an increased creatinine level measured at 1.9 mg/dL, and he will receive further nephrology consultation to assess the best management of his renal function before the surgery.</t>
  </si>
  <si>
    <t>A 72-year-old gentleman presents to the clinic for a pre-operative evaluation ahead of an elective hernia repair surgery. His past medical history is significant for stable ischemic heart disease for which he underwent successful percutaneous coronary intervention five years ago. He has type 2 diabetes mellitus, well controlled with insulin therapy. No known history of any cerebrovascular events is noted in his records. On examination, his vital signs, respiratory rate, and SpO2 levels are within standard norms. Cardiac auscultation reveals a regular rhythm with no murmurs, gallops, or rubs. Pulmonary assessment is unremarkable, with no audible crackles, wheezing, or pleural rubs. Peripheral examination did not reveal any ankle edema. His pre-operative serum creatinine level comes back slightly elevated with a reading of 1.4 mg/dL. Given his clinical history and findings, the patient’s operation will continue as planned with routine post-operative monitoring.</t>
  </si>
  <si>
    <t>An 80-year-old male patient presents for pre-operative evaluation ahead of a scheduled transurethral resection of the prostate. His medical history includes a stroke three years ago, from which he has completely recovered, and congestive heart failure, which currently causes him dyspnea on moderate exertion. Notably, his medical history is absent of ischemic heart disease, and he confirms he's not been prescribed insulin for diabetes management. On examination, his blood pressure is stable at 145/85 mmHg, the heart rate sits at 72 beats per minute, oxygen saturation is 95 % on room air, and the respiratory rate is 18 per minute. Cardiopulmonary examination reveals bilateral ankle edema and an audible S3 gallop rhythm. Laboratory findings show an elevated creatinine of 150 µmol/L, which, along with his heart failure, warrants careful monitoring leading up to and throughout his surgery.</t>
  </si>
  <si>
    <t>A 69-year-old man presents to the clinic for a pre-operative assessment ahead of lung cancer resection. His medical history is significant for congestive heart failure, for which he is on diuretic therapy, and ischemic heart disease that required coronary artery bypass grafting eight years ago. There is no recorded history of cerebrovascular disease. On physical examination, the patient's vital signs are stable, and he exhibits mild jugular venous distention and trace lower extremity pitting edema. Laboratory findings indicate a creatinine level of 1.8 mg/dL. Given his cardiopulmonary status and kidney function, additional preoperative evaluations and optimizations are recommended for his upcoming procedure. The patient is advised to comply strictly with his medication schedule and to report any new symptoms promptly while awaiting the surgery.</t>
  </si>
  <si>
    <t>A 76-year-old gentleman is evaluated prior to his elective abdominal aortic aneurysm repair surgery. He has a history of a cerebrovascular accident three years ago with minor residual right-sided deficits. He manages his type 2 diabetes mellitus with insulin therapy. He states that he has not experienced any symptoms suggestive of congestive heart failure such as dyspnea on exertion or lower limb swelling. His vitals are found to be within normal range. Physical examination did not reveal rales on chest auscultation or pitting edema. His pre-operative investigations show a slightly elevated creatinine level of 165 µmol/L. The patient is thoroughly counseled about the possible increased perioperative risk due to his renal function status. He is referred for further nephrologist evaluation and consultation to optimize his kidney function prior to his surgery.</t>
  </si>
  <si>
    <t>A 68-year-old gentleman presents for a pre-operative evaluation for his upcoming direct inguinal hernia repair. His medical background includes a diagnosis of ischemic heart disease, and he had a non-ST-segment elevation myocardial infarction five years ago. In addition to this, he had a transient ischemic attack two years ago but has shown satisfactory recovery since then. His type 2 diabetes is managed with metformin. On examination, his vitals are within a satisfactory range. Lab investigations display a slightly elevated creatinine level of 1.6 mg/dL, which will be monitored closely. Given his previous cardiological events, the patient is referred to cardiology to ensure optimal management of his ischemic heart disease before surgery.</t>
  </si>
  <si>
    <t>A 73-year-old man presents for pre-operative evaluation in anticipation of a high-risk surgery for carotid artery stenosis. His medical history includes a diagnosis of congestive heart failure, characterized by exertional dyspnea and lower limb swelling. He does not have any known history of ischemic heart disease nor cerebrovascular accidents. Physical examination reveals bilateral ankle edema and raised jugular venous pressure. Laboratory investigations show a creatinine level of 180 µmol/L. The patient's heart failure and renal function will be monitored and optimized leading up to his surgery. The patient is advised to follow a strict low-sodium diet and comply with his medications to manage his heart failure. His renal function will also be closely monitored leading up to and following the surgery.</t>
  </si>
  <si>
    <t>A 72-year-old male attends the clinic for a pre-operative assessment ahead of an upcoming knee replacement surgery. His past medical history is significant for ischemic heart disease, for which he underwent a successful percutaneous coronary intervention seven years ago. He has been managing his type 2 diabetes with insulin therapy for the past few years. He denies any history of congestive heart failure, and his physical examination corroborates this, with no signs of fluid overload present. His renal function is stable, with a pre-operative serum creatinine level of 1.2 mg/dL. Considering his clinical history, the patient's perioperative management will require meticulous monitoring of his blood glucose levels and renal function. The patient is informed about the importance of adhering strictly to his insulin regimen and is given guidance on managing possible hypoglycemia. The surgery is planned as scheduled given the stability of his cardiac and renal conditions.</t>
  </si>
  <si>
    <t>A 77-year-old woman attends a pre-operative assessment visit for a major high-risk endovascular aneurysm repair. Her medical history is notable for a transient ischemic attack four years ago that subsequently resolved without any significant sequelae. Additionally, she has well-managed congestive heart failure that requires a regular medication regimen. Importantly, she's not been diagnosed with ischemic heart disease. She is noted to have very well controlled type 2 diabetes managed with insulin. Upon checking her vitals, she was found to be euvolemic without clinically appreciable signs of heart failure. Her baseline labs highlight an elevated creatinine of 200 µmol/L. The patient is counseled and informed about the increased likelihood of potential perioperative cardiac and renal risks, owing to her medical history and current conditions. She is advised to manage her heart failure meticulously and continue her current medications leading up to the surgery.</t>
  </si>
  <si>
    <t>HEART Score for Major Cardiac Events</t>
  </si>
  <si>
    <t>What is the patient's HEART score?</t>
  </si>
  <si>
    <t>A 52-year-old man was referred to our hospital because of two episodes of syncope within a fortnight. He had suffered from pleuritic chest pain and dry coughs for the previous two weeks, and antibiotics prescribed for pneumonia by an internist failed to prevent the exacerbation of the symptoms. The internist subsequently referred the patient to a cardiologist, who subjected him to an exercise stress test (to rule out coronary artery disease), during which he developed non-sustained ventricular tachycardia. The following day, he suffered a one-minute syncope while talking a walk in his yard. He was, therefore, once more referred to our hospital by the internist to evaluate ventricular tachycardia as a cause of syncope. When the patient arrived at our hospital, he had anxiety and had a respiratory rate of 30/min, pulse rate of 120/min, and supine blood pressure of 100/60 mmHg. Additionally, the patient’s lungs were clear and his heart sound and lower limb were normal. Chest X-ray revealed mild cardiomegaly, dilated right descending pulmonary artery, and oligemia in the right lung ().
On echocardiography, the left ventricle was normal; however, the right heart was dilated and trabeculated and there was also right ventricular dysfunction. The pulmonary artery pressure was elevated to 45 mmHg. The patient denied any history of deep vein thrombosis and mentioned only a six-hour car travel more than three weeks earlier. His family history for venous thromboembolism was weakly positive and one of his nephews had a history of pulmonary thromboembolism.
At this point, lung CT angiography was performed to rule out pulmonary embolism as the main cause of acute right ventricular enlargement. The CT angiography demonstrated bilateral pulmonary artery thrombosis from the first division of the right and left pulmonary arteries to the distal ones ( &amp; ).
With a diagnosis of pulmonary embolism, the patient underwent thrombolytic therapy with recombinant tissue plasminogen activator (r-TPA) 100mg over a 90-minute period, which brought about immediate improvement in the patient’s condition. The following day, his symptoms improved dramatically, his respiratory rate decreased, his O2 saturation rose from 85% to 98%, and his blood pressure remained stable in different positions.
CT angiography showed improved right ventricular function and decreased right ventricular size and pulmonary arteries (&amp;).</t>
  </si>
  <si>
    <t>A 64-year-old woman with rheumatoid arthritis was placed on hydroxychloroquine in 2007. She was 170 cm and weighed 84 kg. Her ideal body weight according to the National Heart Lung and Blood Institute table was 69 kg., She took hydroxychloroquine 400 mg/day for 6 years. Her best corrected visual acuity was 20/25 in each eye, secondary to early nuclear sclerotic cataracts. Her maculas at baseline were normal. She had no renal or liver disease.
Yearly 10-2 visual field (VF) testing with a III, red test object was normal for 6 consecutive years (). When the AAO revised guidelines were published, mfERG testing was began. The results are shown for 3 consecutive years (). Because of reductions in N1P1 amplitudes noted in 2012, the question arose as to whether she had toxicity and needed to be taken off hydroxychloroquine.</t>
  </si>
  <si>
    <t>A 53-year-old man with a history of congestive heart failure and alcohol use disorder presented to the ER with shortness of breath, abdominal distension, orthopnea, and a 20-pound weight gain in the prior two months. He reported that he had a 10 L paracentesis one year ago. He denied a history of coronary artery disease. The patient also reported that he used alcohol daily and was an active smoker. The patient’s home medications included carvedilol, furosemide, spironolactone, atorvastatin, metformin, and albuterol. The patient’s vital signs were within normal limits. Cardiac examination revealed a systolic murmur at the cardiac apex, however, jugular venous pulsation was unable to be observed because of body habitus. On pulmonary exam, the patient’s lungs were clear to auscultation in all lung fields. The patient had a distended abdomen with a positive fluid wave. The patient did not have lower extremity edema. His laboratory workup was notable for creatinine of 1 mg/dL, platelets of 33 x 103/mm3, INR of 1.1, albumin 3 g/dL, bilirubin 0.8 mg/dL, and pro-brain natriuretic peptide (BNP) of &gt;5000 pg/mL. The chest X-ray was unremarkable (Figure ).
At this point the etiology of dyspnea was thought to be related to congestive heart failure or ascites. The history of congestive heart failure, elevated BNP, and orthopnea supported congestive heart failure as the etiology of his dyspnea, but he had a normal lung exam, a normal chest X-ray, and no lower extremity edema. Meanwhile, the abdominal distension, positive fluid wave, and history of a therapeutic paracentesis suggested the presences of marked ascites. Large volume ascites can compress the diaphragm and cause orthopnea and dyspnea. However, management of ascites and congestive heart differ, and it was important to accurately distinguish the two (Table ) [].
An attending with five years of POCUS experience then performed POCUS to further assess the patient. Abdominal ultrasound revealed only moderate ascites in the suprapubic region (Video ,B), but no other significant fluid pockets were found in the bilateral lower compartments. This moderate volume of ascites made diaphragmatic compression as the etiology of his dyspnea less likely. To further characterize the etiology of the ascites, the probe was moved to the subxiphoid position to identify the IVC. His IVC was distended more than 2.1 cm with less than 50% collapsibility consistent with an elevated CVP &gt; 10 mmHg (Video ,B) []. In order to characterize the etiology of this high CVP, the probe was then moved to the parasternal position to assess for cardiac pathology. In the parasternal long axis view, the left ventricle demonstrated normal ejection fraction, but the right ventricle was severely dilated, and a moderate pericardial effusion was observed (Video ). In the parasternal short-axis view, the right ventricle was observed to be larger than the left ventricle, with septal flattening during diastole suggesting severe right ventricular dysfunction (Video ).
A paracentesis revealed 366 x 103/mm3 white blood cells with 61% monocytes and macrophages. The serum-ascites albumin gradient was 1.5, suggestive of portal hypertension. Finally, the ascites total protein was &gt;2.5 g/dL, which confirmed the diagnosis of cardiac ascites. He was started on IV diuresis and had a 20-pound weight loss over the subsequent seven days with resolution of his shortness of breath and orthopnea.
The severe right heart dysfunction found on POCUS prompted a workup for pulmonary hypertension. A transthoracic echo confirmed the findings on POCUS including left ventricular ejection fraction of 55%-60%. There was moderate-to-severely dilated right ventricle with moderate-to-severe reduction in right ventricular systolic function. The right atrium was moderately dilated with moderate pulmonary hypertension (right ventricular systolic pressure = 60 mmHg). The IVC was dilated with less than 50% collapse with respiration, and a small pericardial effusion was seen. The patient underwent a right heart catheterization after aggressive IV diuresis which showed a right atrial pressure of 7 mmHg, pulmonary artery pressure of 73/26 mmHg, mean pulmonary artery pressure (mPAP) of 45 mmHg, and a pulmonary capillary wedge pressure of 13 mmHg, with a cardiac index of 2.7 L/min/m2 and pulmonary vascular resistance (PVR) of 498 dyn·s/cm5. His pulmonary hypertension workup included normal autoimmune serologies, normal diffusion on pulmonary function tests, normal high-resolution chest CT, and a normal V/Q scan. After ruling out secondary causes of pulmonary hypertension, he was diagnosed with Group 1 Pulmonary Arterial Hypertension due to PPH. He was enrolled into a sober living facility and is being followed closely by the liver transplant clinic.</t>
  </si>
  <si>
    <t xml:space="preserve">Unable to fill this out as there is no EKG results or troponin results which are needed for the score calculation, cannot assume they are normal/lowest category because both EKG and troponin have middle 'also normal/clinically not so significant' categories that will change the HEART score. 1) Out of the listed risk factors on MDCalc for Heart score, he only has smoking use. Vitals were normal and no other mention of hypertension so does not that meet that one. Likely obese (20 pound weight gain and mention of difficulty with physical exam due to body habitus) but cannot be assumed in patients with volume overload as in his case, need weight or BMI to accurately say if obese but did not count for him in this case. </t>
  </si>
  <si>
    <t>A 77-year-old female with hypertension, untreated hyperlipidemia, hypothyroidism, but without prior history of CAD or angina symptoms was referred to a cardiologist's office for a treadmill exercise test secondary to new onset palpitations. She denied any chest pain or pressure, shortness of breath, exertional dyspnea, or leg swelling. She quit smoking 36 years ago and has no family history of early cardiovascular diseases. She has a very distant cardiac work-up years ago, including a stress test and an echocardiogram, which the patient reported were unremarkable. Vital signs prior to the test were a blood pressure of 140/78, heart rate of 80, and a respiratory rate of 14. Physical exam was unremarkable except for a systolic ejection murmur that was graded II/VI at the base. EKG was at baseline with a normal sinus rhythm, normal axis, and occasional premature ventricular complexes (PVCs).
The patient underwent an exercise stress test using the Bruce protocol and was able to complete stage 1 with exercise for three minutes at a speed of 1.7 mph and a 10% incline. The test was terminated due to dyspnea and fatigue without chest pain. She reached a heart rate of 141 beats per minute which was 98% of predicted for her age. She accomplished 4.5 metabolic equivalents of exertion. With exercise, she had occasional atrial premature complexes and PVCs with a ventricular couplet in recovery. She started to notice tightness in her chest. Her peak blood pressure at the time was 218/90.
The patient was transferred onto a stretcher, and an IV line was started. She was given sublingual nitroglycerin, 325 mg of aspirin to chew, and one 5 mg IV push of metoprolol tartrate. She then received nitroglycerin paste and metoprolol tartrate IV every 5 min for two more doses. At that time, her EKG on the stretcher showed ST elevations in leads I, aVL, V5, and V6 with ST depressions in leads III, aVF, and V1-V3 consistent with a lateral wall evolving myocardial infarction (). She was transferred urgently to our institution for cardiac catheterization.
The patient underwent an emergent cardiac catheterization with left ventriculography and intravascular ultrasound (IVUS) within 2 hours after onset of symptoms. Troponin-I levels prior to the catheterization increased to 11.17 (normal less than 0.05 ng/ml). The rest of the laboratories were within normal limits including a thyroid-stimulating hormone (TSH) level. Coronary angiography showed nonobstructive coronary artery disease (pLAD 40%) and highly tortuous coronary arteries. IVUS of the proximal LAD revealed a minimal lumen area of 5.2mm2, and no ruptured plaques. Left ventriculogram revealed a left ventricular ejection fraction (LVEF) of 20% and severe mid-cavitary hypokinesis with basal and apical hyperkinesis (Figures and ). To our knowledge, this is the first case of treadmill exercise testing-triggered mid-left ventricular ballooning variant of takotsubo cardiomyopathy, whereby obstructive epicardial CAD and ruptured plaques were excluded with angiography and IVUS, respectively.
The patient was started on medical management with standard therapy for heart failure. A follow-up echocardiogram was done two days after the event which redemonstrated mid-left ventricular ballooning, with an improved LVEF of 35%. The patient remained asymptomatic during the course of her hospitalization and troponin levels trended down from a postcardiac catheterization peak of 16.06 ng/ml. An echocardiogram was repeated during an outpatient follow-up two weeks later which showed resolution of wall motion abnormalities and an LVEF of 45-50%.</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</si>
  <si>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</si>
  <si>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A 46-year-old athletic and otherwise healthy Caucasian male with a past medical history of mild hyperlipidemia was diagnosed with COVID-19 on March 17, 2020. He had symptoms of malaise, dry cough, anosmia, and a low-grade fever for 2 days prior to his test. His symptoms were self-limited and fully abated on day 5 after onset. He did not require supportive oxygen or hospitalization. Due to his self-limited illness, there were no laboratory data acquired such as cardiac biomarkers. He did not warrant nor was he treated with any pharmacotherapies or antibiotics. His baseline electrocardiogram (ECG) was reported normal including the QT interval. He resumed normal activity after resolution of his illness that month including vigorous aerobic exercise for the following 2–3 months and felt very close to his normal baseline functional status.
Approximately 3 months after resolution of illness (June 2020), he began having frequent palpitations and exertional dyspnea. He attributed his symptoms to anxiety and some deconditioning from prior quarantine. He had COVID-19 antibodies checked at that time, which showed high titers. On month 4 after his diagnosis (July 2020), he had a chest x-ray, electrocardiogram, and echocardiogram which were all unremarkable. He underwent continuous Holter monitoring which showed frequent premature ventricular beats and multiple brief paroxysms of non-sustained ventricular tachycardia. His baseline ECG remained normal, as shown (Fig. ). In September of the same year (month 7 following illness), his repeat ECG showed subtle abnormalities (Fig. ).
At 5 months and 28 days after his illness, he underwent CMR using the General Electric Signa Artist 1.5 Tesla with field of view 36 x 32 mm, slice thickness 8 mm, 0 mm spacing, matrix 200 x 200 pixels mm, number of excitations 1. Gadolinium-enhanced imaging was performed approximately 10 min after administration of 0.1 mmol/kg body weight of gadobutrol (Gadovist; Bayer). Findings showed normal left and right ventricular systolic function with mild left ventricular hypertrophy, with prominent LGE involving epicardial and pericardial fibrosis of the basal to apical anterior wall and at the basal to mid anterior septum and right ventricular free wall with a trivial pericardial effusion (Figs. , , ).</t>
  </si>
  <si>
    <t>A 66-year-old male with a past medical history of hypertension presented to the emergency room with acute-onset chest pain and shortness of breath. He had been diagnosed with COVID-19 nine days prior after developing fever and cough, but those symptoms had since resolved. The patient complained of fatigue and reduced oral intake following his diagnosis of COVID-19. He had no family history of VTE, no recent travel, no recent surgery or immobilization, and was up to date with his cancer screening. On examination, the patient was in no distress. Vital signs on admission were as follows - temperature: 98 ℉; heart rate: 97 beats/minute; blood pressure: 92/64 mmHg; respiratory rate: 20 breaths/minute; and oxygen (O2) saturation: 87% on room air. The physical examination was normal except for elevated jugular venous pressure. Investigations including complete blood count, basic metabolic panel, lactate dehydrogenase, ferritin, and lactic acid levels were normal. D-dimer was elevated at 8,583 ng/mL, C-reactive protein was 62.4 mg/L, and troponin was 0.44 ng/mL. Chest CT angiogram (CTA) revealed large filling defects in the right and left main pulmonary arteries with right heart strain (Figure ). No lung infiltrates were present (Figure ). Ultrasound of lower extremities revealed DVT of the left proximal femoral vein (Figure ).
The patient was administered 500 ml of normal saline with improvement in blood pressure to 126/74 mmHg. O2 saturation improved to 96% on O2 at 3 L/minute via nasal cannula. Anticoagulation with intravenous heparin was started. Due to concern for additional PE burden from his extensive DVT, an inferior vena cava filter was placed. Over the next 24 hours, his symptoms and hypoxia improved, and he was subsequently discharged on apixaban.</t>
  </si>
  <si>
    <t>No EKG results so N/A, rest of the values are in the picture.</t>
  </si>
  <si>
    <t>A 25-year-old previously healthy male presented to our Emergency Department with shortness of breath and epigastric pain that started immediately after swallowing a boneless chicken nugget one hour prior to presentation. He had no antecedent history of marked vomiting prior to symptom onset and denied any foreign body sensation. He had no significant past medical history with the exception of 2-3-week duration of mild gastroesophageal reflux. Our patient was not taking any medications at the time of presentation.
At admission, he was afebrile with a pulse of 64 beats/min, blood pressure of 134/87 mmHg, and oxygen saturation of 100%. He was alert and oriented with facial pallor and appeared uncomfortable on the stretcher. Physical examination revealed a tender, rigid abdomen (predominantly in the epigastric region) with voluntary guarding (2+) but no signs of peritonitis. On respiratory examination equal air entry was auscultated bilaterally with no adventitious sounds, no signs of subcutaneous air or tracheal deviation. He was able to speak clearly. Heart sounds were normal (S1, S2, and no murmurs) and no evidence of previous surgeries was found. The rest of the physical examination was unremarkable.
Blood work was normal at the time of presentation (CBC, calcium, phosphate, magnesium, sodium, chloride, bicarbonate, anion gap, AST/ALT/ALP, and albumin) except for slight elevations of WBC (14.0 × 109 cells/L), bilirubin (28 μmol/L), and amylase (185 U/L). Lactate was tested six hours later, revealing an elevated level of 4.1 mmol/L. Chest X-ray was suggestive of mediastinal air () and revealed a left-sided pleural effusion. There was no evidence of foreign objects in the esophagus or free air in the abdomen. A computed tomography (CT) scan of the chest revealed a rupture in the distal esophagus with oral contrast leaking from the rupture, a pneumomediastinum, and left-sided pleural effusions ().
Treatment began with cessation of oral intake, administration of IV fluids, morphine, and intravenous broad-spectrum antibiotics, and repeat blood work. As the patient was clinically well and did not require emergent surgery, he was admitted under the Thoracic Surgery Team and transferred to a step-down unit. Esophageal gastroscopy was performed revealing a mucosal tear at 40 cm into the esophagus, extending just to the gastroesophageal junction. An esophageal stent was positioned to cover the perforation. Video-Assisted Thoracoscopic Surgery (VATS) drainage of the pleural space was conducted with samples taken for culture. Intercostal nerve blocks were placed and a right-angle chest tube was inserted on the left side.
After 5 days, he developed a fever with increasing chest pain and leukocytosis whilst still on antibiotics. CT scan of the chest showed a mediastinal abscess and right pleural collection. He underwent VATS drainage of the abscess and decortication of the right pleural space. After three weeks, his esophageal stent was removed and the esophageal tear was observed to have healed nicely.</t>
  </si>
  <si>
    <t>We present the case of a 63-year-old post-menopausal G3P3003 Caucasian female presenting with complaints of progressively increased hair growth, deepening voice, and a receding hairline over the past year. She also complained of some pelvic discomfort that resembled menstrual cramps, but denied overt vaginal bleeding. Her past medical history was significant for osteoporosis diagnosed twelve years prior. She denied any history of ovarian or adrenal disease. She denied any use of medications. The patient’s age of menarche was at 12 years and menopause at the age of 50 years. The patient’s last Pap smear was a year ago which was normal and she also reported no history of abnormal pap smears. The patient reported three normal pregnancies with uneventful cesarean sections and three living healthy children. Surgical history was remarkable for tonsillectomy and rhinoplasty. She was a happily married homemaker and exercised regularly. Interestingly, she noted an increased exercise tolerance and reported that she could easily double her normal biking routine. She also reported an increased libido. She denied tobacco, alcohol, or intravenous drug use. Family history was significant for hypertension in her mother and cardiovascular disease in her father. The subject provided written informed consent for us to use un-identifying photos of her affected areas. Physical exam was notable for marked facial stubble subsequent to shaving (Figure ) and diffuse terminal hair across her chest and abdomen. There was also some regression in the patient’s hairline (Figure ). There was no acanthosis nigricans present. Physical exam also revealed unique changes (Figure ) in 8 of her fingernails (described below), however the toenails were normal. Cliteromegaly measuring 2 cm was observed on pelvic exam. The remainder of the physical exam was otherwise unremarkable. Laboratory studies showed an extremely high total testosterone and androstenedione level at 742 ng/dl (reference range: &lt; 62 ng/dL) and 339.0 ng/dL (20-75 ng/dL) respectively. Serum DHEA sulfate 174.2 mcg/dL (&lt;15 - 157 mcg/dL), TSH 1.6 μIU/mL (0.5 - 4.70 μIU/mL), calcium 9.9 mg/dL (8.8 - 10.3 mg/dL), and parathyroid hormone levels 44.2 pg/ml (11 - 54 pg/ml) were all within normal reference range. The serum estradiol level was slightly elevated at 54 pg/mL (0 to 30 pg/mL; postmenopausal) (Table ). A computed tomography (CT) scan of the abdomen and pelvis showed a 3.5 cm left ovarian mass with normal appearing adrenal glands. This was subsequently confirmed by ultrasound which revealed an enlarged hypoechoic left ovarian mass of 3.6 × 3.5× 3.6 cm, and normal right ovary measuring 1.9 × 2.1 × 1.7 cm. Her uterus was normal in size, measuring 5.8 × 2.6 × 4.8 cm. But, the endometrial lining was heterogeneous and thickened, measuring at 9 mm. Preoperative and intraoperative consultation with our gynecological oncology team was conducted. The patient was referred for surgical removal of the ovarian mass. Laparoscopic bilateral salpingo-oophorectomy, peritoneal washings, and dilation and curettage were performed. At the time of surgery, ovaries, fallopian tubes, and uterine cutterings were sent for intra-operative frozen section pathology consultation. The frozen section of the left ovary revealed features of a “sex cord stromal tumor”. The right ovary was atrophic measuring 1.9 × 2.1 × 1.7 cm. The frozen section analysis of uterine curettings revealed no signs of atypia or malignancy. Lymph node dissection was not warranted based on preoperative and intraoperative evaluation as well as frozen section histological consultation showing a well-contained lesion within the ovary.
The final pathology report revealed a left ovarian Sertoli-Leydig cell tumor measuring 2.5× 2.0×1.4 cm. The tumor was composed primarily of Leydig cells, without well-formed Sertoli cell tubules or cord (Figure A). High-power (40×) fields revealed primarily sheets and aggregates of Leydig cells in a dense fibrous stroma (Figure B). Sertoli cells were difficult to identify. Immuno-histochemical stains for Keratin 8/18 or CAM 5.2 staining was mixed, strong to weak (Figure C). Both Keratin AE1/AE3 (Figure D) and Wilms tumor gene(WT-1) stains revealed negative to weak staining of Leydig cells and were positive for those considered as Sertoli cells. Negative staining of all cells for Epithelial Membrane Antigen (EMA) (Figure E) and diffuse, positive staining of all the cells for CD99, Calretinin, and alpha Inhibin, (Figure F) was observed, consistent with the pattern for both Sertoli cells and Leydig cells. Peritoneal washings were negative for tumor cells. The patient had a normal postoperative course and was discharged from the hospital on the first postoperative day in good condition.
The patient returned for a series of postoperative follow up visits. The first was one week post-surgery and then every three months for a total of one full year.
Interestingly, careful exam of this patient pre-operatively revealed unique fingernail changes. The patient stated that she observed these changes months prior to presentation in the clinic. The nails looked mostly flat with significant curved concave spoon shaped ends. This was observed in most (8/10) fingers. The changes were particularly impressive in the index and middle fingers on both hands (Figure ). An extensive review of the literature did not reveal similar findings in SLCT cases reported before nor any other female endocrinopathy. It is possible that previous cases of SLCT-induced hyperandrogenemia may have overlooked these nail findings. The only condition that leads to similar findings is iron-deficiency anemia. Although patient hemoglobin levels were always within the normal reference range, detailed iron-deficiency anemia work up was performed (Table ) and was all within normal limits. Importantly, the fingernail changes started to gradually reverse after the curative surgery and normalization of patient hormonal profile (Table ). The post-surgery reversal of nail changes (Figure ) led us to confidently conclude that the nail signs were secondary to hyperandrogenemia. As this was the first association between fingernail changes and hyperandrogenemia, we propose these changes to be named the “Al-Hendy” nail sign.
Since androgens mediate all their cellular biological effects through its androgen receptor (AR), a member of the nuclear steroid receptor superfamily [], we assumed that the fingernail area must express AR. We then decided to examine this concept ourselves. After appropriate IRB approval from Meharry Medical College, we collected nail bed tissues from healthy female volunteers and processed them for AR immunohistochemistry as described in Materials and Methods Section.</t>
  </si>
  <si>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t>
  </si>
  <si>
    <t>A 53-year-old white man with no significant past medical history presented to our facility with palpitations, dyspnea on exertion, and fatigue. He reported waking up at 2:00 am with sudden onset palpitation and shortness of breath upon minimal exertion, in addition to fatigue. There was no associated chest pain, cough, fevers, chills, sore throat, nausea, vomiting, or urinary symptoms on presentation, nor a history of previous similar symptoms. His symptoms persisted for six hours leading him to present to the emergency department (ED).
Physical examination on presentation revealed irregular tachycardia with pulse rate (PR) 136 beats/minute (bpm), blood pressure (BP) 134/90 mmHg, respiratory rate (RR) 16 breaths/minute, oxygen saturation 96%, temperature 37.3°C, and body mass index (BMI) 30.7 kg/m2. The findings from the rest of his physical exam were unremarkable. An initial 12-lead electrocardiogram (ECG) revealed atrial fibrillation with PR 134 bpm and abnormal R wave progression (Figure ).
Laboratory tests revealed an elevated N-terminal (NT)-pro hormone brain natriuretic peptide (NT-proBNP) of 1.834 pg/dl (0-134 pg/dl), and a D-Dimer of 0.57 µg/ml (&lt;0.50 µg/ml). Other laboratory results, including troponin T, thyroid-stimulating hormone value (TSH), complete blood count (CBC), comprehensive metabolic panel (CMP), and glycated hemoglobin (HbA1c), were unremarkable. A computed tomography angiogram of the chest was unremarkable (Figure ).
He was treated with two doses of intravenous diltiazem (25 mg each) in the ED, which slowed his PR (to 90 from 99 bpm). He was also started on oral diltiazem (30 mg, every six hours) and admitted for observation. An echocardiogram performed the next morning revealed moderate left ventricular hypertrophy (LVH), left ventricular ejection fraction of 60%, healthy left atrial and ventricular size, and no other abnormalities.
Despite titrating up his diltiazem dose, his fatigue and dyspnea on exertion continued. His PR ranged from 90 to 110 bpm, increasing significantly with ambulation to over 130 bpm. A decision was made to pursue cardioversion after performing a transesophageal echocardiogram prior to discharge. However, that same evening he developed a fever (38.6°C) while his fatigue worsened. He was screened for sepsis and tested for severe acute respiratory syndrome-coronavirus 2 (SARS-CoV-2), and while he was not septic, he was positive for SARS-CoV-2 and diagnosed with coronavirus disease (COVID-19). Special isolation including droplet, contact, and eye protection in addition and symptomatic treatment with antipyretic Tylenol was initiated. The following morning, the patient spontaneously reverted to sinus rhythm, with dramatic improvement in his symptoms. He was discharged home and advised self-isolation with close outpatient follow-up monitoring.</t>
  </si>
  <si>
    <t>Patient 1: was an otherwise healthy 24 years old man presented with chief complaint of retrosternal chest pain in the past 5 days prior to the presentation. He did not have conventional risk factors for premature coronary artery disease. He described the pain radiates to his left arm and occurred in an intermittent fashion not related to exertion; each episode lasts about 2 hours. The pattern of chest pain was atypical. He mentioned sore throat and cold sweating without coughing. In the emergency room, his blood pressure was 120/60 mmHg and heart rate was 115 bpm. Oxygen saturation by pulse oximetry was 94% while breathing ambient air and tympanic temperature was 36.7°C.
Electrocardiography showed sinus tachycardia, mild ST segment elevation less than 1 mm in lead I and aVL and ST segment depression of about 1 mm in leads III and aVF (, panel A&amp;B). First cardiac hs-TroponinT result was 911 ng/L (cut off &lt;24ng/L). He was admitted with diagnosis of non ST elevation MI (NSTEMI) or myocarditis. Results of 1 hour cardiac Troponin T was 1155 ng/L. Other Baseline laboratory tests were presented in .
Because of symptoms of sore throat, sweating and also elevated CRP, nasopharyngeal sample was taken and sent for SARS-COV-2 RT-PCR. Lung computed tomography scan revealed bilateral ground glass peripheral densities in lower lobes which was compatible with CT findings of COVID-19 (, panel A). Echocardiography showed normal LV size and systolic function with ejection fraction of about 55%. There was neither regional wall motion abnormality nor pericardial effusion. Results of RT-PCR test became positive which was in concert with lung CT scan findings. Lopinavir/ritonavir was initiated. Coronary multi-detector CT scan was performed and revealed normal coronary arteries (, panel A). Based on findings mentioned, final diagnosis of myocarditis due to COVID19 was made. On the second day, ECG showed resolution of ST deviations and appearance of T wave inversion in lead I and aVL. Hospital course was uneventful. He was discharged after 6 days of admission and improvement of symptoms, with recommendation of self-isolation for at least 14 days. Metoral 25 mg bid was prescribed. In 1 week telephone follow up, he was in good clinical condition and his symptoms had been improved substantially.</t>
  </si>
  <si>
    <t>A 74-year-old normotensive, nondiabetic, male smoker (30-pack years) presented with progressively increasing shortness of breath, cough, white, mucoid expectoration, and retrosternal and right sided parasternal, oppressive chest pain for last 2 months. Chest pain and shortness of breath were increased in severity on exertion and were associated with palpitation, but there is no history of sweating, orthopnoea, paroxysmal nocturnal dyspnoea, unconsciousness, and convulsion. There was no radiation of chest pain. Chest pain was suddenly increased for last five days and the patient was admitted in the emergency department with a suspicion of acute myocardial infarction (AMI). There was no history of fever, hemoptysis, leg swelling, and facial puffiness. History of significant weight loss and anorexia were present. There was no history of household contact with the patient of sputum smear positive tuberculosis. The patient received formoterol + tiotropium metered dose inhaler (2 puffs once daily with spacer) and oral doxofylline (400 mg twice daily) for last five years, as he suffered from chronic bronchitis predominant chronic obstructive pulmonary disease (COPD) which resulted in persistent breathlessness, cough, and expectoration.
General survey revealed anemia and clubbing, but there was no cyanosis, edema, and engorged neck vein. There were multiple cervical and supraclavicular enlarged lymph nodes on left side, which were hard in consistency, discrete, nontender, and fixed to underlying structure, but not fixed to overlying skin, and there was no discharging sinus. His temperature was 37°C, respiratory rate 24 breaths/minute, pulse rate 120 beats/minute, regular blood pressure 94/64 mmHg, oxygen saturation in capillary blood (SpO2) 96% @ room air, and FiO2 0.21.
Examination of respiratory system revealed no abnormality, except vesicular breath sound with prolonged expiration on both sides, bilateral crackles, mainly over the bases of the lungs, and occasional wheezes. Examination of other system was normal. Complete hemogram showed anemia with hemoglobin concentration of 7.1 g/dL. Blood biochemistry was normal. Electrocardiogram (ECG) showed atypical ST segment elevation and T wave inversion in lateral chest leads (Lead V4, Lead V5, and Lead V6). Initial rapid troponin-t-test was inconclusive, but repeat one after 12 hours of first test was negative. Sputum for acid fast bacilli and Gram stain was negative, and pyogenic culture of sputum showed no growth. Chest X-ray posteroanterior (PA view) showed cardiothoracic ratio was more than 0.5; that is, size of the cardiac silhouette was increased, but lung parenchyma was normal. Contrast enhanced computed tomography (CECT) of thorax showed a large, nonhomogenous mass lesion in right lower lobe which invaded the left atrium and was compressing the adjacent ventricular walls (). There was also mediastinal and hilar lymphadenopathy. CT-guided fine needle aspiration cytology (FNAC) showed discrete clusters of malignant epithelial cells which showed nuclear pleomorphism, hyperchromasia, high nucleocytoplasmic ratio, pale cytoplasm, and ill-defined cell boundary—suggestive of non-small-cell carcinoma, possibly squamous cell variety (). FNAC of left sided supraclavicular lymph nodes showed metastatic squamous cell carcinoma. Sputum for malignant cell was negative and fibre optic bronchoscopy did not show any abnormality. Echocardiogram showed a large echogenic mass of 15 × 12 mm, attached to the roof of the left atrium adjacent to right pulmonary venous openings, encroaching to interatrial septum, an extension of the tumour from adjacent lung parenchyma. Ejection fraction was 66%. Ultrasound of abdomen and CECT scan of brain were normal. Hence the diagnosis was a non-small-cell carcinoma of lower lobe of right lung with invasion of the left atrium and compression of adjacent ventricular wall (T4 disease) with contralateral supraclavicular metastatic lymphadenopathy (N3 disease). First cycle chemotherapy regimen comprising intravenous cisplatin (100 mg on day 1) and etoposide (100 mg on days 1, 2, and 3) was given, but unfortunately he died just after completion of first cycle.</t>
  </si>
  <si>
    <t>A 27-year-old white woman reported palpitations and dizziness when supine. She was pregnant and her gestational age was 32 weeks. The patient was previously healthy and denies use of drugs, alcohol, or medicines. There was no history of known structural heart disease, arrhythmias or prior unexplained syncope. The patient was sedentary but did not report any symptoms while on exertion. She did not smoke and coffee ingestion was 100 to 200 mL per day on average. Clinical examination was remarkably normal. At rest, blood pressure was 128/74 mmHg and heart rate was 90 bpm.
The patient performed laboratory tests and transthoracic echocardiogram; all exams were within normal range (). A 24-hour Holter monitoring showed high incidence of VPC when the patient lied down to sleep (). Frequency of VPC was very low during daytime activities. Treatment with beta-blocker was proposed but patient denied it. We recommended left lateral decubitus while sleeping, but symptoms persisted. Delivery took placed without any complications. Symptoms improved in the puerperal period and the patient and her baby are nowadays doing remarkably well.</t>
  </si>
  <si>
    <t>A 60-year-old male comes to the emergency department because of a 3-day history of intermittent shortness of breath and palpitations. The episodes are unprovoked and occur randomly. The day before, he felt lightheaded while walking and had to sit down abruptly to keep from passing out. He has hypertension and coronary artery disease. Cardiac catheterization 5 years ago showed occlusion of the left anterior descending artery, and he underwent placement of a stent. Current medications include aspirin, metoprolol, lisinopril, and clopidogrel. He does not drink alcohol or use any illicit drugs. He has smoked one-half pack of cigarettes daily for 20 years. He appears well. His temperature is 37°C (98.6°F), pulse is 136/min, respirations are 18/min, and blood pressure is 110/85 mm Hg. The lungs are clear to auscultation. Cardiac examination shows a rapid, irregular rhythm. Shortly after, an ECG is performed.</t>
  </si>
  <si>
    <t>Fibrosis-4 (FIB-4) Index for Liver Fibrosis</t>
  </si>
  <si>
    <t>What is the patient's Fibrosis-4 (FIB-4) index?</t>
  </si>
  <si>
    <t>A 47-year-old man with a past medical history of alcoholic cirrhosis and ongoing alcohol abuse was brought to the emergency room after a syncopal episode. He complained of 7/10 epigastric pain associated with nonbloody emesis. He denied melena. He was tachycardic with a heart rate of 108 as well as hypotensive with a blood pressure of 64/34. His oxygen saturation was 96% on room air. He was alert with a Glasgow Coma Scale (GCS) of 14 but noted to be in severe distress, diaphoretic, and tremulous. His skin was cold and clammy and abdomen was noted to be distended and diffusely tender to palpation. A rectal exam was negative for gross blood. A FAST exam noted moderate ascites. A chest X-ray was performed and was negative for acute pathology.
Relevant laboratory data on admission included the following: white blood cell count of 7600 per mm3, bands of 38%, hemoglobin of 9.9 g/dl, platelet count of 149,000 per mm3, international normalized ratio (INR) of 2.5, aspartate aminotransferase (AST) of 213 U/liter, and alanine aminotransferase of 309 U/liter. Initial venous blood gas revealed a pH of 7.23, a venous bicarbonate level of 18 mmol/liter and a lactate of 6.62 mmol/liter.
Despite four liters of intravenous crystalloid fluid resuscitation the patient remained hypotensive at 75/58. Vasopressor support was initiated with intravenous norepinephrine titrated to a dose of 30 mcg/min and vasopressin at 0.04 units/min with minimal improvement in blood pressure to 94/76. Broad spectrum antibiotics consisting of vancomycin and piperacillin-tazobactam were administered due to concerns for septic shock. SBP was considered the cause of sepsis due to patient's abdominal pain, ascites, and bandemia.
The patient became increasingly more confused and agitated and the trachea was electively intubated for airway control. During this time, his abdomen was noted to be more distended. Patient was deemed too unstable for abdominal CT imaging as he was requiring multiple vasopressors. Postintubation he was transferred to the medical ICU for presumed septic shock.
On arrival to the ICU after initial stabilization of the patient a diagnostic paracentesis was performed in order to obtain culture for possible SBP. An appropriate pocket of fluid was visualized in the right lower abdominal quadrant. Approximately five ml of bloody ascites was aspirated. Concurrently, repeat lab results reported a hemoglobin level of 4.4 g/dl and an arterial blood gas with a lactate of 12.92 mmol/liter. General surgery was immediately consulted due to concerns for intraabdominal hemorrhage. At the same time the patient's girlfriend arrived to the hospital and stated that the patient had complained of falling in the bathroom earlier that day. General surgery recommended angiogram to locate the source of suspected intraabdominal bleeding. Interventional radiology was contacted for emergent angiogram to evaluate for a hepatic or splenic hemorrhage. Massive transfusion protocol was initiated and intravenous epinephrine was added to norepinephrine and vasopressin due to persistent hypotension. He was transferred to the IR suite.
The right common femoral artery was accessed and an angiogram was performed initially finding vague contrast blush in the right hepatic lobe which was empirically embolized with Gelfoam and detachable coils. There was extensive contrast extravasation from the distal splenic artery (). The splenic artery was embolized and angiogram postembolization demonstrated no further contrast extravasation (). Patient's blood pressure increased from 70 systolic to 100 immediately after embolization. On examination post angiogram, his abdomen was tense. Patient was also oliguric therefore, the decision was made to take him immediately for exploratory laparotomy for treatment of abdominal compartment syndrome. Exploratory laparotomy revealed a cirrhotic liver without signs of injury and a two-centimeter grade 1 splenic laceration at the lower pole which was not actively bleeding. A total of nine liters of bloody ascites were evacuated from the abdomen. The abdomen was left open and a Bogota bag was sutured to the fascia. He was transfused a total of 5 units of packed red blood cells, 4 units of fresh frozen plasma and a unit of platelets during the procedure.
He was brought back to the operating room (OR) two days later and was found to have active bleeding at the anterior surface of the hilum of the spleen. This was cauterized, stopping the bleeding. On hospital day four he was taken back to the OR and the abdomen was closed. He was extubated on hospital day seven. Hospital course was complicated by acute kidney injury which resolved, as well as seizures attributed to alcohol withdrawal treated with chlordiazepoxide. Patient was discharged home and at a clinic follow-up two months post hospitalization he was noted to be doing well and abstaining from alcohol.</t>
  </si>
  <si>
    <t>A 36-year-old woman underwent a laparoscopic partial hepatectomy for HCC (20 mm in diameter) in liver segment 5 two and a half years ago during follow-up after having been identified as a hepatitis B virus carrier. She has been treated for hepatitis B with nucleoside analogue before the hepatectomy. A pathological diagnosis of moderately differentiated HCC was subsequently established. We followed up at interval of 2–3 months after the hepatectomy. During post-surgery follow-up, abdominal ultrasonography detected a 36-mm hypoechoic tumor in segment 7 of the liver. Abdominal contrast-enhanced computed tomography revealed a 40-mm tumor adjacent to the inferior vena cava (IVC) and right hepatic vein (RHV). The tumor was well enhanced in the arterial phase and washed out in the portal venous and delayed phases, suggesting HCC recurrence (Fig. ). No nodule suggesting HCC was identified elsewhere in the liver. Neither lymph-node swelling nor metastasis to other organs was detected. The following laboratory data were obtained: white blood cell count (3000/µL), hemoglobin (10.1 g/dL), platelet count (16.5 × 104/µL), C-reactive protein (2.98 mg/dL), urea nitrogen (9.2 mg/dL), creatinine (0.51 mg/dL), total protein (6.3 g/dL), albumin (3.1 g/dL), total bilirubin (0.4 mg/dL), aspartate aminotransferase (28 IU/L), alanine aminotransferase (30 IU/L), glutamyltransferase (16 IU/L), lactate dehydrogenase (179 U/L), alkaliphosphatase (192 U/L), prothrombin time (115.3%), and indocyanine green retention rate at 15 min (7.0%). α-Fetoprotein (AFP) (12,371.5 ng/mL; normal range &lt; 10 ng/mL) and PIVKA-II (208 mAU/mL; normal range; &lt; 40 mAU/mL) were both significantly elevated. Considering that the patient was still 20 weeks pregnant, delivery was not viable. However, surgery could not be delayed any longer given the rapid tumor growth, which could likely be associated with pregnancy. After discussion with at a cancer board consisting of experts from the departments of gastroenterology, obstetrics and gynecology, and surgery, as well as obtaining appropriate informed consent from the patient and her family, we decided to perform hepatic resection after abortion. Subsequently, abortion surgery was performed at 21 weeks and 2 days of pregnancy, followed by subsegmentectomy of liver segment 7 under general and epidural anesthesia 6 days later. Mental care for the patient was provided by obstetricians, surgeons, and nurses before and after abortion. After mobilizing the right lobe of the liver, we identified the Glissonian pedicle (G) 7 and injected indigo carmine under US guidance to mark the perfusion area. Thereafter, hepatic resection was initiated using an ultrasonic dissector under the Pringle’s maneuver. After identifying the G7, a clamp test was performed to reconfirming the ischemic area before ligating and cutting it. We continued hepatic resection along the RHV, exfoliated a tumor within the vicinity of a root of the RHV, and subsequently completed subsegmentectomy of liver segment 7 (Fig. ). The surgery lasted 274 min, with an estimated blood loss of 940 mL. Macroscopically, the whitish tumor with a maximum diameter of 4.0 cm was simple nodular type and showed expansive growth (Fig. ). A pathological diagnosis of moderately differentiated HCC, grade II, eg, fc (−), sf (+), s0, vp0, vv0, b0, im0, and sm (−) was thereafter established. Tumor cells showed a moderate degree of atypia, as well as a cord-like or pseudoglandular arrangement associated with abundant eosinophilic vesicles and a rich nucleoplasm. Given the good postoperative course, without particular complications, the patient was discharged 10 days after surgery. Approximately 2 years after surgery, the patient remains alive without recurrence, while both AFP and PIVKA-II were within normal limits.</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</si>
  <si>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t>
  </si>
  <si>
    <t>A 49-year-old male presented to our hospital complaining of chest pain. For the past few years the patient reported experiencing intermittent chest pains at night. In addition to the chest pain, the patient developed pyrexia and perspiration beginning a week before admission. He initially visited another hospital for worsening symptoms where examination found abnormal electrocardiography results (the ST elevation in leads aVL and V1 to V6), leukocytosis, and abnormal liver function tests. Echocardiography revealed a decreased cardiac output with regional wall motion abnormality. Abdominal computed tomography (CT) results showed hepatic parenchymal abnormality and a tumor on the left adrenal gland. The patient was transferred to the reporting hospital with these results.
Seven years prior to presentation the patient had been diagnosed with hypertension and was put on antihypertensive medication, but remained poorly controlled over the 3 years prior to presentation. He was also diagnosed with diabetes mellitus 8 years ago and has been treated with hypoglycemic agents, but his blood sugar was poorly controlled. There was no other medical history.
On admission, his blood pressure was 140/90 mm Hg with a pulse rate of 66 beats per minute, was breathing at a rate of 20 times per minute, and had a body temperature of 36.8℃. He had clear consciousness without signs of conjunctival pallor, scleral jaundice, dehydration, and absent dilatation of the jugular vein. On chest auscultation breath sounds were clear without wheezing or crackles detected. Cardiac auscultation revealed a heartbeat that was regular without murmur. On examining the abdomen, bowel sounds seemed reduced and the right upper abdomen had slight but not significant tenderness. No masses were detected on abdomen. No limb edema was seen.
Two days prior to admission, the patient had been tested in another hospital. Blood tests resulted as follows: aspartate aminotransferase (AST) 444 IU/L, alanine aminotransferase (ALT) 469 IU/L, alkaline phosphatase (ALP) 1,153 IU/L, white blood cell count 50,000/µL, hepatitis B surface antigen (HBsAg) negative, anti-HBsAb positive, antihepatitis C virus (anti-HCV) antibody (Ab) negative, antihepatitis A virus (anti-HAV) immunoglobulin M (IgM) Ab negative, and anti-HAV IgG Ab positive. On the day of admission to our hospital, the blood test results were as follows: hemoglobin 15.8 g/dL, white blood cell count 59,360/µL, platelet count 244,000/µL, erythrocyte sedimentation rate 4 mm/hr, and C-reactive protein 3.446 mg/L, blood urea nitrogen 22.7 mg/dL, serum creatinine 0.76 mg/dL, serum calcium 7.2 mg/dL, inorganic phosphorous 2.0 mg/dL, sodium 134 mmol/L, and potassium 4.4 mmol/L. The results also showed that total protein was 5.5 g/dL, albumin was 2.7 g/dL, AST 156 IU/L and ALT 317 IU/L, ALP 289 IU/L, and total bilirubin 1.05 mg/dL. Hemoglobin A1c was 10.7%. At fasting, C-peptide was 0.40 ng/mL (range, 0.48 to 3.3), and 2 hours after a meal it was 0.66 ng/mL. Lactate dehydrogenase was 1,240 IU/L. Creatine kinase MB and troponin-T were found to be 5.99 ng/mL (range, 0.6 to 6.3) and 0.073 ng/mL (range, 0.0 to 0.1), respectively.
Chest X-ray found no abnormal finding. Abdominal CT at another hospital detected several small-sized and low attenuation lesions on both lobes of the liver, and a 5×5-cm-sized tumor enhanced unevenly on the left adrenal gland ().
Electrocardiography revealed sinus rhythm with T wave inversion and QT interval prolongation observed in leads II and V1 to V6 (). Although the cardiac ejection fraction was 69%, echocardiography detected severely hypokinetic wall motion of mid-left ventricle sparing basal and apical wall motions.
The tumor on the left adrenal gland was tested for hormones. The results of 24 hours urinalysis were as follows: vanillylmandelic acid (VMA) 33.93 mg/day (range, 0 to 8.0), metanephrines 20.45 mg/day (range, 0 to 1.3), epinephrine 2,034 µg/day (range, 0 to 40), norepinephrine 978 µg/day (range, 0 to 80), serum epinephrine 1,221 pg/mL (range, 0 to 120), and serum norepinephrine 778 pg/mL (range, 100 to 410). Other tests including aldosterone, plasma renin activity, and cortisol were all normal. On 131I-metaiodobenzylguanidine scan examination, uptake of the radioactive isotope was increased in the left adrenal gland, but no other lesions were found ().
Based on the examination results above, the patient was diagnosed with a pheochromocytoma on the left adrenal gland. On the 12th day of admission oral phenoxybenzamine administration was started, and blood pressure was followed after having ceased all previous antihypertensives. The dosage of phenoxybenzamine was increased to 35 mg/day. After 19 days of administration, resection of the left adrenal gland was performed under laparoscope. The size of the resected tumor was 5×5 cm, and the surface was a mixture of a hemorrhagic and a cystic lesion. The tissue pathological examination showed the tumor cells with eosinophillic cytoplasm and polygonal shape surrounded by mesenchyma of vasculature on H&amp;E staining, while immunohistochemical stains of chromogranin, synaptophysin, and S-100 immunoperoxidase staining revealed the proper findings to diagnose pheochromocytoma as positive (). Thirteen days after tumor resection a panel of endocrine tests was performed to follow-up on the pheochromocytoma. A 24 hours urinalysis showed a VMA of 6.51 mg/day with metanephrines at 0.61 mg/day, epinephrine at &lt;5 µg/day, norepinephrine at 101.48 µg/day, serum epinephrine at &lt;15 pg/mL, and serum norepinephrine at 536.60 pg/mL (). When first admitted, the patient had uncontrolled blood pressure even with amlodipine 10 mg and irbesartan 150 mg plus 12.5 mg of hydrochlorothiazide. However, when discharged, the patient had controlled blood pressure with a reduced dosage of antihypertensives consisting of amlodipine 10 mg and irbesartan 150 mg.
Prior to his admission to the outside hospital, the patient had no history of new drug administration that might cause liver function failure. He also had no history of drinking and had a normal body weight (body mass index 23 kg/m2). A panel for hepatic viral disease (hepatitis B virus, HCV, HAV) was negative, and no abnormality was found through immunological testing (antismooth muscle, antinuclear, antimitochondria antibody), or screening for genetic diseases (plasma iron parameters, ceruloplasmin, Cu). This led to the challenge of finding a clear cause for the liver function failure. The liver function improved with conservative treatment, and had resolved by the time phenoxybenzamine was administered (). On the 22nd day after left adrenal gland resection, AST and ALT had normalized at 23 and 25 IU/L, respectively (), and normal liver function test remained within normal limits at 80 days after surgery.
After admission to our hospital, the patient's leukocytosis continued, and follow-up tests were performed to examine for secondary causes such as blood diseases, infection, and pheochromocytoma. On the fourth day of phenoxybenzamine administration the white blood cell count had recovered to 5,900/µL and continued to be within the normal range even after surgery ().
Echocardiography indicated cardiac ejection fraction of 78% on the 15th day after admission (fourth day of phenoxybenzamine administration), and no left ventricle wall motion abnormalities were observed.
On admission the patient was administered insulin and metformin, but the range of blood glucose fluctuation was wide. However, after surgery blood glucose levels returned to the normal range without the previously administered medications. Previously suppressed C-peptide secretion was recovered 3 days after surgery. On the 80th day after surgery, the hemoglobin A1c was measured found to be 5.7% ().</t>
  </si>
  <si>
    <t>In March 2013, a 62-year-old Bulgarian man was admitted with a provisional diagnosis of acute hepatitis based on a preexisting chronic HBV infection (inactive HBV carrier state: positive for HB surface antigen, core antibody, and envelope antibody; negative for HB envelope antigen and surface antibody with existing cirrhosis and ascites). One day prior to admission, the patient suffered from an acute onset of progressive, worsening upper abdominal discomfort, frequent episodes of diarrhea (2–3 times/day), loss of appetite, and fulminant jaundice without systemic symptoms. Laboratory results revealed elevated levels of aspartate aminotransferase (2,452 IU/L), ALT (1,161 IU/L), and GGT (301 IU/L), with high total bilirubin (392 μmol/L; direct bilirubin level: 345 μmol/L), and thrombocytopenia (119×106/L); C-reactive protein was markedly elevated (41.6 mg/L). HAV, HCV, and HIV were excluded. Serologic markers of previous CMV, EBV, and T. gondii infections were positive. Abdominal ultrasound showed known macronodular liver cirrhosis with manifest splenorenal shunting and splenomegaly. Anti-HEV IgM (165.9 IU/mL) and IgG (212.6 IU/mL) antibodies were positive. To exclude acute HBV-associated liver failure, polymerase chain reaction testing was performed using a commercially available kit (Abbott Laboratories, USA) to detect HBV-DNA (&lt;12.5 IU/mL). HEV RNA was detected (9.76×105 copies/mL), and sequencing revealed HEV genotype 3f. Due to the severity of his condition, the patient was immediately transferred and underwent a high-urgency liver transplantation (CMV-positive transplant). The patient experienced the following complications: an ischemic cerebrovascular accident, acute renal failure, corticoid-induced diabetes mellitus, and CMV reactivation one month post-transplant (plasma viral load: 1,493 IU/L).
In September 2013, the patient died as a result of cardiac deterioration. A possible route of transmission could not be proven. However, there was a history of recent consumption of insufficiently heated pork sausage. Furthermore, the patient was at increased risk of developing severe complications due to the preexisting chronic liver disease.</t>
  </si>
  <si>
    <t xml:space="preserve">Pretty straightforward. </t>
  </si>
  <si>
    <t>A 45-year-old African American man presents with nausea and severe abdominal pain. He denies vomiting. He says that, 2 days ago, his divorce was finalized, so he went to a bar and had multiple shots of tequila and vodka. This morning, upon waking, he noticed his urine was red, which lasted throughout the day. The patient denies any history of similar symptoms. Past medical history is significant for low blood counts diagnosed on routine laboratory work 6 months ago, which was not followed up due to the stress of the divorce. A review of systems is significant for erectile dysfunction and chronic fatigue. His temperature is 37.2°C (99.0°F), the heart rate is 90/min, the blood pressure is 136/88 mm Hg, and the respiratory rate is 20/min. Physical examination shows scleral icterus. Mucous membranes are pale. Cardiac auscultation reveals a systolic flow murmur loudest along the left sternal border. There is moderate right upper quadrant abdominal tenderness with no rebound or guarding. The remainder of the exam is unremarkable. Laboratory findings are significant for the following:
Hematocrit 27%
Mean corpuscular volume 81 µm3
Leukocytes 6,000/mm3
Platelets 130,000/µL
Haptoglobin 30 mg/dL (50–150 mg/dL)
Reticulocyte count 3%
  Total bilirubin 7.1 mg/dL
LDH 766 U/L
AST 150 U/L
ALT 195 U/L
HbA1 96%
HbA2 2%
HbF 2%
CD55 50% of expected
The peripheral smear is unremarkable.</t>
  </si>
  <si>
    <t>A 55-year-old woman regularly visited our hospital as an outpatient because of hepatitis B occult infection. A liver tumor was point out by CT. CT revealed a protruding liver tumor located at segment 8 3 cm in size, which include cystic lesion (Fig. ). US and MRI reveal the same feature (Fig. ). There was no distant metastasis. The patient had no past or family history including gynecological illness. 18F-FDG PET revealed the accumulation of 18F-FDG, and maximum standard uptake value was 2.3. Laboratory results included a white blood cell count of 3200/μL and platelet count of 189,000/μL. Prothrombin time international normalized ratio was 1.02. Total serum bilirubin was 0.9 mg/dL, direct bilirubin 0.03 mg/dL, albumin 4.5 g/dL, aspartate aminotransferase 22 U/L, alanine aminotransferase 17 U/L, alkaline phosphatase 187 U/L, and gamma-glutamyltranspeptidase 49 U/L. Tumor markers such as CEA, CA19-9, AFP, and DCP were normal. HBs-antigen and HBc-antibody were positive, and HBs-antibody and HCV-antibody were negative. The Child–Pugh score was 5, grade A. She was diagnosed as intrahepatic cystadenocarcinoma and received extended posterior segmentectomy including diaphragm. Macroscopic findings revealed the tumor buried to the liver with the intracystic hemorrhage (Fig. ). The protruded comportment was closely touched to the diaphragm. Microscopic findings revealed the tumor and hemorrhage within the cyst (Fig. ). Tumor was located between the liver and diaphragm.
Histopathological evaluation revealed intracystic clear cell adenocarcinoma. The tumor has ductal structure including mucin and atypical nuclear with clear cytoplasm (Fig. ). The tumor was separated from the liver and the diaphragm (Fig. ). There is no traffic with the bile duct and ovarian stroma. PAS staining was positive. There was lack of ovarian clear cell carcinoma’s features such as hobnail appearance. The expression of Pax8 (Fig. ) was positive, but the expression CK7 and HNF1β(Fig. ) was positive and that of CD10 and ER was negative, which indicate that the tumor has the feature of clear cell carcinoma of the ovary, not renal cell carcinoma nor cholangiocarcinoma. The patient was discharged 13 days after surgery with no complication. According to the microscopic findings, gynecological interview and examinations after hepatic resection were performed, but there were no sign of menstrual irregularity and genital bleeding, and no endometriosis.</t>
  </si>
  <si>
    <t>An 81-year-old man was admitted due to massive upper gastrointestinal hemorrhage for 2 h. He had epigastric pain and early satiety for 3 weeks. His past medical history was unremarkable except for heavy alcohol drinking, 1–2 bottles a day for over 30 years. He denied a history of exposure to thorotrast or vinyl chloride. Physical examination revealed mildly pale, icteric sclerae, hepatomegaly with a liver span of 14 cm, parotid gland enlargement and palmar erythema. Other examinations were unremarkable. Laboratory investigations on admission showed white blood cell (WBC) count 6,210/dL, hemoglobin (Hb) 5.8 g/dL, platelet count 283 × 103/dL, aspartate transaminase (AST) 116 U/L, alanine aminotransferase (ALT) 73 U/L, alkaline phosphatase (ALP) 192 U/L, albumin 2.7 g%, total bilirubin (TB) 5.74 mg%, direct bilirubin (DB) 5.3 mg%, prothrombin time (PT) 16.2 s (control 12.4), and international normalized ratio (INR) 1.23; serum alpha-fetoprotein (AFP) was within normal range.
Esophagogastroduodenoscopy was performed and revealed a 3-cm large ulcer with elevated border and necrotic tissue in the antrum of stomach; no varix was seen. The tissue biopsy was performed to exclude malignant ulcer. Liver ultrasonography revealed a cirrhotic liver and diffused multiple echogenic nodules size 7–9 mm in both lobes with a large echogenic mass 3.3 cm in size with a halo. A further CT scan demonstrated multiple large infiltrative masses with few arterial enhancements, no venous washout, size 1–4 cm in both lobes, osteolytic foci at the thoracic spine level T10 and T11, and small subpleural nodule at the right lower lung. Liver biopsy was performed for definite diagnosis. The specimen consisted of a few pieces of gray tan irregular soft tissue and disclosed the angiosarcoma; immunohistochemical study showed positive staining for CD34 and factor VIII. The specimen of gastric ulcer biopsy also revealed metastasis of angiosarcoma.
He was treated with a paclitaxel dose of 175 mg/m2. Unfortunately, 5 days after receiving chemotherapy, he developed febrile neutropenia with septic shock. His relatives refused further treatment and invasive procedures, and he died in the following days.</t>
  </si>
  <si>
    <t>A 50-year-old Caucasian male was referred to our clinic in late 2010 for elevated liver enzymes. About two years prior to his initial clinic visit, he reportedLy had an episode of jaundice after taking terbinafine, but it had resolved spontaneously after three months. He denied any recent use of prescription medication, herbal medication, alcohol or illicit drugs. There was no family history of recurrent cholestatic disorder or liver disease. Physical examination was significant for marked jaundice and scleral icterus but there was neither sign nor stigmata of chronic liver disease. Laboratory tests showed white blood count 3300/μL, hemoglobin 13 g/dL, platelets 186 000/μL, alanine aminotransferase (ALT) 91 U/L, aspartate aminotransferase (AST) 96 U/L, alkaline phosphatase (ALP) 712 U/L, gamma-glutamyl transpeptidase (GGT) 643 U/L, total bilirubin 2.4 mg/dL, albumin 4.3 g/dL, total protein 7.7 g/dL, international normalized ratio 1 and creatinine 1.1. Hepatitis A, B and C serology was negative. Iron studies, ceruloplasmin, alpha 1-anitrypsin, serum immunoglobulins and protein electrophoresis were normal. Anti-nuclear (ANA), anti-smooth muscle, anti-mitochondrial (AMA) and anti-liver-kidney microsome antibodies were negative. Abdominal ultrasound showed no evidence of intra- or extrahepatic biliary dilation or cholelithiasis. Magnetic resonance imaging/magnetic resonance cholangiopancreatography (MRI/MRCP) revealed normal pancreatic duct, common hepatic duct, common bile duct without ductal dilation and normal liver. Esophagogastroduodenoscopy and colonoscopy did not show evidence of inflammatory bowel disease. Further work-up with endoscopic retrograde cholangiopancreatography (ERCP) revealed normal pancreatic and biliary system, without evidence of any large- or small-duct disease (). Ursodeoxycholic acid (UDCA) 600 mg daily was administered for his symptomatic cholestasis. In six-month and one-year follow-up visits, there was no improvement in his liver enzymes (); however, his liver synthetic function remained intact and there was no evidence of hepatic decompensation. Given persistent elevation of liver enzymes, percutaneous liver biopsy was performed in 2013. This demonstrated chronic biliary disease with duct injury, duct loss in at least 4 out of 15 portal tracts, prominent cholestasis and mild periportal fibrosis (). Work-up for sarcoidosis showed normal angiotensin converting enzyme (ACE) level, while mediastinal lymph node biopsy was unrevealing.
Three months later, the patient was admitted to the hospital for worsening jaundice and pruritus. His liver enzymes were elevated to ALT 167 U/L, AST 221 U/L, ALP 1726 U/L and total bilirubin 14.9 mg/dL. MRCP revealed under-distended, poorly visualized intrahepatic ducts and non-dilated common bile duct. Subsequent ERCP with biliary sphincterotomy demonstrated normal cholangiogram with minimal narrowing of the intrahepatic ducts, without evidence of changes. On discharge, his liver enzymes improved to ALT 39 U/L, AST 40 U/L, ALP 637 U/L, total bilirubin 10.8 mg/dL, and UDCA was increased to 1200 mg daily. In subsequent clinic visits, his liver enzymes were found to be persistently elevated to ALP 1500–2000 U/L and total bilirubin 20–30 mg/dL, without any clinical signs of hepatic decompensation ().
Leading differential diagnoses were small biliary duct etiologies including AMA-negative primary biliary cirrhosis (PBC), small duct primary sclerosing cholangitis (PSC) and idiopathic adulthood ductopenia (IAD). However, the patient's gender was unusual for PBC, while extreme elevation of bilirubin and ALP without concomitant liver failure was not consistent with PSC and PBC. In addition, he did not respond to empirical treatment for autoimmune cholangiopathy, and had a negative sarcoidosis work-up. Furthermore, his age of onset and benign family medical history made hereditary disorders, such as benign recurrent intrahepatic cholestasis or progressive familial intrahepatic cholestasis, less likely. Therefore, diagnosis of IAD was made.</t>
  </si>
  <si>
    <t>A 60-year-old man diagnosed with CHC was referred to the outpatient clinic for antiviral therapy in January 13, 2004. Initial laboratory data were as follows: WBC of 6,200/μL, hemoglobin of 16.0 g/dL, platelet count of 106,300/μL, creatinine of 0.9 mg/dL, AST level of 182 IU/L, ALT level of 238 IU/mL, total bilirubin level of 1.1 mg/dL, albumin level of 4.2 g/dL, and prothrombin time of 1.07 INR. The HBsAg and anti-HBs were negative, but anti-HCV was positive. The level of HCV RNA was 2.26×105 copies/ml and HCV genotype was 2a.
Esophagogastroduodenoscopy revealed presence of F1 esophageal varices on the lower esophagus and portal hypertensive gastropathy (). Abdominal ultrasonography showed coarse echogenicity of the liver parenchyma and mild splenomegaly (long axis of spleen, 10.2 cm) []. He was treated with interferon alpha and ribavirin combination for 24 weeks and achieved SVR. During follow up, esophageal varices decreased in size () and completely regressed after 8 years of SVR (). The spleen size decreased to 8.9 cm and platelet counts increased to 256,000/μL after 8 years of SVR.</t>
  </si>
  <si>
    <t>A 51-year-old female with a history of primary myelofibrosis and dilated cardiomyopathy presented at the emergency room with acute abdominal pain. She was afebrile and hemodynamically stable. No signs of hepatic encephalopathy were present. Laboratory study at first evaluation revealed leucocytes of 25,570/µL, hemoglobin of 13.9 g/dL , platelets of 324,000/µL, sCr of 2.45 mg/dL, AST of 126 U/L, ALT of 131 U/L, ALP of 413 U/L, GGT of 220 U/L, TB of 11.5 mg/dL (DB of 9.67 mg/dL), albumin of 2.7 mg/dL, INR of 1.95 and configuring CP C score of 11 points and MELD and MELD-Na score of 31 and 33 points, respectively. Abdominal Doppler-US showed thrombus in all the three supra-hepatic veins and ascites, confirmed by CT scan. Spontaneous bacterial peritonitis was excluded. The patient was diagnosed with an ALI related to BCS secondary to primary myelofibrosis and she was started on Aco therapy with NFH along with an antiplatelet agent and cytoreductive therapy with hydroxyurea. At day 7, the patient developed ALF with grade 3 West-Haven encephalopathy. CP C score at that time was 13 points. Transjugular intra-hepatic portosystemic shunting (TIPS) was contraindicated due to cardiac failure, the presence of relevant encephalopathy and high MELD score (MELD 34/MELD-Na 35, under NFH). LT was considered as a high-risk surgery and contraindicated after multidisciplinary discussion. The patient died due to liver failure 2 days after beginning palliative care.</t>
  </si>
  <si>
    <t>A 73-year-old man was admitted to our hospital for evaluation of severe back pain and right leg pain for 1 month. The medical history of patient revealed that he was diagnosed as a hepatitis B virus (HBV) carrier about 20 years earlier, but was lost to follow up. The patient was not a heavy drinker or smoker. There was no significant family history. On physical examination, a palpable and hard mass was noted in the right pelvic area. Hepatomegaly, liver masses, and ascites were absent. Initial laboratory findings were as follows: white blood cell count 4,830/µL, hemoglobin 15.2 g/dL, platelets 138,000/µL, total protein 7.8 g/dL, albumin 4.4 g/dL, aspartate aminotransferase (AST) 31 IU/L, alanine aminotransferase (ALT) 35 IU/L, total bilirubin 1.0 mg/dL, alkaline phosphate 98 IU/L, prothrombin time 14 second (INR 1.21), alpha-fetoprotein (AFP) 15.01 ng/mL, and protein induced by vitamin K absence or antagonist-II (PIVKA-II) 864 mAU/mL. Hepatitis B virus surface antigen (HBsAg) and hepatitis B e antigen (HBeAg) were positive. Hepatitis B e antibody (HBeAb), HBV-DNA with polymerase chain reaction, and serological markers of hepatitis C were negative. He belonged to Child-Turcotte-Pugh class A.
For evaluation of the pelvic mass, computed tomography (CT) and magnetic resonance imaging (MRI) scans were performed. They demonstrated a 13×10 cm expansile mass that involved the right iliac bone (). The patient underwent an incisional biopsy with the impression of a malignant bone tumor. However, on pathological examination, the tumor was composed of polygonal cells with ample cytoplasm and trabecular pattern. In immunohistochemical stains, these tumor cells were positive for cytokeratin (AE1/AE3), hepatocyte paraffin 1 (HepPar1), and glypican-3, which confirmed the diagnosis of HCC (). Tumor cells were negative for CD56, chromogranin A and synaptophysin, which are the markers of neuroendocrine differentiation. To find the primary focus, abdominal CT, MRI, positron emission tomography (PET) scans and angiography were performed. However, no tumor was found in the liver in these radiologic examinations.
We diagnosed this case as an isolated metastatic HCC of the pelvic bone without the presence of a primary cancer in the liver. Surgical resection of the tumor was recommended, but the patient refused an operation because of old age and the large size of the tumor. Instead, we decided to treat him with combined modalities. He started radiotherapy in the pelvic area with a total dose of 5,100 cGy in 17 fractions. One week after the end of radiotherapy, transarterial chemoembolization (TACE) was performed in the metastatic HCC of the pelvic bone via the right internal iliac artery (adriamycin 50 mg and 20 mL of lipiodol). Then, the patient was treated with five cycles of systemic chemotherapy based on 5-Fluorouracil (5-FU, 1,000 mg/m2 on days 1, 2, and 3) and cisplatin (90 mg/m2 on day 2 every 4 weeks). After the completion of chemotherapy, the tumor became almost necrotic. The AFP and PIVKA-II levels decreased to the normal ranges (2.85 ng/mL and 28 mAU/mL, respectively). As the treatment resulted in near complete regression of the tumor, the patient underwent close follow-up without chemotherapy. However, 12 months after chemotherapy, a CT scan revealed multiple lung metastases in both lungs with increasing AFP and PIVKA-II levels (182 ng/mL and 38 mAU/mL, respectively). He was treated with two cycles of systemic chemotherapy with the same regimen (5-FU 1000 mg/m2 on days 1, 2 and 3 and cisplatin 90 mg/m2 on day 2). After two cycles of chemotherapy, the patient refused additional chemotherapy and we provided him with supportive care thereafter. Even though the lung metastases were newly developed, primary HCC had not been detected in the sequential radiological examinations, including abdominal CT and PET CT scans.</t>
  </si>
  <si>
    <t>A 64-year-old man with a history of hypertension, chronic kidney disease, and liver failure secondary to hepatitis C, with status post liver transplant 13 years priorly, was brought in by ambulance to the emergency department for acutely altered mental status. The patient had been in his usual state of health, until he told his family 3 hours before that he “felt sick.” The family incidentally found him on the floor, confused and lethargic, and immediately called the ambulance.
Upon arrival, the patient had a temperature of 96.4°F; pulse, 117 beats per minute; blood pressure, 151/93 mmHg; respiratory rate, 22 breaths per minute; and oxygen saturation of 100% on nonrebreather. The patient was known to have a history of recurrent episodes of hepatic encephalopathy, and his last episode of hepatic encephalopathy was in the prior 3 months, which was treated and controlled with lactulose. The patient's family stated that the patient had run out of lactulose 4 days before presentation. Other than lactulose, the patient was compliant with all of his home medications, including amlodipine, buproprion, cyclosporine, hydrocodone, lasix, methocarbamol, and ramipril. The patient had no known history of seizure, recent illness, brain trauma, or recent surgical procedures.
Physical examination showed a male in no acute distress with a Glasgow Coma Scale of 12 (eyes, 4; verbal, 3; motor, 5). There were no signs of trauma found on his body. His pupils were equally round and reactive to light, and his neck was supple and soft with a cervical collar in place. Cardiopulmonary examination was unremarkable except for tachycardia. Abdominal examination was unremarkable. Because he was not following commands, the neurologic examination was limited. However, the patient was able to move all extremities equally and pulses were distally equal to all extremities. There was no posturing or clonus noted, and Babinski was downgoing in both feet.
Fingerstick glucose level was 210 mg/dL and bedside hemoglobin level was 13.1 g/dL. Noncontrast head and cervical spine computed tomography revealed no acute pathologic lesion. Chest radiography also showed no acute pathologic lesion. Laboratory tests showed white blood cell counts of 5.5 K/mm3 with 60% neutrophils, hematocrit of 36.5%, and platelets of 115 K/mm3. Electrolyte and liver function results were as follows: sodium, 141 mmol/L; potassium, 3.5 mmol/L; chloride, 104 mmol/L; bicarbonate, 22 mmol/L; calcium, 9.3 mg/dL; blood urea nitrogen, 71 mmol/L; creatinine, 1.9 mg/dL; total bilirubin, 2.1 mg/dL; aspartate aminotransferase, 128 U/L; alanine aminotransferase, 124 U/L; alkaline phosphatase, 231 U/L; albumin, 4.0 g/dL; lipase, 30 U/L; prothrombin time, 14.5 seconds; INR, 1.09; and ammonia, 501 μmol/L (reference range, 15–55 μmol/L). Toxicology serum screen results were negative for acetaminophen, salicylate, and ethanol. Urine toxicology screen results were positive only for opiates. Venous blood gas was pH 7.44.
Owing to the patient's obtunded condition and inability to protect his airway, the patient was electively intubated and given midazolam drip for sedation. The patient was admitted to the intensive care unit (ICU) for monitoring with a presumed diagnosis of hepatic encephalopathy. While administration of empiric antibiotics was started in the emergency department, it was discontinued after an infectious etiology was deemed unlikely and culture results were negative. Results of a magnetic resonance imaging brain scan were also negative, including no evidence of infarct.
During the ICU stay, the patient was readministered lactulose, and ammonia levels decreased to117 μmol/L by hospital day 2 and to 78 μmol/L by hospital day 4. Despite discontinuation of sedation, the patient remained unresponsive. A neurologist was consulted and a bedside electroencephalogram (EEG) revealed findings consistent with status epilepticus. However, the patient had no clinical manifestations of status epilepticus, leading to a diagnosis of nonconvulsive status epilepticus. A phenytoin load was immediately administered, while a midazolam infusion was restarted, ultimately leading to EEG resolution of the status epilepticus. The patient did not immediately improve neurologically during the hospitalization stay and was ultimately transferred to another facility for continued treatment and rehabilitation.</t>
  </si>
  <si>
    <t>A 39-year-old Caucasian gentleman with a past medical history of alcohol abuse, anemia, gastroesophageal reflux disease (GERD), cirrhosis, hematemesis with nausea, and clotting disorder presented to the emergency department with complaints of sudden onset of severe abdominal pain. The patient has a history of decompensated hepatic cirrhosis that started 1 year ago complicated by ascites and a large umbilical hernia. The patient has had multiple paracentesis and had several episodes of spontaneous bacterial peritonitis. His medication list included tramadol and propranolol. Upon admission to the emergency department, he was found to be severely malnourished with significant loss of muscle mass, abdominal distention, and the presence of a large, tender, compressible umbilical hernia. Physical exam showed flank dullness, a fluid wave, and shifting dullness. Vital signs were normal, and he did not show signs of asterixis, hepatic encephalopathy, edema, or fluid overload elsewhere. His white blood cell (WBC) count was high at 10,270/µL and hemoglobin of 10.7 g/dL, hematocrit of 32.6%, and a platelet count of 130,000/µL. Further testing showed hyponatremia at 133 mmol/L and a total bilirubin of 1.9 mg/dL. Liver function test revealed an albumin of 2.9 g/dL, alkaline phosphatase of 149 IU/L, aspartate aminotransferase (AST) of 64 U/L and alanine aminotransferase (ALT) of 36 U/L. X-ray confirmed large-volume ascites and the presence of a ventral hernia. Abdominal ultrasound showed cirrhotic liver morphology with large-volume ascites and splenomegaly. Ascitic fluid was yellow, and analysis showed WBC count of 70/µL, but was otherwise unremarkable. After being admitted to the hospital, patient was given furosemide 40 mg tablet daily and spironolactone 100 mg tablet daily. The patient was admitted to the hospital for further management. Surgical consultation was sought, and since the patient was a very high-risk surgical candidate with loss of muscle mass, surgical intervention was not planned. The patient chose supportive care and prophylactic antibiotics based on infectious disease recommendations. An ostomy pouch was placed over the hernia to prevent bacterial contamination and peritonitis as well as to collect the ascitic fluid. The patient’s severe abdominal pain subsided and was discharged to follow up with his primary care physician.
Three months after the patient was discharged, he came back to the hospital with worsening symptoms because he could not afford the ostomy pouches. He was not compliant with his follow-ups. His umbilical hernia appeared to have worsened, and ascitic fluid was leaking out from multiple areas on his hernia, and there were also multiple areas of skin necrosis. Since the patient was deemed a high-risk surgical candidate, he was, again, not cleared for surgery. The patient opted for conservative care and prophylactic antibiotics according to infectious disease suggestions. After symptoms improved, he was instructed on being more compliant and then subsequently discharged.</t>
  </si>
  <si>
    <t>A 59-year-old man presented to the Emergency Department (ED) with acute progressive dyspnea preceded by expectoration of a cup of "blood-tinged" sputum. The "hemoptysis" had started 3 hours prior after sudden coughing and was described by his wife as very dark in color. Our electronic medical record indicated that he had attended our outpatient hepatology clinic regularly for hepatitis B virus–related HCC with a huge 20-cm mass in the right hemiliver, which was diagnosed 5 years ago; he received transarterial chemoembolization (TACE) twice for the mass at the time of diagnosis and no further invasive procedure was performed for the past years; follow-up abdominal imaging regularly at 6-month interval showed no evidence of tumor rupture and no change of necrotic mass until recently (). Current medications included sorafenib and entecavir, which he had taken for the past 5 years. He denied any history of aspiration, vomiting, hematemesis, or melena; the last esophagogastroduodenoscopy did not show presence of varix a year ago. Recently, he had intermittent right flank discomfort and a low-grade fever without chills for a year. He was a never-smoker and denied history of asthma.
On arrival, he was in acute respiratory distress with a respiratory rate of 28 breaths per minute and was receiving oxygen at the rate of 10 L/min via a facial mask in the ambulance. Other vital signs were as follows: blood pressure 138/91 mm Hg, pulse rate 111 beats per minute, temperature 36.4℃, and oxygen saturation 90% using the full facial oxygen mask. Bilateral whole-lung wheezing was dominant and right-sided crackles were heard upon auscultation. There was no visible blood in the oral cavity. The results of the initial arterial blood gas analyses during full facial oxygen mask administration were pH 7.4, pCO2 30 mm Hg, pO2 79 mm Hg, and HCO3 20.4 mmol/L. After administering an inhaled bronchodilator with a systemic steroid, intravenous methylprednisolone 40 mg, his oxygen demand gradually decreased to 3 L/min administered via a nasal cannula.
In order to find the possible source of the "hemoptysis," computed tomography (CT) of the chest with angiography was performed, which showed a new area of consolidation in the right basal lung suggesting necrotizing pneumonia (). Otherwise, no definite hypertrophied bronchial artery was seen and there was no possible bleeding focus.
Blood tests showed marked leukocytosis (28,690/mL, 78% segmented neutrophils) with significantly elevated C-reactive protein (CRP, 28.11 mg/dL) and lactic acid (4.3 mmol/L).
There was no change in the hemoglobin level from his baseline (12.8 g/dL). His hematocrit was 38.3% and the platelet count was normal (252×103/µL). The blood urea nitrogen was not elevated (15 mg/dL); serum sodium was 134 mmol/L and the serum glucose level was 158 mg/dL. Liver function tests were also within the usual range (aspartate aminotransferase, 35 IU/L; alanine aminotransferase, 40 IU/L; total bilirubin, 1.1 mg/dL; albumin, 3.3 g/dL; and prothrombin time, 64% [patient's baseline, 69%]).
Treatment with intravenous piperacillin/tazobactam 4.5 g every 6 hours and levofloxacin 750 mg daily was initiated immediately and the patient was admitted to the general ward. Given the relatively mild pneumonia severity index (risk class III, 89 points) and radiologic extent of pneumonia, inflammatory markers including leukocyte count and CRP were persistently highly elevated. There were no improvements in his clinical signs (respiratory symptoms, cough, dark-colored sputum, and wheezing) or X-ray while continuing antibiotics. There was no bacterial growth on the initial blood and sputum cultures. A sputum acid fast stain for tuberculosis was negative. The urinary pneumococcal antigen test was also negative. On hospitalization day 5, his dyspnea worsened and the oxygen demand increased up to 6 L/min via nasal cannula.
On hospital day 7, the patient developed type 2 respiratory failure (pH, 7.13; pCO2, 105 mm Hg; pO2, 123 mm Hg; HCO3, 25.2 mmol/L) despite the use of noninvasive ventilator support overnight. Intubation was performed, and immediately afterwards, a massive volume of dark-brown secretions with a consistency like anchovy-paste was expectorated via the endotracheal tube. We thought that it was very strange because his mental status had been alert and there was no preceding aspiration event. Since the huge hepatic mass had been compressing the right lung, we considered the possibility of a connection and reviewed the initial CT scan with the Division of Thoracic Imaging, Department of Radiology. Indeed, a possible communication tract between the hepatic mass and the right middle bronchus was discovered (). A sputum smear was performed which showed numerous neutrophils and dyskeratotic cells.
The patient was admitted to the intensive care unit to receive mechanical ventilation and the antibiotic therapy was changed to intravenous meropenem 1 g every 8 hours. Bronchoscopy performed the next day showed obstruction of the right middle bronchus with a large amount of thick brown secretions. No overt defect was seen. After toileting, the patient was successfully extubated.
In the ward, he continued to expectorate dark brown sputum despite improvement in the pneumonic consolidation, laboratory findings, and oxygen demand. After 12 days of intravenous antibiotics to cover necrotizing pneumonia and continued administration of sorafenib and entecavir, the chest X-ray showed slightly improved consolidation and a sign of an air-fluid level under the right diaphragm.
On the 25th hospital day, a repeat CT scan was taken, which showed simultaneous disappearance of the pneumonic consolidation and the necrotic fluid within the hepatic mass (). A fistula connecting the two sides was seen (). The patient's history was carefully recorded again and the patient and his wife confirmed that there had not been any blood in the sputum at any time; it had always been brown and like the anchovy-paste (). It turned out that an intern in the ED had initially recorded it as "hemoptysis." A sputum smear was performed again and showed numerous bilirubin castlike objects ().
Considering the short life expectancy due to HCC, he and his family did not want to receive further invasive procedures or surgery. While continuing antibiotics and tapering the steroid, the patient received inpatient rehabilitation and was successful discharged. We decided to continue antibiotics, sorafenib, and entecavir in the outpatient clinic. He is now followed-up by both respiratory physicians and hepatologists for 1 month without recurrence of pneumonia.</t>
  </si>
  <si>
    <t>The patient's information released was permitted after discussion by the hospital ethics committee.
A 66-year-old woman with recurrent intermittent upper quadrant abdominal pain visited our hospital for further evaluation and treatment. Physical examination and initial vital signs were as follows: body temperature, 37.0℃; pulse rate, 66 beats/min; respiratory rate, 18 breaths/min; and blood pressure, 140/90 mmHg. Her height and body weight were 158 cm and 66 kg. She had a 10-year history of hypertension with good blood pressure control from oral Valsartan (40 mg/day). Her familial history was unremarkable. Laboratory examinations showed a low white blood cell count of 3,920/µL, a hemoglobin level of 11.8 g/L, and a platelet count of 124,000/µL. The liver function test results were as follows: serum aspartate transaminase: 14 U/L; alanine transaminase: 19 U/L; alkaline phosphatase: 88 IU/L; gamma-glutamyl transferase: 16 U/L; total bilirubin: 4.05 µmol/L; albumin, 35.7 g/L; and international normalized ratio: 0.93. CA 19-9 and α-FP were assayed for a malignancy workup, with results of 16.35 U/mL and 2.61 ng/mL, respectively. The results for viral markers including HBV surface antigen and anti-HCV were negative. Abdominal CT revealed an atrophic left lobar and dilated bile duct with the middle hepatic vein close to the cystic lesion (). Abdominal MRCP revealed irregular intrahepatic bile duct dilatation (IHBDD) of the left lobe with the left hepatic duct obstructed, while the common bile duct and right intrahepatic bile duct were normal (). However, we found that the irregular cystic dilatation of the bile duct was limited to the left liver and contained stones inside the cysts. No obvious abnormal dilated bile duct was found in the right liver. The common bile duct and the hepatic duct were normal, and no obvious dilatation was found. This patient was diagnosed with Caroli disease (type V). The surgical indication for the patient was explicit. However, the treatment prescription required consideration of the cystic wall being adjacent to the middle hepatic vein, the left hepatic atrophy and structure disorder, and the observation that the left hepatic vein was not visible. Although complete resection of the cysts may be a curative treatment for unilobar Caroli disease, this treatment was impossible for this patient due to the close adherence of the middle hepatic vein to the cystic wall. Therefore, we decided to perform laparoscopic left LR for the patient, while preserving a partial cystic wall close to the middle hepatic vein.
The standard laparoscopic equipment used to perform laparoscopic hepatectomy included a 30° 5-mm laparoscope, a hook dissector, 5-mm laparoscopic forceps, a 5-mm atraumatic grasper, a 10-mm GIA (Johnson &amp; Johnson Medical, Shanghai, China), 5-mm harmonic (Johnson &amp; Johnson Medical) and 10-mm locking pliers.
The conventional fully laparoscopic multiport approach was adopted. The patient was placed in a supine position, and the surgeon stood on the right side. Under general anesthesia, five 5- to 10-mm incisions were made in a “U” configuration. Division of the liver parenchyma was performed with Harmonic or Endo-GIA. Large pedicles were stapled or clipped.
Upon surgical exploration, the left lobe of the liver was found to be atrophied, and the right liver had developed compensatory hyperplasia with a red-brown and smooth surface. However, the left liver lobe was severely adherent. We gradually dissected the adhesion using harmonic pliers and exposed the atrophic left lobe (5 cm × 6 cm × 2 cm). The gallbladder was approximately 7 cm × 4 cm × 2 cm in size and was filled with bile and gallstones. Through intraoperative exploration, we confirmed the diagnosis of Caroli disease, limited to the left lobe of the liver. We obtained a biopsy from the edge of the lesion and performed a rapid intraoperative pathological examination to exclude malignant tumor. We then decided to perform a laparoscopic left liver and gallbladder resection. The difficulty was that the lesion was close to the middle hepatic vein. We opened the cysts and resected most of the lesion while retaining part of cystic wall close to the middle hepatic vein. After laparoscopic left half-liver and gallbladder resection, the liver lesion tissue and gallbladder were removed completely from the abdominal cavity. Histopathologic findings showed congenital dilatation of the intrahepatic bile ducts, confirming the preoperative diagnosis of Caroli disease (). Histopathology of the resected specimen revealed large, cystic dilations of the large intrahepatic bile ducts. This patient was seen regularly every 3 months at the outpatient department. There was no recurrence of abdominal pain, and no complications were discovered after 18 months of follow-up.</t>
  </si>
  <si>
    <t>A 48-year-old male with a history of ulcerative colitis (UC) and PSC presented with frequent and loose stools ever since total proctocolectomy with IPAA 10 years prior. Other symptoms include postprandial pelvic and abdominal pain, nausea, urgency, incontinence, nocturnal seepage, and weight loss of 15 pounds over the past 2 months. He was an active smoker. The patient washed had been diagnosed with having pouchitis and enteritis on pouchoscopy and histology. His past treatment regimen included metronidazole, ciprofloxacin, oral and topical mesalamines, hydrocortisone enemas, and oral prednisone with minimal relief of symptoms. He was on long-term oral budesonide with recurrent symptoms while tapering off the corticosteroid. He underwent multiple pouchoscopies that showed no improvement in mucosal inflammation in the pouch body and afferent limb.
At the time of his initial presentation at our Pouch Center, he reported urgency, bowel frequency 12–15 times per day, loose-to-watery stools, occasional bleeding, incontinence, and nocturnal seepage. The Pouchitis Disease Activity Index (PDAI) symptom subscore was 5. Laboratory evaluation showed white blood cell count 7,600/μL, hemoglobulin 11.3 g/dL, platelet count 110,000/μL, creatinine 0.8 mg/dL, albumin 3.4 g/dL, alkaline phosphatase 320 international unit/L, total bilirubin 0.8 mg/dL, aspartate transaminase 23 international unit/L, and alanine transaminase 14 international unit/L.
Pouchoscopy showed diffuse inflammation of both the pouch body and prepouch afferent limb with granularity, edema, loss of vascularity, and spontaneous bleeding. The PDAI endoscopy subscores of the pouch body and afferent limb were 4 and 2, respectively. The pouch inlet was widely patent. He was started on oral vancomycin 250 mg four times a day for the treatment of pouchitis, enteritis, and PSC. The patient responded with the PDAI symptom subscore reduced to 1. Fatigue also improved. Repeat pouchoscopy after 3 months showed mucosal healing with no active disease in the pouch body and afferent limb with PDAI endoscopy subscores of 0 and 1, respectively. The liver-function test showed that alkaline phosphatase was 120 international unit/L. He has been followed up for 4 years until now and a year later repeat pouchoscopy showed pouchitis and enteritis in remission (). Alkaline phosphatase was 127 international unit/L.</t>
  </si>
  <si>
    <t>A 64-year-old man presented with a 2 month history of generalized malaise, right hypochondrium pain and fever. He had a history for appendectomy at the age of 42 and sarcoidosis and RA at the age of 62. He had been treated with MTX at weekly dose of 8–14 mg for 2 years and infliximab (IFX) at 3–6 mg/kg for 7 months for RA. Although there has been no significant history of liver dysfunction before MTX therapy, persistent elevation of liver enzymes has been observed during MTX treatment; aspartate aminotransferase (AST) 36 to 128 U/L (normal value: 13–33) and alanine aminotransferase (ALT) 44 to 93 U/L (normal value: 8–42). Physical examination at the time of admission revealed neither enlarged superficial lymph nodes nor jaundice. The laboratory findings on admission were: white blood cell count 4.3X109/L, hemoglobin 11.1 g/dl, platelet count 147X109/L, AST 92 U/L, ALT 33 U/L, total bilirubin 1.1 mg/dl (normal value: 0.3-1.9), alkaline phosphatase (ALP) 401 U/L (normal range 115–359) and lactate dehydrogenase (LDH) 1,114 U/ml (normal range 119–229). No lymphoma cells were detected in his peripheral blood. A high LDH/AST ratio (12.1) was observed. Soluble IL-2 receptor was 3,465 U/ml (normal range 254–534). Serum carcinoembryonic antigen (CEA) was within normal range, and alpha-fetoprotein (AFP) was slightly elevated (16.3 ng/ml, normal value 10 ng/ml≧). Serological tests for hepatitis B virus (HBV), hepatitis C virus (HCV), human T-cell leukemia virus I (HTLV-I) and human immune deficiency virus (HIV) were all negative.
Contrast-enhanced computed tomography (CECT) of the abdomen (Figure A and B) revealed multiple irregular and nodular liver masses with a maximum of 13 cm in diameter on the right liver. CECT scan of the brain, neck, chest and pelvis showed no enlarged lymph nodes or masses. Multiple hypoechoic bulky liver masses were observed in ultrasound examination. There was no significant bone marrow infiltration of lymphoma cells.
Diagnosis of PHL was made by using percutaneous tumor biopsy of the liver, which had diffuse infiltration of medium to large lymphoid cells with remarkable nucleoi. The tumor cells were positive for CD20 (Figure B), CD79a (Figure C) and CD10 (Figure D), and negative for bcl-2 (Figure E), CD3 (Figure F), and EBV-encoded small RNAs (EBER) by in situ hybridization (ISH) (Figure G). The findings were consistent with non-Hodgkin lymphoma (NHL), diffuse large B-cell lymphoma (DLBCL), and according to the WHO 2008 classification of lymphoid tissue, he was diagnosed as other iatrogenic immunodeficiency-associated LPDs.
RA treatment including MTX was discontinued. He became asymptomatic, and serum LDH returned to normal levels. His liver function also improved. Oral prednisolone (PSL) was administered at the initial dose of 60 mg/day (0.7 mg/kg) for two weeks and was reduced to 10 mg/day every three days. Three months after discontinuation of RA treatment, the tumor masses dramatically regressed (Figure ). However, since a small liver mass was still observed, the patient was further treated with a total of 8 cycles of R-CHOP: Rituximab (375 mg/m2) with cyclophosphamide (750 mg/m2), vincristine (1.4 mg/m2), doxorubicin (50 mg/m2) and prednisolone (60 mg/m2). There has been no sign of recurrence for two years.</t>
  </si>
  <si>
    <t>A 52-year-old male patient, a chronic smoker and drinker, a welder (exposed to occupational respiratory hazards for about 20 years), presented to the emergency department for severe dyspnea with sudden onset on the previous day, cough and right posterior chest pain, chills, and high fever (39 °C). The patient had a series of comorbidities: hepatic steatosis, chronic alcohol liver disease, hypertensive and ischemic heart disease, and essential hypertension.
Objective examination showed an agitated, tachypneic patient, with congested facies, dry skin and mucosae, harsh vesicular murmur, right basal crepitant rales, with peripheral oxygen saturation 92%, blood pressure 200/160 mmHg, ventricular rate 106 bpm, afebrile at the time of examination.
Chest X-ray evidenced a pulmonary condensation area in the posterior inferior third of the right lung (A,B).
Laboratory tests revealed leukopenia with lymphopenia (white blood cells 1110/μL, lymphocytes 190/μL), thrombocytopenia (127.000/μL), prolonged prothrombin time (PT) (15.6 s), international normalized ratio (INR) 1.15, hepatocytolysis (aspartate aminotransferase 88.8 units/L, alanine aminotransferase 82.8 units/L), total bilirubin 2.88 mg/dL, reduced creatinine clearance (63.8 mL/min), nitrogen retention (creatinine 1.82 mg/dL), inflammatory syndrome (C-reactive protein 450 mg/L), antibodies against HIV-1 and HIV-2 were not detectable, nonreactive anti-SARS CoV-2 antibodies. Combined throat/nasal sampling (with collection device produced by Sanimed International Impex, Bucharest, Romania) was performed for real-time PCR (RT-PCR) SARS CoV-2 (QuantStudio v5 analysis method with TaqPath COVID-19 CE-IVD RT-PCR Kit, The QuantStudioTM Design &amp; Analysis Software, Thermo Fisher Scientific, Pleasanton, CA, USA). The result was negative. Respiratory secretions were not collected for microbiological diagnosis.
The diagnosis of right basal pneumonia, acute respiratory failure, acute chronic liver dysfunction, and acute kidney injury was established. The patient was transferred to the intensive care unit. Anti-inflammatory steroid, antibiotic, antihypertensive, oxygen therapy was initiated. The patient died 17 h after presentation.
The necropsy was performed 12 h after death. Necropsy exam revealed the following: about 1700 mL of serous fluid in the right pleural cavity, with gray deposits, which were also present focally on the surface of the right pleura, and about 500 mL of serous citrine fluid in the left pleural cavity. The middle lower lobe of the right lung had a well-demarcated red-gray area, with small violaceous areas of increased consistency, having a dry, granular cross section surface. The adrenal glands showed bilateral medullary hemorrhage. No signs of autolysis were identified.
Given the persistence of the suspicion of SARS-CoV-2 infection, five lung fragments (0.5/0.3 cm) were collected by cutting with scalpel from the red-gray area, middle lower lobe (with collection device produced by Sanimed International Impex, Bucharest, Romania). RT-PCR testing was performed on these lung fragments and the result was positive. Total RNA isolation was performed with NucleoSpin RNA for tissue (Macherey-Nagel, Dueren, Germany) according to the manufacturer’s instructions. The E gene assay (Envelope gene) was used as the first line screening tool (Ct 23) then followed by confirmatory testing with an RdRp gene assay (Ct 25.3) (RNA-dependent RNA polymerase gene—inside the Orf1ab polyprotein gene) and N gene assay (Ct 26.5) according to the Charite/Berlin protocol [].
For the histopathological examination, we used an Olympus BX40 microscope (Tokyo, Japan) with an Olympus Camedia 4040 photo camera, hematoxylin-eosin (HE) stain (staining kit produced by Laboratorium, Bucharest, Romania), Giemsa stain (staining kit produced by Merck, Darmstadt, Germany), periodic acid–Schiff (PAS) stain (staining kit produced by Merck, Darmstadt, Germany), and Grocott stain (staining kit produced in our own laboratory). For immunohistochemistry, CD3 (Dako, polyclonal rabbit anti-human) and CD45 (Dako, monoclonal mouse antihuman, clone 2B11 + PD7/26) were used. The immunolabeling reaction was carried out by an automated immunostainer (Leica Bond-Max, Melbourne, Victoria, Australia) using a polymer-based detection system (Leica Biosystems, Melbourne, Victoria, Australia) with 3,3′-diaminobenzidin (DAB) as the chromogen.
The histopathological examination of the case evidenced preexisting lesions in various organs, which could be assigned to preexisting morbidities, favoring the severe evolution of COVID-19 infection. The histopathological examination also detected recent lesions occurring in the context of COVID-19 infection.
In the lung tissue, a background of lung fibrosis (A), with emphysematous areas (B) and thickened septa with myofibroblasts (C,D) was seen.
On this fibrosis background, the large and small arterial lung vessels show many thromboses (). The thromboses are accompanied by subpleural hemorrhagic foci (Tardieu spots, resulting from acute hypoxia), as well as by acute pulmonary edema foci in the rare alveoli unoccupied by inflammatory exudate. In the thrombosed vessels, lymphocytes adherent to the endothelium, with a significance of endotheliitis () but with low intensity, can be seen. In the dilated perivascular lymphatics, there is a cell-rich lymph fluid, with a cellularity similar to that of alveolar exudate (A).
Eosinophilic (A) and basophilic microthrombi (B) can also be observed, which represent aspects of disseminated intravascular coagulation (DIC).
The alveolar exudate is rich in foam cells ( and ). Alveolar exudate immunolabeling is positive for the leukocyte common antigen (CD45, a commonly used marker of hematopoietic cells except for erythrocytes and platelets) (A), but negative for CD3 (a common antibody for identifying T cells) (B). Immunolabeling of the innate immune system cells for induced nitric oxide (iNOS) is extremely weak ().
In the alveoli filled with macrophages, cystic forms with multinuclear content were also present (B). These proved to be positive by Giemsa stain (A,B), Grocott-Gomori’s methenamine silver stain (C), and PAS stain (D).
Giemsa stain also evidenced the fact that focally, some alveoli were invaded by a population of filamentous bacteria, in those areas the alveolar exudate having a bronchopneumonic, bacterial superinfection appearance ().
In the pleura, the whitish exudate described macroscopically was a mixture of fibrin and basophilic granular material, rich in round cells with vesicular nuclei. These cells were positive by Giemsa and Grocott staining, supporting the diagnosis of pneumocystosis (). Starting from these pleural images suggestive of Pneumocystis, it was inferred that the foamy alveolar material phagocyted by the activated macrophages was probably identical to this basophilic granular material, and the cystic forms described in were Pneumocystis cystic forms.
The myocardial muscle fibers are hypertrophied and fragmented, and in the medium intramyocardial venous vessels, rare microthrombi are present (A). In the liver, alcoholic steatosis is seen. In the medium and large branches of the suprahepatic veins, there is inflammatory infiltrate which allows the diagnosis of phlebitis (B). The kidney presents diffuse tubular necrosis (shock kidney) (C), and in the adrenal glands, massive medullary hemorrhage can be observed (D). The kidneys (mainly located within the interstitium) and liver (portal spaces and sinusoids) are CD45 positive.</t>
  </si>
  <si>
    <t>Centor Score (Modified/McIsaac) for Strep Pharyngitis</t>
  </si>
  <si>
    <t>What is the patient's Centor Score?</t>
  </si>
  <si>
    <t>A 15-year-old female presents to your office for evaluation of a painful neck mass. The family reports the patient has had a midline neck mass for many years, but had become painful over the past week with erythema at the overlying skin. The patient denies subjective fevers at home. The patient has an otherwise unremarkable past medical history. Her temperature is 100.1 deg F (37.8 deg C), blood pressure is 110/70 mmHg, pulse is 90/min, and respirations are 15/min. Clinical exam is seen in Figure A. The mass is noted to rise with deglutition and tongue protrusion.</t>
  </si>
  <si>
    <t>A 29-year-old Syrian man called his primary care physician on day one before his scheduled elective surgery on day six. He initially complained of having “white spots” on his right tonsil. The General Practitioner (GP) prescribed him antibiotics immediately, assuming he had streptococcal pharyngitis.
On the second day, the patient came to the clinic for further evaluation. On physical examination, the patient had two inflamed lymph nodes below the jaw and an extensive membrane covering the right tonsil. His temperature was 37.0°C. He was prescribed intramuscular ceftriaxone twice a day along with 2 g of oral amoxicillin per day. His physical examination was otherwise normal. He reported no fever, malaise, or any sore throat. He reported that he sought medical help only because he had a scheduled surgery and wanted to make sure everything was alright.
On the fourth day, the patient was referred to an otolaryngologist for further evaluation. His left tonsil started showing increasing numbers of white spots as well. No improvement was seen on the tonsils. The otolaryngologist repeated the physical and confirmed the findings of the GP, and instructed the patient to continue with the antibiotics.
On the fifth day, the patient visited the infectious disease department in a local hospital, where the resident doctor instructed him to stop the medications and order some lab work for him.
On the sixth day, the lab results came back confirming a diagnosis of IM. The patient was asked to follow-up with the infectious disease department weekly to monitor his condition. Table shows the first laboratory results of the patient.
Table shows the second blood analysis of the patient.
Table shows the third blood analysis of the patient.
Table shows the fourth blood analysis of the patient.</t>
  </si>
  <si>
    <t>A 14-year-old male presents to his pediatrician complaining of a sore throat. His mother reports that he developed a fever two days ago that was immediately followed by a sore throat. He denies cough or rhinorrhea. His past medical history is notable for poorly controlled asthma and he currently takes albuterol and budesonide. Of note, the child immigrated to America from Vietnam three months ago. His temperature is 101.6°F (38.7°C), blood pressure is 130/85 mmHg, pulse is 110/min, and respirations are 18/min. Physical examination reveals a malnourished adolescent who is small for his age. No hepatosplenomegaly is noted. A notable physical examination finding is shown in Figure A. Serologic and throat swab studies are pending.</t>
  </si>
  <si>
    <t>A 32-year-old man presents with a fever that has persisted for 3 days. He says that the fever was initially low at around 37.8°C (100.0°F), but, for the past 2 days, it has been around 38.9°C (102.0°F), regardless of his attempts to bring it down. He has also noticed some bumps on his neck. On further questioning, he mentions that he was recently out rabbit hunting with his friends. He is prescribed an antibiotic and requested to follow-up in 2 weeks. On follow-up, the patient seems better, however, he says he now has a slight hearing difficulty.</t>
  </si>
  <si>
    <t>On March 11, 2020, a 68-year-old woman attended the Tianjin Taida Hospital surgical Clinic mainly because of intermittent cough for &gt; 1 month. She had a 2-year history of hypertension controlled by medication, and no history of smoking or alcohol consumption. She had an intermittent cough with white sticky sputum, without any other symptoms or signs. On the same day, the patient was referred to the Fifth Central Hospital of Tianjin. Here vital signs were: body temperature 36.2 °C, pulse 86 beats/min, respiration rate 18 breaths/min, blood pressure 142/85 mmHg, and she was fully conscious. There was no visible enlargement of her superficial lymph nodes. She had no cyanosis, percussion pain in the sternum, or abnormal respiratory movements. She had coarse breath sounds in both lungs, no pleural friction sounds, and audible inspiratory crackles in the left lung. Heart sounds were strong and regular, with no pathological murmurs in any valve auscultation area. Carcinoembryonic antigen (CEA) was 8 ng/ml (normal range 0–5 ng/ml) and non-small cell lung cancer associated antigenCYF21–1 was 13.31 ng/ml (normal range 0.1–3.3 ng/ml). Other biochemical indicators were within the normal range.
The patient underwent a series of imaging examinations (Fig. ). Chest radiography on March 11, 2020 showed several nodules in the upper and lower segments of the left lung (Fig. a). Chest computed tomography (CT) on March 12, 2020 showed multiple solid nodules in the upper and lower left lung (Fig. b). The nodules had irregular outlines, with a maximum diameter of 65 mm, and some had a central cavity. A diagnosis of lymphoma was considered. Enhanced chest CT on March 16, 2020 (Fig. c–e) showed multiple “cauliflower like”, soft tissue masses in the left lung, partially fused, with a maximum diameter of 71.3 mm and a CT value of ~ 36 HU. Enhanced CT showed enhancement with a maximum value of 60 Hu. The boundary between the mass and pleura was not clear, and the mass could not be separated from the pleura. There was irregular thickening of the pleura and no enlargement of lymph nodes. A malignant tumor could not be excluded.
To clarify the pathological diagnosis, the patient underwent ultrasound-guided percutaneous needle biopsy of the left lung under local anesthesia on March 16, 2020. After consultation with our own and other hospitals(diagnostics were performed by Tianjin Fifth Central Hospital, Tianjin Cancer Hospital and Peking Union Medical College Hospital), the biopsy specimen was finally diagnosed as BA according to histomorphology and immunophenotype.
Wedge resection with safe margins may be the best treatment option for BA patients. However, if the lung is full of diffuse nodules, the whole lung may need to be removed, which seriously affects quality of life. Our patient was treated conservatively and followed up regularly. She was discharged on March 28, 2020.Her symptoms were managed through regular normal activities of daily living, strengthening respiratory protection, avoiding respiratory infection, and drug treatment to relieve dyspnea and cough.
To clarify the diagnosis, a double needle lung biopsy specimen was removed, 15 mm long, 1 mm in diameter. It was solid and gray white. Microscopically, there were irregular adenoid structures in a background of fibrosis and inflammation (Fig. a). The lesion had a two-layer cellular structure consisting of a basal and luminal layer, and had a lack of papillary structures. The micropapillae occasionally formed by non-ciliated cells germinated and burrowed into the alveolar cavity(Fig. b). The luminal layer was composed of type II alveolar cells and club cells. However, ciliated columnar cells and mucous cells in some flat areas could still be identified (Fig. c).The appearance was similar to adenocarcinoma in some areas, with alveolar destruction and stromal widening. Through careful observation, we found that the main reason for the stromal widening was edema and inflammatory infiltration. Unlike adenocarcinoma, there was a lack of thick collagen fibers (Fig. d). Tumor cells lacked atypia, mitosis and necrosis. A layer of material resembling the basement membrane surrounded the basal layer. The most important feature was a continuous layer of basal cells around the luminal layer.
Immunohistochemical staining for p63, p40 and cytokeratin (CK)5/6 clearly showed the continuity of the basal cells (Fig. a, b). The luminal cells and some basal cells stained positive for thyroid transcription factor (TTF)-1. The luminal cells expressed immunological markers of the terminal bronchioles (CKpan, CK7, Napsin A and CEA). A small number of mucous cells stained positive for periodic acid Schiff. The tumor showed a &lt; 10% Ki-67 proliferation index (Fig. ). Finally, the case was pathologically diagnosed as BA of distal type.</t>
  </si>
  <si>
    <t>A 19-year-old male with a past medical history of surgical repair of a torn anterior cruciate ligament and seasonal allergies presents to the emergency department with a rash. He reports that he first noticed the rash on his torso when he woke up this morning, and it has spread down his legs over the last few hours. He also endorses fatigue, malaise, and sore throat for four days. The patient reports that he was seen yesterday at his college’s student health clinic for similar symptoms and was prescribed amoxicillin. He also reports that his younger sister was recently diagnosed with streptococcal pharyngitis, and his mother has psoriatic arthritis. He is a sophomore on the men’s soccer team, but he has had to sit out of practice for the last several days. His home medications include cetirizine and fluticasone nasal spray. He has no known drug allergies. His temperature is 100.8°F (38.2°C), blood pressure is 122/76 mmHg, pulse is 97/min, and respirations are 16/min. On physical exam, he has an erythematous oropharynx with posterior cervical lymphadenopathy. His rash can be seen in Figure A.</t>
  </si>
  <si>
    <t>A 14-year-old boy is brought to the physician by his mother because of a 1-week history of fever, fatigue, and throat pain. He appears lethargic. His temperature is 38.5°C (101.3°F). Physical examination shows bilateral cervical lymphadenopathy. Oral examination shows the findings in the photograph. A peripheral blood smear shows lymphocytosis with atypical lymphocytes. A heterophile antibody test is positive.</t>
  </si>
  <si>
    <t>A 32-year-old woman was diagnosed with acute tonsillitis by her family doctor. Microbiological examination was not performed at that time. Amoxicillin/clavulanic acid 875/125 mg twice daily for 5 days was prescribed empirically. The symptoms of tonsillitis resolved within five-day treatment, however, four days after completing the course of antibiotic therapy, sore throat, more prominent on the left side, reappeared. Two days later the patient presented to the Emergency Department with a two-day history of worsening sore throat, painful swallowing and fever. The patient was previously well, with no history of chronic diseases, recurrent tonsillitis or previous peritonsillar abscess. Seven months previously she gave birth to her second child and was still breastfeeding the baby. She denied smoking. On physical examination her temperature was 38°C, pulse rate: 80 beats/min, respiratory rate: 22 breaths/min and blood pressure: 120/80 mm Hg. Examination of the oral cavity and oropharynx showed enlarged and inflamed left tonsil as well as congested and bulging soft palate on the left side with contralateral displacement of the uvula. Both tonsils were covered with whitish exudate. No dental caries was noted. There was also bilateral, moderately tender submandibular lymphadenopathy. The remainder of physical examination was unremarkable. Blood tests results are shown in Table . Separate swabs were obtained from the surfaces of both tonsils. Next, under local anesthesia, diagnostic needle aspiration of left tonsil was performed by otolaryngologist, during which scanty amount of pus was obtained. This initial procedure was followed by incision and drainage. Tonsil swabs and abscess aspirate were sent to laboratory for microbiological examination. The patient refused hospitalization at the Otolaryngology Department, thus was discharged home on a 10-day course of cefuroxime (500 mg twice daily) and metronidazole (500 mg 3 times daily) with recommendation to discontinue breastfeeding for the duration of the antibiotic therapy and to present at follow-up visit to Otolaryngology Clinic after completing antibiotic therapy. The symptoms of peritonsillar abscess as well as fever were subsiding steadily during treatment, however on the last day of antibiotic therapy, swelling and pain of the left ankle appeared, thus the patient presented to her family doctor. Upon presentation she was afebrile and had marked oedema and pain of her left ankle. Her heart rate was 72 beats/min, she did not have an appreciable cardiac murmur. Her chest was clear to auscultation. Antibiotic therapy with cefuroxime (500 mg once daily) for next 5 days was prescribed, as well as pain relief medication with paracetamol. After completing antibiotic therapy the patient presented at follow-up visit to Otolaryngology Clinic. She was afebrile, with normal vital signs. Examination of oropharynx showed resolution of both, congestion and oedema of left tonsil and soft palate. There was no exudate on the tonsils. Cultures of throat swabs and abscess aspirate collected 2 weeks before revealed the presence of Streptococcus pyogenes in all three materials. According to the patient report, left ankle swelling with which she presented to her family doctor, resolved within 4 days. Upon presentation the patient only had moderate pain in the joint. She was consulted by rheumatologist. Her heart rate was 70 beats/min. She did not have a regurgitant murmur. Her chest was clear to auscultation. Antistreptolysin O (ASO) titer was evaluated and proved to be 412 IU/ml (normal 0–200 IU/ml). The level of C-reactive protein was 13,0 mg/L. Control throat swabs were collected for culture, which revealed normal oropharynx flora. The patient was recommended to continue pain relief medication with paracetamol and present at follow-up visit to Rheumatology Clinic after 2 weeks. Her only complaint was persisting slight pain in left ankle joint. The results of physical examination were analogous to those observed at previous follow-up. ASO titer was 503 IU/ml. Control throat swabs were collected and culture yielded normal flora. The patient was recommended to present at follow-up visit at Rheumatology Clinic after 2 months. At that time, she was well. Ankle pain, according to the patient report, disappeared shortly after last visit. The results of physical examination were analogous to those observed previously. ASO titer was 396 IU/ml. Six months after the presentation at Emergency Department, the patient was well, with ASO titer reaching 262 IU/ml. Table summarizes the chronology of clinical findings and blood tests results.
Cultures of PTA aspirate revealed Streptococcus pyogenes as a predominant species as well as Prevotella oralis and Haemophilus parainfluenzae. Tonsil swabs, collected at the time the patient presented with PTA, yielded copious growth of Streptococcus pyogenes as well as normal throat flora, namely Streptococcus viridians, Neisseria spp, and Haemophilus parainfluenzae. Two control throat swabs revealed only normal oropharynx flora. Bacterial species were identified with the use of routine microbiological methods, drug susceptibility of S. pyogenes was assessed using Vitek 2 Compact (bioMérieux). Antimicrobial susceptibility results were interpreted according to the European Committee on Antimicrobial Susceptibility Testing recommendations (EUCAST 2013, version 3.1) []. Streptococcus pyogenes strains isolated from tonsil swabs and abscess aspirate demonstrated identical susceptibility patterns. They were resistant to erythromycin, clindamycin, tetracycline and fully susceptible to all other antibiotics tested. MLSi phenotype (inducible coresistance to macrolide, lincosamide and streptogramine) was detected with the use of double-disc diffusion testing [].</t>
  </si>
  <si>
    <t>A 17-year-old male presents to the emergency department with a three-day history of sore throat. He reports that the sore throat seems to be getting worse and is starting to affect the character of his voice. He also endorses headache and decreased appetite secondary to difficulty swallowing. The patient’s past medical history is significant for infectious mononucleosis one year ago, which he reports has fully resolved. He denies any recent sexual activity. Several of his friends at school have also been ill recently. His temperature is 102.4°F (39.1°C), blood pressure is 119/83 mmHg, pulse is 107/min, and respirations are 18/min. On physical exam you note the findings in Figure A. He has cervical lymphadenopathy, and he speaks with a muffled voice.</t>
  </si>
  <si>
    <t>A 64-year-old woman presents to the physician with fever and sore throat for 2 days. She was diagnosed with rheumatoid arthritis 15 years ago. She has had several flares necessitating admission to the hospital in recent years. She has developed deformity in her joints despite aggressive therapy. She is a candidate for surgical correction. Her temperature is 38.2°C (100.9°F), and the rest of her vital signs are stable. Physical examination of the hands reveals multiple swan-neck, boutonniere, and Z-line deformities. Ulnar deviation is evident in both hands. She has flat feet. There are 3 firm, nontender nodules palpated around the right elbow and one on the left Achilles tendon. The spleen is palpated 5 cm below the costal margin with a percussion span of 15 cm. Lymphadenopathy is absent on exam.</t>
  </si>
  <si>
    <t>A 16-year-old male presents to his pediatrician with complaints of malaise, fatigue, sore throat, and fever over the last several days. His vital signs are as follows: T 39.1 C, HR 82, BP 122/76, RR 14, and SpO2 99%. Physical examination is significant for splenomegaly, tonsillar exudate, and posterior auricular lymphadenopathy. The tonsils are not notably enlarged. Laboratory work-up shows an elevated lymphocyte count, atypical lymphocytes on a peripheral blood smear, and a positive heterophile antibody screen.</t>
  </si>
  <si>
    <t>A 7-year-old boy is brought to the physician for the evaluation of sore throat for the past 2 days. During this period, he has had intermittent nausea and has vomited once. The patient has no cough, hoarseness, or rhinorrhea. He had similar symptoms at the age of 5 years that resolved spontaneously. He is otherwise healthy. His temperature is 37.9°C (100.2°F), pulse is 85/min, and blood pressure is 108/70 mm Hg. Head and neck examination shows an erythematous pharynx with grayish exudates overlying the palatine tonsils. There is no lymphadenopathy. Rapid antigen detection test for group A streptococci is negative.</t>
  </si>
  <si>
    <t>A 57-year-old Asian woman experienced an abnormal feeling on the left side of her neck and difficulty breathing 90 minutes after eating a Chinese noodle dish containing roasted pork, egg, spinach, seasoned bamboo shoots, laver, and garlic. She was advised to call an ambulance by our triage nurse after telephone consultation and was transported to our hospital by a physician-staffed helicopter due to the long distance from her house to the hospital. She had a history of removal of a left sphenoid ridge meningioma one year earlier. She had experienced limited rigidity of her left neck and limited peripheral cold sensation on her left side in winter since approximately 10 years of age. She had experienced limited peripheral swelling of her left side and limited lower back pain of unknown origin on her left side several times. She had been suffering from oral allergy syndrome since she was young. She sometimes experienced a tingling sensation on her lips and an unpleasant feeling in her throat after eating some types of fruit. Those fruits included mandarins, oranges, kiwis, bananas, and pineapples. She was married but did not have any children.
On arrival, 180 minutes after eating the noodles, she had clear consciousness, and her blood pressure was 130/90 mmHg, her heart rate was 80 beats per minute, her percutaneous oxygen saturation was 100% under room air, and her body temperature was 36.9°C. She had left neck and chest swelling without color change. Her breathing difficulty subsided spontaneously.
The results of a blood analysis were as follows: white blood cells, 6,000/mm3; hemoglobin, 14.8 g/dL; platelets, 38.3 × 104/mm3; aspartate aminotransferase, 15 IU/L; alanine aminotransferase, 11 IU/L; total bilirubin, 0.5 mg/dL; total protein, 6.7 g/dL; glucose, 118 mg/dL; blood urea nitrogen, 18.9 mg/dL; creatinine, 0.90 mg/dL; amylase, 63 IU/L; creatine phosphokinase, 89 IU/L; sodium, 142 mEq/L; potassium, 4.0 mEq/L; chloride, 106 mEq/L; C-reactive protein, 0.05 mg/dL; prothrombin time, 10.6 (control, 11.9) sec; activated partial thrombin time, 26.4 (control, 26.9) sec; fibrinogen, 310 mg/dL; fibrin degradation products, 0.8 μg/mL; troponin T, 0.06 (0-0.14) ng/mL; and immunoglobulin E (IgE), 429 (0-250) IU/mL. Chest roentgen, an electrocardiogram and cardiac echography findings were all negative. Neck computed tomography (CT) with contrast medium and magnetic resonance imaging (MRI) revealed left-side-limited edema in the subcutaneous area and surrounding esophagus and bronchus (Figures , ).
These radiological findings excluded hemorrhaging or pseudoaneurysm formation. She underwent observational admission. After her edema improved, she was discharged on the third hospital day. A follow-up examination one week later showed complete resolution of the neck and chest edema. The results of a blood allergen test analysis (0-1.39) showed an elevated immunoglobulin E (IgE) level as follows: Japanese cedar, 44.30; betula alba, 7.27; orchard grass, 3.42; Japanese cypress, 2.65; dermatophagoides farina, 3.03; house dust, 1.85; and mugwort, 1.70. The remaining allergens were within the normal ranges, as follows (0-1.39): alder 1.35, timothy 0.85, 0.33; cat skin, 0.25; and Candida, 0.22. The results for the following allergens were all zero: ragweed, Alternaria, dog skin, wheat, buckwheat, soybean, rice, tuna, salmon, lobster, crab, milk, beef, chicken, pork, albumen, ovomucoid, peanut, sesame, kiwi, banana and latex. We also obtained blood samples from the bilateral upper extremities at the same time. The examination items that showed ≥5% laterality were as follows: white blood cell count (6,500/mm3 vs. 6,100/mm3), platelets (40.8 × 104/mm3 vs. 38.0 × 104/mm3, aspartate aminotransferase (12 IU/L vs. 11 IU/L), lactate dehydrogenase (184 IU/L vs. 172 IU/L) and creatinine (0.63 mg/dL vs. 0.58 mg/dL). We could not obtain permission from the patient for further a genetic analysis by skin biopsy.</t>
  </si>
  <si>
    <t>Maintenance Fluids Calculations</t>
  </si>
  <si>
    <t>Based on the patient's weight, what is the patient's maintenance fluid in mL/hr?</t>
  </si>
  <si>
    <t>An 8-year-old female patient, weighed 17 kg had been diagnosed with congenital heart disease during her infancy, with unknown follow-up and treatment. She was admitted to the hospital due to fatigue, shortness of breath while playing with friends one month ago. Physical examination on admission revealed a systolic murmur in the left para-sternum, trans-thoracic echocardiography showed a peri-membranous VSD extended into inlet septum with a diameter of 12 mm, left to right shunting, pressure gradient via the defect was 20 mmHg, a PDA of 4 mm in diameter. The patient had undergone trans-catheter PDA closure first, and 3 weeks later, TES was performed for VSD repair without robotic assistance.
Patient was placed in supine position; two arms were along the body, under general anesthesia with single-lumen endotracheal tube. We used a no.6 Knitted Dacron graft (Vascutek Terumo, Bangkok, Thailand) which was connected to the right common FA of the patient with an end-to-side anastomosis. The other side of the graft was connected to the arterial line of cardiopulmonary bypass (CPB) machine. Superior vena cava (SVC) and inferior vena cava (IVC) cannulae were inserted via internal jugular vein (IJV) and femoral vein, respectively, using Seldinger technique. When CPB was started, the arterial pressure gradually increased to 260 mmHg, we switched to bilateral FA cannulation with an additional 10Fr FA cannula (Medtronic, Inc., Minneapolis, Minn, USA) (the predicted size was 16Fr) was directly inserted to the left common FA. After having additional femoral cannula, the arterial pressure declined and stabilized at 180–200 mmHg.
Four soft trocars (Covidien, Hampshire, Mansfield, USA) were placed in the right chest of the patient, included: one 12 mm trocar in the 5th intercostal space (ICS) at the anterior axillary line as the main working port, one 5 mm trocar in the 4th ICS at the mid-axillary line as the second working port, one 5 mm trocar in the 5th ICS at mid-axillary line as the camera port and one 5 mm trocar in the 6th ICS at the mid-axillary line for left atrium sucker. After snaring SVC, we pushed a 16 G Surflo® I.V. Catheters (Terumo Corporation, Laguna, Philippines) into the ascending aorta through the anterior right chest wall and used it as an aortic root needle. Myocardial protection was achieved by antegrade Custodiol® HTK solution (Koehler Chemi, Alsbach-Haenlien, Germany) through aortic root after clamping aorta by Chitwood clamp (Scanlan International, Inc, St Paul, MN, USA).
Right atrium (RA) was opened in parallel to atrioventricular groove, atrial septal was intact, and we punctured atrial septum at the location of ovale foramen to place the drainage of left atrium. The defect was exposed by taking some stitches to hang RA wall to the pericardium. The lesion extended into the inlet septum, some chordae tendineae of septal and anterior leaflets of tricuspid valve crossed the defect. We split the commissure of anterior and septal leaflets to clearly expose the defect. The VSD was closed using artificial patch, continuous combined with interrupted suture (). The RA was closed using two layer of continuous suture after the split in the leaflets and the ovale foramen had been closed. After declamping the aorta, the heart re-beat in sinus rhythm, de-airing via aortic root needle. Extracorporeal circulation was then stopped and the operation was finished with no difficulties. CPB time and aorta cross-clamp (ACC) time were 185 and 150 min, respectively. Echocardiography prior to discharge showed completely closed VSD, no tricuspid regurgitation. The patient was discharged at the postoperative day 8 without any symptoms; no neurological or vascular complications were noted at the follow-up visit 3 months after surgery. Her family was very satisfied with the results ().</t>
  </si>
  <si>
    <t>A previously healthy 8-month-old boy presented to an outside hospital with high fever and cough since weeks. Because of C-reactive protein test showing elevated level and unspecific infiltration detected on chest x-ray, the child had been administered antibiotic therapy, consisting of beta-lactams and glycopeptides. Beside reduced levels of hemoglobin (5.6–7.8 mmol/L; normal range: 6.3–7.8 mmol/L) and platelets (90–125 × 109/L; normal range: 206.000–445.000 × 109/L), laboratory results were otherwise unremarkable. Results of infectious work-up [blood, cerebral spinal fluid and urine cultures, as well as polymerase chain reaction (PCR) for respiratory viruses and pathogens for atypical pneumonia] remained negative. Because of the persisting fever, the child was transferred to three other hospitals, recently to a tertiary care hospital, where he was evaluated for immunodeficiency. Bronchoscopy with bronchoalveolar lavage was carried out under general anesthesia with endotracheal intubation because of declining general condition. Since respiratory functions had deteriorated dramatically, the child was transferred to our institution for ECMO-support (at 4 wk after first presentation). No definite diagnosis existed to that time.
Medical history taking with the parents revealed an uneventful pregnancy and birth in Germany. The parents originated from the Balkan peninsula. The patient was the first child and the parents claimed to be healthy.
The child was unconscious due to deep analgo-sedation (Glasgow coma score of 3/15). The vesical temperature was 40.3°C, heart rate was 142 bpm, blood pressure was 82/44 mmHg (under continuous infusion with epinephrine 2.0 mcg/kg/min), weight was 7.9 kg (15th percentile, World Health Organization scale), length was 70 cm (30th percentile, World Health Organization scale), SpO2 was 70%. The pressure-controlled ventilation maintained peak inspiratory pressure of 60 cm H2O, positive end-expiratory pressure of 12 cm H2O, FiO2 of 1.0, frequency of 40 pm, and Horovitz quotient of 30. The spleen was 5 cm and the liver 6 cm, palpable in midclavicular lines. Our first clinical impression was that of a systemic infection with severe acute respiratory failure and unexplained lymphoproliferation.
Blood analysis revealed pancytopenia (hemoglobin: 4.3 mmol/L; leucocytes: 2.600 × 109/L; neutrophils: 800 × 109/L; platelets: 32.000 × 109/L), elevated levels of C-reactive protein (194 mg/L; normal range: &lt;5 mg/L), ferritin (1,020 μg/L; normal range: 14–103 μg/L), triglycerides (3.58 mmol/L normal range: 0.4–1.6mmol/L), and soluble interleukin-2 receptor (30,247 U/mL; normal range: 158–623 U/mL). Analyses of arterial blood gases showed pH of 6.9, pCO2 of 93 mmHg, pO2 of 30 mmHg, and base-excess of −11.1 mmol/L.
Initial imaging with x-ray showed a “white lung” () and with ultrasound showed hepato- and splenomegaly. Further imaging work-up, with either computed tomography or magnetic resonance imaging, could not be performed because of the instable situation.
Bone marrow biopsy showed a distinct hemophagocytosis upon cytologic evaluation (). The lymphocyte population consisted of CD3+ of 1,358 × 109/L, CD4+ of 1,119 × 109/L, CD8+ of 2,017 × 109/L, CD19+ of 487 × 109/L, and CD56+ of 2 × 109/L. Further immunological studies by fluorescence-activated cell sorting revealed normal fresh degranulation of natural killer cells (14.7%; normal: &gt;10%), and normal expressions of perforin, CD27, SAP, and XIAP on d 7. Microscopy of the patient's hairs showed no anomaly of pigmentation, as would be found in children with Griscelli syndrome.
The patient was further evaluated with cultures of blood, urine, tracheal secretion, and stool. Examinations for ova or parasites provided negative results. All serological and PCR tests for viruses (Epstein–Barr, human immunodeficiency, cytomegaly, hanta, adeno, influenza a/b, respiratory syncytial, herpes simplex, corona, metapneumonia, parvo B19, parainfluenza, rhino, and enterovirus) were negative. Also negative were results of testing for leishmania, legionella, aspergillus, Pneumocystis jirovecii, Hemophilus influenza b, and pneumococcus-PCR/immunoglobulins (IgG/IgM).
All tumors markers α-fetoprotein (2.5 IU/mL), neuron-specific enolase (10 ng/mL), ß-hCG (0.2 mIU/mL), homovanillic acid (10 mg/g creatinine), and vanillylmandelic acid (18 mg/g creatinine) were unrevealing.
A positive result from the interferon-gamma release assay (IGRA) was the first indication for possible TBC infection on d 12. However, microscopy for acid-fast bacilli (Ziehl–Neelsen stain) as well as PCR testing for TBC in the first bronchoalveolar lavage were both negative on d 6. Further along in the clinical course, PCR for TBC became positive and the bronchoalveolar lavage fluid culture returned positive results on d 40. The identified strain of M. tuberculosis was found to be sensitive to rifampicin, ethambutol, pyrazinamide, and isoniazid, retrospectively.
After discontinuation of the ECMO therapy, further imaging was performed. Magnetic resonance imaging of the central nervous system showed a miliary TBC and a computed tomography scan of the thorax revealed a calcified, round lesion consistent with TBC ().
Normal functional assays virtually excluded hereditary forms of HLH. A secondary form was therefore recommended to be considered, as was a complete diagnostic re-evaluation (infection, tumor, leukemia). The etoposide (VP-16, according to the HLH-04 protocol) was terminated after three doses administered according the HLH protocol.
The child presented with severe hypoxia, and respiratory and metabolic acidosis, despite pressure-controlled ventilation and attempts of high frequency oscillation ventilation, both at high inspiratory oxygen level. The decision was therefore made to start veno-venous ECMO immediately after admission of the patient (see ). A 16F Avalon double-lumen cannula (Getinge AB, Gothenburg, Sweden) was inserted in the right internal jugular vein. A blood flow of 120 mL/kg/min was established, which was sufficient to achieve a PaO2 between 85 and 95 mmHg, and a PaCO2 between 40 and 50 mmHg. Ventilator parameters were reduced as much as possible (peak inspiratory pressure of 16 cm H2O, positive end-expiratory pressure of 6 cm H2O, and FiO2 of 0.4) to guarantee “lung protection” as well as a transcutaneous O2-saturation of &gt;90%. After initiation of the ECMO catecholamine support with epinephrine and noradrenaline (maximum dosage of 0.18 μg/kg/min) was progressively weaned (until d 12).
Because of the fulfillment of criteria for HLH therapy, the HLH-94 protocol was initiated. The boy was treated with dexamethasone at 10 mg/m2 (d 2 to d 12, and reduced/discontinued at d 24) and etoposide at 150 mg/m2 (three doses in total, given on d 2 through d 7 and being stopped upon normal results from the T cell degranulation assay on d 7). Additionally, intravenous immunoglobulin (0.5 g/kg body weight, given on d 2 through d 15) was administered.
With the suspicion of TBC, on d 12 (positive IRGA) a 4-fold tuberculostatic therapy was started, consisting of rifampicin at 1 × 15 mg/kg body weight/d, ethambutol at 1 × 30 mg/kg body weight/d, pyrazinamide at 1 × 30 mg/kg body weight/d, and isoniazid 1 × 10 mg/kg body weight/d). At 10 d after the start of tuberculostatic therapy, there was improvement in the general condition (stable cardiorespiratory situation, rising tidal volumes). The C-reactive protein level declined from 194 mg/L to 5 mg/L on d 28, followed by the soluble interleukin-2 receptor from 30,247 U/mL to 931 U/mL on d 40. After full lung recovery, the ECMO support was able to be discontinued on d 28. The child was extubated on d 33.
The boy survived this critical condition. After discharge on d 66, the child was re-evaluated on d 98, d 460, and d 745. During that time, the boy developed frontotemporal hygroma (left side &gt; right side) with spontaneous resolution. Neurological assessment during the follow-up period revealed a mild retardation of development (speech and fine motor skills) and moderate aggressive behavior with beginning improvement.</t>
  </si>
  <si>
    <t>A healthy 22-year-old male participates in a research study you are leading to compare the properties of skeletal and cardiac muscle. You conduct a 3-phased experiment with the participant. In the first phase, you get him to lift up a 2.3 kg (5 lb) weight off a table with his left hand. In the second phase, you get him to do 20 burpees, taking his heart rate to 150/min. In the third phase, you electrically stimulate his gastrocnemius with a frequency of 50 Hz. You are interested in the tension and electrical activity of specific muscles as follows: Biceps in phase 1, cardiac muscle in phase 2, and gastrocnemius in phase 3.</t>
  </si>
  <si>
    <t>No patient weight is provided.</t>
  </si>
  <si>
    <t>A 2-month-old boy, weighing 2180 g, case of severe tracheomalacia was scheduled for aortopexy. The patient, born at 36 weeks of gestation, had undergone primary repair of tracheoesophageal fistula at 3 h of life, following which he had multiple failed attempts at extubation. Flexible fiberoptic bronchoscopy revealed significant tracheomalacia. Considering the severity of symptoms, aortopexy was planned.
At pre-anesthetic evaluation, all relevant investigations including chest X-ray and echocardiogram (ECHO) were normal. Trachea was already intubated with a size 3.5-mm internal diameter uncuffed tracheal tube with oxygen supplementation via T piece. Respiratory rate was 60/min with nasal flaring and substernal and intercostal retractions. On auscultation, there were no adventitious sounds in the chest.
Patient was nebulized with salbutamol and shifted inside the operating room. A 22-G intravenous cannula was in situ in the right basilic vein. After establishing standard monitors [electrocardiogram (ECG), non-invasive blood pressure (NIBP), SpO2, end-tidal carbon dioxide (EtCO2)], Injection ranitidine 2.5 mg, metoclopromide 0.3 mg, dexamethasone 1.2 mg, and fentanyl 4 mcg were administered intravenously. Anesthesia was induced with sevoflurane 4% in oxygen and ventilation assisted. Patient’s spontaneous respiratory efforts were maintained for dynamic assessment of tracheomalacia. A neonatal flexible fiberoptic bronchoscope (size 2.2 mm) was introduced through the tracheal tube. Oxygen was connected to the bronchoscope. The tracheal tube was then withdrawn over the bronchoscope to allow for assessment of trachea. The anterior tracheal wall near carina was seen to collapse with inspiration. Following assessment, the tracheal tube was reinserted into the trachea by railroading over the bronchoscope. Injection atracurium 1.2 mg was given and positive pressure ventilation started. Anesthesia was maintained with sevoflurane 2% in oxygen and Injection atracurium intermittent boluses. Left anterior third intercostal space thoracotomy was done. During dissection, the patient had an episode of hypotension and bradycardia (up to 70/min). Surgeons were requested to immediately relieve compression of the major vessels. A fluid bolus and Injection atropine 0.1 mg were administered. Heart rate and blood pressure returned to normal and surgery was resumed. After the surgical procedure was complete, neuromuscular block was reversed with Injection glycopyrolate 0.02 mg and Injection neostigmine 0.15 mg intravenously. sevoflurane 2% in oxygen was continued. Bronchoscope was re-inserted through the tracheal tube. The anterior tracheal wall no longer collapsed with inspiration. Intercostal and substernal retractions were also absent. Morphine 0.06 mg via caudal route and paracetamol suppository 80 mg were given for postoperative analgesia. Recovery from anesthesia was smooth. Trachea was extubated and patient was able to breathe normally. Throughout the intraoperative period, SpO2 remained ≥96%.</t>
  </si>
  <si>
    <t>A 22-year old female (height 158 cm, weight 43 kg, BMI 17.22) presented with a 1.5 year history of dysphagia in the retrosternal area. Initially, her dysphagia could be alleviated within 1–3 min by drinking warm water. Six months before hospital admission (Renmin Hospital of Wuhan University), her dysphagia became more frequent (once every 2–3 weeks), lasting for up to 10 min and could not be relieved by drinking warm water. The retrosternal chest pressure was relieved by regurgitation. These episodes were associated with hypersalivation and profuse sweating. Heartburn and retrosternal chest pain were frequent. Three weeks prior to hospitalization, she was unable to tolerate any solid food orally.
Physical examination showed no focal abnormality. Complete blood count, liver biochemistry, electrolytes and creatinine were normal. An upper gastrointestinal barium swallow study showed typical features of achalasia, demonstrating the bird's beak sign, no barium passed into the stomach during the investigation. Endoscopy, performed after two days of fasting, showed no mucosal abnormality although there was an increased resistance passing the endoscope through the LES.
Esophageal manometry using a 8-channel water perfused system with a Dent sleeve for LES pressure, showed high LES pressure and regular spontaneous rhythmic non-propagating contractions in the esophageal body at a frequency of 7/min, with an amplitude between 48 and 51 mm Hg (Figures , ). An initial dry swallow did not affect the contractile activity but two subsequent dry swallows decreased amplitude and frequency (Figure ). Subsequent wet swallows, using 20 ml of warm water, increased the frequency to 8/min and also increased the amplitude (Figure ). Drotaverine hydrochloride (40 mg intramuscular) was given to reduce the LES pressure; this markedly reduced the contraction frequency from 7 to 3/min without a significant effect on the amplitude; a subsequent wet swallow increased the frequency to 9/min and also increased the contraction amplitude (Figure ). Significant swallow-induced LES relaxation was still present.
Pneumatic balloon dilatation of the LES was performed uneventfully. The balloon was 35 mm in diameter, 80 mm in length, obtained from EndoFlex Germany. A small amount of blood was seen on the balloon after the dilation procedure. Omeprazole 40 mg iv daily was administered for 3 days. Thereafter the diet was advanced gradually as tolerated. By day 5, liquid meals passed down the stomach without pain. The patient was discharged 7 days after the dilatation. At the 23-month follow up visit, she reported a normal eating habit without any gastrointestinal symptoms.</t>
  </si>
  <si>
    <t>A 31-year-old female (height 165.6 cm, weight 53.1 kg) was scheduled for laparoscopic ovarian cystectomy. Her past medical history was depression, and she has been taking duloxetine, a SNRI 60 mg/day (in the morning) and mirtazapine, a noradrenergic and specific serotonergic antidepressant (NaSSA) 30 mg/day at bedtime for 1 year. Her mental status was stable and these medications was continued until the day of the surgery.
General anesthesia was induced with propofol, remifentanil, rocuronium, and maintained with propofol and remifentanil. Blood pressure and heart rate were stable during anesthesia, and fentanyl 200 μg and flurbiprofen 50 mg along with local infiltration of 0.75% ropivacaine 6.4 ml was administered for postoperative analgesia at the end of the surgery. The duration of the surgery and anesthesia were 80 and 123 min, respectively. She emerged from general anesthesia with no abnormal symptoms. As the surgery was performed in the evening, she skipped to take mirtazapine on the day of the surgery.
One day after the surgery, the patient took the usual dose of duloxetine 60 mg in the morning. Three to 5 min later, she claimed hot flush, stiffness around her neck and shoulders, and muscle rigidity in the masseter. The blood pressure was 112/78 mmHg, and the heart rate was 77 beats/min at this time. Medical examination showed neuromuscular abnormalities (muscle rigidity, myoclonus, stiff neck, tremor, and hyperreflexia) and autonomic instability (diaphoresis, tachypnea, tachycardia, and mydriasis). Myoclonus seizure had appeared intermittently and repeated mainly on the upper extremities and neck. During the myoclonus seizure, her heart rate and systolic blood pressure had raised to 140 beats/min and over 160 mmHg, respectively. The respiratory rate also raised to 28–35/min. She was febrile (37.4 °C) and complained of anxiety due to the situation occurring to her. Given the neuromuscular abnormalities and recent surgery, malignant syndrome and neuroleptic malignant hyperthermia were assumed and initial dose of dantrolene 40 mg was given immediately, and body cooling was started as well. Blood test revealed no abnormalities including creatine kinase level, thyroid hormone, glucose, and electrolytes. Dantrolene was not effective and anesthesiologists were consulted from the gynecologists for further treatment.
A diagnosis of serotonin syndrome was made based on the findings that the onset of the symptoms occurred immediately after taking SNRI; symptoms such as clonus, agitation, hypertension, and tachycardia corresponded to the diagnostic criteria (Hunter criteria; Table ) []. Duloxetine and mirtazapine were stopped. Serum levels of serotonin was 4 (normal range 57–230) ng/ml, dopamine 21 (&lt;20) pg/ml, noradrenaline 434 (100–450) pg/ml, and adrenaline 294 (&lt;100) pg/ml. Myoclonus seizures occurred repeatedly, tachycardia, tachypnea, and hypertension persisted, and the patient was admitted to the intensive care unit.
Clonazepam 1.0 mg (per oral) was given orally for anxiety and hyperexcitatory symptoms, and intravenous landiolol 0.01 mg/kg/min was started to control heart rate. Non-selective serotonin receptor antagonist, cyproheptadine (per oral, 12 mg), was also initiated to decrease intrasynaptic serotonin level through 5-HT blocking effect. Myoclonus had disappeared soon after administration of cyproheptadine and hemodynamic had stabilized. Intralipid (20%) 100 ml was also administrated for its transient ability to draw tissue and receptor bound serotonergic drugs into lipid-expanded intravascular compartment and trap them into a lipid phase. Additional cyproheptadine 4 mg was given 6 h later and 14 h later from its first administration to continue its antagonistic effect. Two days after surgery, the patient was transferred to the general ward. Serum serotonin effect site concentration was 3 ng/ml. Four days after the surgery, the patient was discharged from the hospital and advised to consult her psychiatrist for the further use of SNRI and NaSSA. (Timeline of development of symptoms and management is presented in Table ).</t>
  </si>
  <si>
    <t>We present a report of a 42-year-old woman of African descent who presented to our fertility clinic with a 10-year history of primary subfertility and amenorrhea of 6 years duration. She was a nurse in a medical ward and had no prior history of TB. She was separated from her husband and intended to use donated sperm for her assisted conception treatment. The timeline of interventions is summarized in Table below.
The initial evaluation for subfertility (in a different institution) included a diagnostic laparoscopy performed 8 years prior. The laparoscopy had revealed dense pelvic adhesions (“a frozen pelvis”), and an impression of tubal factor subfertility was made. It appears that there was no deliberate attempt to make a definitive diagnosis as to the cause of the tubal disease as no tissue samples or swabs were assessed. She had undergone a pelvic ultrasound scan which was reported as normal and had had a negative pap smear. There were neither further details of this prior evaluation nor a detailed summary from her previous gynecologist.
She neither had a history of pelvic pain nor a history suggestive of previous sexually transmitted infections. She did not report any symptoms suggestive of TB, notably fever, night sweats, or weight loss. She weighed 84 kg, was 1.58 meters tall with a body mass index (BMI) of 33. Her blood pressure was 140/90 mmHg and her clinical examination was essentially normal. She had no lymphadenopathy, acne, or hirsutism. Her gonadal hormone profile presented in Table was in keeping with PCOS.
The initial high estradiol (E2) levels and the biochemical evidence of PCOS prompted the use of an exogenous progestogen to initiate endometrial shedding prior to baseline ultrasound scan in preparation for an in vitro fertilization (IVF) cycle. She received medroxyprogesterone (Provera) 10 mg orally once a day for 5 days but had no withdrawal bleed. Two weeks after administration of medroxyprogesterone, she still reported no withdrawal bleed. A subsequent pelvic ultrasound scan showed normal uterine morphology. Her endometrial thickness was 3 mm with a small amount of endometrial fluid with no focal endometrial pathology demonstrable on ultrasound. Her ovaries had a polycystic appearance with multiple small peripheral follicles. A simple cyst of 4 cm in size was visualized in her right ovary. The ultrasound findings further supported the diagnosis of PCOS.
Endometrial assessment by hysteroscopy was undertaken in view of the presence of endometrial fluid and the negative progesterone challenge test. Hysteroscopy revealed an atrophic endometrium interspersed with areas of thickened endometrium, with no synechiae, and bilaterally obliterated and poorly visualized tubal ostia. Directed endometrial biopsies were taken. Histology showed endometrial tissue with a normal gland to stromal ratio. Numerous granulomas, with epithelioid histiocytes, plasma cells and Langhans giant cells were visualized in the stroma with some areas of necrosis. A Ziehl–Neelsen stain was negative. A conclusion of granulomatous endometritis possibly TB endometritis was made.
Following the diagnosis of TB, further investigations were carried out. A chest X-ray was normal and an HIV test was negative. Her liver function tests, creatinine, and full blood count were all normal. She was referred to a physician for TB treatment and plans for assisted reproductive technology (ART) were deferred. Treatment for TB endometritis was started by use of a 6-month regimen of antitubercular therapy. An initial 2-month intensive phase of four drugs (rifampicin 600 mg once daily, isoniazid 300 mg once daily, pyrazinamide 2000 mg once daily, and ethambutol 1600 mg once daily) was followed by a 4-month course of two drugs (rifampicin 600 mg once daily, isoniazid 300 mg once daily). In addition, a daily dose of pyridoxine 25 mg was administered throughout the 6 months. Antihypertensive treatment was initiated in the second month of antitubercular treatment. She was evaluated after a week of initiation of TB therapy and thereafter every month by the physician. She was compliant on all her medications and experienced no adverse effects. She reported no menses despite completing the TB treatment. The supervising TB physician did not consider it clinically relevant to re-biopsy after a full course of TB therapy.
She maintained her desire for conception and revisited the fertility clinic. A follow-up ultrasound scan showed less evident endometrial fluid compared to the initial pelvic ultrasound scan with an endometrial thickness of 3.7 mm. Her ovaries were still polycystic but the 4 cm right ovarian cyst was no longer present. A decision on a second trial of endometrial stimulation/shedding was made. She received one cycle of low-dose combined oral contraceptive pills but reported no menses. There was no change in endometrial findings on follow-up scan.
A conclusion of endometrial scarring post-endometrial TB was made. Further attempts at endometrial stimulation were discouraged in view of her very high endogenous E2 and complete failure of response to exogenous steroids. The options of surrogacy or adoption were discussed while further ART interventions were discouraged due to the endometrial damage.</t>
  </si>
  <si>
    <t>A 3-month-old 1.1 kg female domestic short-haired cat presented with a 3-week history of seizure and generalized pain. The cat had been fed on a commercial kitten food. The cat was examined by the referring veterinarian because of its seizures and reluctance to move for 2 weeks before its initial presentation. The cat’s serum biochemistry profile revealed hypocalcemia (total calcium 1.27 mmol/L; reference range 1.97–2.82 mmol/L) and high alkaline phosphatase (835 U/L; reference range 14–192 U/l), aspartate transaminase (70 U/L; reference range 0–32 U/L), total bilirubin (3.4 mg/dL; reference range 0–0.9 mg/dL), and creatine kinase (3470 U/L; reference range 0–394 U/L). Urea and creatinine were within the reference range (Table ). The complete blood count revealed no abnormalities, and the tests results for feline leukemia virus antigen and antibodies against feline immunodeficiency virus were negative. Based on these results, the referring veterinarian suspected that the cause of the seizures was related to hypocalcemia. Therefore, the cat was treated with levetiracetam (20 mg/kg, IV, BID) and calcium gluconate 8.5% (0.5 ml/kg, PO, BID) for 2 weeks, but its clinical condition did not improve.
On initial examination, the cat was lethargic and reluctant to move. Her appetite was good, but defecation appeared to be painful. Her family history, including whether the parents and littermates were alive, was unknown. Serum biochemistry revealed that both the total and ionized calcium levels were low (total calcium 1.55 mmol/L; reference range 2.05–3.02 mmol/L, ionized calcium 0.74 mmol/L; reference range 1.20–1.35 mmol/L). Radiographs showed skeletal demineralization and the presence of abnormally wide growth plates on the long bones (Fig. ). The differential diagnosis for hypocalcemia with skeletal abnormalities includes primary hypoparathyroidism, nutritional secondary hyperparathyroidism, renal secondary hyperparathyroidism, intestinal malabsorption, and VDDR. However, the cat had previously eaten a well-balanced commercial kitten food (Science Diet kitten, Hill’s Colgate Japan) before becoming obviously ill, so nutritional deficiency seemed highly unlikely. The levels of parathyroid hormone (Immulyze intact PTH III, Simens) and 1,25-dihydroxycholecalciferol (1,25(OH)2D RIA Kit FR, Immunodiagnostic Systems) were determined as elements of the differential diagnosis of hypocalcemia. The parathyroid hormone level was high (99.7 pg/ml; reference range 8.0–25.0 pg/ml), but 1,25-dihydroxycholecalciferol (23.1 pg/ml) was low compared with the levels of healthy cats (Table ). The urinalysis revealed a specific gravity of 1.032 and traces of protein. No bacterial growth was detected in the urine culture. Consequently, VDDR was suspected to be the cause of hypocalcemia and skeletal abnormalities in this cat.
On the day after the initial examination, the cat experienced seizures suspected of being hypocalcemic in origin. Slow administration of calcium gluconate 8.5% IV (1 ml/kg) was commenced, and the cat was continuously monitored by ECG, but no arrhythmia was detected. Several calcium gluconate 8.5% (1 ml/kg, IV) treatment stopped the seizures, but neither her total calcium nor her ionized calcium level increased sufficiently. Therefore, the cat was administered 8.5% calcium gluconate (starting dose, 1.0 ml/kg/h) in 0.9% saline solution by continuous rate infusion (CRI) (Table ).
Starting on day 2, the cat received alfacalcidol (Onealfa Tablets) by CRI of 8.5% calcium gluconate. However, she did not respond well to treatment with the standard dose (0.01–0.03 μg/kg, PO, SID) of alfacalcidol so the CRI of 8.5% calcium gluconate was stopped. The final dose of alfacalcidol was very large, and 1 μg/kg, PO, TID was required to maintain the cat’s general condition in the absence of CRI of 8.5% calcium gluconate (Table ). On day 16, the cat was discharged from hospital. Radiographs were taken again 2.5 months after the initial treatment was started. The cat’s bone structure was still abnormal, but showed marked improvement (Fig. ).
The hypocalcemia, low 1,25-dihydroxycholecalciferol, radiographic changes, and poor response to alphacalcidol led us to suspect a genetic abnormality of vitamin D metabolism in this cat. In humans and cats, type 2 VDDR is characterized by high 1,25-dihydroxycholecalciferol levels. In the cat examined in the present study, 1,25-dihydroxycholecalciferol was lower than in healthy cats, and a huge dose of alfacalcidol was required to maintain her serum calcium concentration. Hence, we decided to analyze the gene sequences of CYP2R1 (ENSEMBL Gene ID ENSFCAG00000011383) and CYP27B1 (ENSEMBL Gene ID ENSFCAG00000014701) in healthy control cats (2 intact males and a spayed female, all domestic short-haired cats owned by our veterinary teaching hospital staff) and the affected this cat. The feline CYP2R gene contains five exons encoding an enzyme of 501 amino acids, and the CYP27B1 gene contains nine exons encoding an enzyme of 508 amino acids. We designed primer pairs for polymerase chain reaction (PCR) amplification of the individual exons and the immediate flanking regions of CYP2R1 and CYP27B1. Genomic DNA was extracted from the blood samples with the DNeasy Blood &amp; Tissue Kit (Qiagen). PCR amplification of the fragments was performed with 20 ng of genomic DNA in GoTaq Green Master Mix (Promega), which also contained the primer pair (10 μM each) and water, with 35 cycles of 30 s at 95 °C, 30 s at 55 °C, and 1 min at 72 °C (Table ). The PCR product sizes were verified as correct by agarose gel electrophoresis separation, the products were prepared for sequencing using the FastGene Gel/PCR Extraction Kit (Nippon Genetics), and then sequenced by a commercial DNA sequencing service (Fasmac). The sequences from the healthy cats and the affected cat were compared, and although no abnormalities in the CYP27B1 gene were present in the affected cat, we did identify the CYP2R1 variant in exon 5; c.1380G &gt; G/A and c.1386del in this cat (Fig. ). The variant, where T is deleted at position c.1386, causes a frameshift mutation in the gene, resulting in chain termination at the position encoding amino acid 481 in the full-length 501 amino acid protein (p.Phe462Leufs*20). The partial sequence of CYP2R1 exon 5 in this cat has been available in the DDBJ/EMBL/GenBank databases under the accession number LC424161. We next searched for the structural information for proteins affected by this nonsynonymous mutation using the protein database HOMOCOS (). The amino acid sequences between human and feline CYP2R1 were almost identical (96.7% identity) and all contact sites with vitamin D3 were conserved (Additional file ). Therefore, we referred an already-known crystal structure of human CYP2R1-vitamin D3 complex (pdb ID 3c6g) []. Two contact sites (amino acids 487 and 488) in the CYP2R1-vitamin D3 complex were missing in the sequence from the affected cat (Additional file ), suggesting that the T deletion in exon 5 of CYP2R1 linked with a remarkable loss of CYP2R1 protein function in this cat.
After the CYP2R1 variant was identified, the affected cat was treated with a standard dose of calcitriol (Caldemin; 2.5–3.5 ng/kg, PO, SID), which restored the total and ionized calcium levels to within the reference range. The level of 25-hydroxycholecalciferol at − 80 °C stored serum sample of initial presentation was additionally measured using a commercial ELISA kit (HVD3 ELISA Kit, MyBioSource). The low level of 25-hydroxycholecalciferol (12 nmol/L) compared with the levels of healthy cats (Table ) is likely to type 1B VDDR in humans [–].</t>
  </si>
  <si>
    <t>4.4 ml/hr</t>
  </si>
  <si>
    <t>Respone is based on human maintenance fluid calculations, but this patient is a cat.</t>
  </si>
  <si>
    <t>A 30-year-old woman who was diagnosed with CF at 3 months of age with a homozygous ΔF508 mutation had been infected with P. pulmonicola at least since October 2009. She was also chronically infected with P. aeruginosa and was placed on the active waiting list for BLT from January 2009. From October 2008 to March 2010, the patient had a dramatic deterioration of her pulmonary functional tests with a chronically persistent septic status and intermittent fever. During this period, apart from P. aeruginosa (resistant to all antibiotics except colistin), a colistin-resistant Gram-negative bacterium was isolated seven times from Cepacia agar. P. pulmonicola was eventually identified by routine analysis by matrix assisted laser desorption ionization–time of flight mass spectrometry (MALDI-TOF) [] and confirmed with 16S rDNA gene sequence analysis (99.9% of similarity with GenBank accession number AF139175) (Strain 9405935, Fig. ). The susceptibility profile of this organism demonstrated that the organism was initially susceptible only to tigecycline and rifampin, and resistant to ticarcillin, ticarcillin/clavulanic acid, tazocillin, ceftazidime, imipenem, gentamycin, tobramycin, fosfomycin, rifampin, trimethoprim/sulfamethoxazole, colistin, ciprofloxacin and cefpirome.
In March 2010 the patient was admitted to the adult CF reference centre in Marseille for persistent haemoptysis and worsening of pulmonary infection. On examination she had fever (38°C), and had lost 4 kg in weight during the previous 6 months. She presented stage III NYHA dyspnoea, cough and purulent expectoration. Axial lung computed tomography (CT) scan showed a large parenchymal cavity that occupied almost all the right upper lobe, with a thick lobulated wall (maximum thickness 7.5 mm) interpreted as an infarct pneumonia (Fig. ). Relevant laboratory findings included a white blood cell count of 17, 78 G/L, a platelet count of 405 G/L, C-reactive protein at 36 mg/L, and fibrinogen at 4.8 g/L. She had a new procedure of therapeutic bronchial artery embolization and an intravenous antibiotherapy with tigecycline 50 mg × 2/day, colistin 2M × 3/day, meropenem 2 g × 3/day and tobramycin 450 mg/day was started. The patient received continuous oxygen therapy and intermittent non-invasive ventilation but there was poor progress after 14 days with such therapy. The patient finally underwent BLT 3 weeks after her admission. Her condition worsened 5 days after lung transplantation and P. aeruginosa was isolated from blood cultures, lymph nodes, bronchoalveolar lavage, liquid drains and pleural liquid whereas P. pulmonicola was cultured only from one bronchoalveolar lavage on postoperative day 19. A CT scan of the lung showed diffuse bilateral alveolar opacities and a parenchymal cavity 40 mm in diameter in the left upper lobe (Fig. ). The patient died 3 weeks after the BLT from multi-organ failure in septic shock despite intravenous antibiotherapy.</t>
  </si>
  <si>
    <t>An 86-year-old female patient with right rotator cuff injury was admitted for arthroscopic shoulder surgery under general anesthesia. The patient was 148 cm in height and 54 kg in weight, with hypertension controlled by medication, and otherwise generally healthy condition. The physical examination and laboratory finding including a chest x-ray taken for preoperative evaluations were normal and pulmonary function was normal.
No premedication was given. Initial blood pressure was 170/85 mmHg, heart rate 67 beats/min, oxygen saturation 97%, and body temperature 36.0℃. Thiopental 250 mg, lidocaine 40 mg, and rocuronium 40 mg were administered intravenously. Endotracheal intubation was done successfully without complication. After intubation, the lung sound on both lung fields was remarkable and tube was fixed at 21 cm. For maintenance of anesthesia, oxygen 2 L/min, N2O 2 L/min, sevoflurane (1.2-2.0 vol%) were administered, and remifentanil was continuously infused 0.1-0.2 µg/kg/min. Volume-control ventilation was maintained with a tidal volume of 450 ml, with respiration rate of 12/min. Airway pressure was maintained to 20 cmH2O, whereas partial pressure of end-tidal carbon dioxide (PETCO2) was kept to 35-38 mmHg. When one hour passed after induction, PETCO2 was reduced to 32 mmHg and tidal volume and respiration rate were controlled to 450 ml and 10/min respectively. Airway pressure was maintained to 19 cmH2O.
The patient's position during surgery was a beach chair position. Blood pressure and heart rate were maintained 100-130/60-80 mmHg and 54-85 beats/min, respectively; there were no remarkable events throughout the entire surgical procedure. After the surgery, pyridostigmine 15 mg and glycopyrrolate 0.4 mg were given for reversal of muscle relaxation. Extubation was achieved after confirmation of self-respiration and consciousness recovery. The patient was transferred to the PACU. Total operation time was 145 minutes and, whereas total anesthesia time was 175 minutes. In the PACU, she had no any complaints and patient's oxygen saturation was maintained at 97% in room air for 10 minutes. She was transferred to the general ward. Postoperative pain control was achieved by fentanyl 800 µg and ketorolac 90 mg along with ramosetron 0.3 mg mixed to normal saline 80 ml. A patient-controlled analgesia device (Accufuser Plus®, Woo Young Medical, Korea; flow rate 1 ml/hr, bolus volume 1 ml, lock out time 15 min) was employed to deliver the medication intravenously for pain control.
At 5 hours after the end of surgery, she complained of facial edema with a lot of sputum tingeing with a small amount of blood. Vital signs were 160/80 mmHg for blood pressure, 98 beats/min for heart rate, 36.3℃ for body temperature and 96% for oxygen saturation. After 30 minutes, she complained of severe respiratory difficulty and the oxygen saturation was decreased to 91-95%. 3 L/min of oxygen was supplied immediately by nasal cannula, and then the saturation on the pulse oximetry was maintained to 98%. A chest x-ray and a chest CT scan were taken for evaluation of dyspnea. On chest x-ray () and chest CT scan, it was discovered that there were subcutaneous and intermuscular emphysema on the patient's face and neck, and pneumomediastinum (). Fiberoptic bronchoscopic examination was performed by an otolaryngologist with the patient in a waking state, and there were no remarkable findings except a mild laceration in the oral cavity.
Pneumomediastinum was confirmed so that an antitussive agent, antibiotics and 5 L/min of oxygen were administered for treatment. The patient's symptoms were improved on post-operative day 2, and oxygen supply was removed on post-operative day 3. She was discharged on post-operative day 7.</t>
  </si>
  <si>
    <t>A 58-year-old Caucasian male was admitted to the Oncology Department with polyuria and weight loss of seven kilos in the last two weeks. Risk factors were arterial hypertension and cigarette smoking. Syndrome of inappropriate antidiuretic hormone secretion (SIADH) with hyponatremia was noticed and tumour search detected metastatic liver disease and enlarged hilar lymph nodes. Blood analysis revealed elevated levels for neuron-specific enolase (NSE), carcinoembryonic antigen (CEA), cytokeratin-fragment (Cyfra), and liver biopsy specified metastases of a small cellular, poorly differentiated neuroendocrine tumour (NET). Further staging via FDG PET disclosed the primary tumour near the left lung hilus with positive mediastinal and hilar lymph nodes, diffuse osseous filiarisation, and a sole metastasis in the right adrenal gland. Oncology board consensus decision was made for palliative chemotherapy with cisplatin and etoposid (80 mg/sqm, 120 mg/sqm, resp.) as common for dedifferentiated NET.
Two weeks after the initial bout of chemotherapy the patient presented in the Surgical Department with incomplete ischemia of the left lower limb. Immediate interventional recanalization failed and open embolectomy of the tibiofibular trunk with consecutive venous patch plasty was performed. Histological examination of the embolus showed no malignancy. Three days later reischemia of the same leg occurred and the operative procedure was repeated. Search for embolic origin by CT-scan disclosed clinically inapparent pulmonary embolism in three lobes. Mural thrombus of the infrarenal aorta with perifocal aortic wall calcifications appeared identical to the initial staging CT (). All tumour manifestations showed downsizing in response to the previous systemic chemotherapy. High doses of unfractioned heparins (up to 40.000 IE/d) were administered for anticoagulation. Aspirin was given for platelet inhibition. Activated partial thromboplastin time presented sufficiently prolonged with normal levels of antithrombin III when symptoms began.
Again four days later, transfemoral and pedal embolectomy with multilocular patch plasties of all native crural arteries as ultima ratio due to complete ischemia had to be performed. Decision was made for major amputation as symptoms recurred again two days later. After clinical signs of ischemia of the contralateral limb and respiratory impairment, all parties agreed upon the best supportive care concept. The patient died three days later after an additional stroke with left-sided hemiplegia. Autopsy revealed right-sided heart failure due to new severe pulmonary embolism as cause of death, as well as heavy thrombotic alterations of all major arterial vessels ().</t>
  </si>
  <si>
    <t>A 16-year-old Korean male presented with two episodes of lower leg paralysis in the morning for two weeks. The first episode was a sudden onset of complete paralysis below distal thigh, and he had no other symptoms except leg paralysis. At a local clinic, physical examination revealed symmetric hyporeflexia in both lower extremities. Laboratory analysis revealed mild hypokalemia as below: Na+, 146 mmol/L; K+, 2.7 mmol/L; Cl-, 110 mmol/L; tCO2, 25 mmol/L without abnormality of blood gas analysis. Electrocardiogram showed only sinus tachycardia without atrioventricular block or prominent U wave. However, further evaluation for hypokalemia was not taken, even though there was a suggestion of hypokalemic paralysis, and the patient was just advised to eat an adequate dietary supplement of potassium rich food without any medication by the local clinic. After two weeks, a second episode of leg weakness occurred after morning meal. The muscle weakness was initially subtle but progressed in paralysis below knee and lasted for 6 hours. Thus, he was referred to our hospital. However, the patient visited our clinic the next day, when the paralysis had already subsided.
There was no past history or family history of neuromuscular disease and endocrinologic disease, except for his aunt's hypothyroidism. His appearance was reasonably healthy. His height was 168 cm, his weight was 60 kg, and his body mass index was 21.2 kg/m2. His blood pressure was 110/80 mmHg, his respiratory rate was 18 breaths/min, and his body temperature was 36.8℃. He had mild tachycardia with a heart rate of 100-110 beats/min,, but he had no palpitations. Neurological examination findings, including deep tendon reflex and cerebellar function test, were normal. The laboratory findings showed normal complete blood cell counts, normal electrolytes as below: Na+, 140 mmol/L; K+, 4.4 mmol/L; Cl-, 104 mmol/L; tCO2, 24 mmol/L. The laboratory findings also showed his normal liver, kidney and cardiac functions. His urine K+ excretion rate was normally low as 0.96 of urine K+/Cr ratio (range, 0-2). There were no abnormal laboratory findings to suggest adrenal hormone excess or primary hyperaldosteronism: adrenocorticotropic hormone, 40.11 pg/mL (range, 3.5-13.2 pg/mL); cortisol, 8.7 µg/dL (range, 5.0-23.0 µg/dL); 17 hydroxyprogesterone, 2.68 ng/mL (range, 0.6-3.42 ng/mL); aldosterone, 180.29 pg/mL (range, 38.9-306.8 pg/mL); renin, 6.13 ng/mL/hr (range, 1.31-3.95 ng/mL/hr); epinephrine, 0.030 ng/mL (range, 0-0.30 ng/mL); norepinephrine, 0.087 ng/mL (range, 0-0.80 ng/mL). Thyroid function test (TFT) revealed a hyperthyroidism: serum free thyroxine (fT4), 2.10 ng/dL (range, 0.70-1.48 ng/dL); triiodothyronine (T3), 2.95 ng/mL (range, 0.58-1.59 ng/mL); thyroid-stimulating hormone (TSH), &lt;0.025 mU/L (range, 0.35-4.94 mU/L). Thus, he was diagnosed as having hypokalemic paralysis due to hyperthyroidim. Serum TSH receptor antibodies were high at 6.05 IU/L (range, 0-1.75 IU/L), thyroid stimulating antibody was positive, and thyroid ultrasonography revealed diffuse enlarged thyroid and increased vascularity. These findings were consistent with Graves' disease as etiology of his hyperthyroidism. He was initially treated with lower dose of an antithyroid drug (methimazole 5 mg once daily) than usual, since his thyrotoxic symptoms and signs were absent, and his level of serum fT4 was not prominent. In addition, a β-adrenergic blocker (propranolol) was simultaneously used for preventing the paralysis. After two weeks, a follow-up TFT revealed aggravated hyperthyroidism, and he was treated with increased dose of antithyroid drugs. After two months, since his heart rate and blood pressure were stable and he had no symptoms of palpitations, β-blockers were discontinued successfully. No paralysis has occurred for one year, as hyperthyroidism can be well controlled with antithyroid drugs ().</t>
  </si>
  <si>
    <t>A 32-year-old Japanese woman with AN and pancytopenia was admitted to the psychiatric department of our hospital. The patient had no other remarkable medical or familial history. There was no occupational history indicating exposure to organic solvents (e.g., benzene).
The patient started binge eating and purging at 14 years of age. At 16 years of age, she was diagnosed with AN, and had multiple hospitalizations in this regard. The patient’s first admission to our department was at 26 years of age, at which time her body mass index (BMI) was 9.5 kg/m2 (weight, 22 kg; height, 152 cm). The patient had mild, transient bicytopenia with a low white blood cell (WBC) count (3000 cells/μL; reference range, 4000–9000 cells/μL) and a low hemoglobin (Hb) level (10.3 g/dL; reference range, 12.0–15.2 g/dL). These abnormalities improved with nutritional therapy. At the time of discharge, the patient’s weight had improved, with a BMI of approximately 17 kg/m2.
At 32 years of age, the patient’s binge eating and purging behavior worsened again, and she began to lose weight. Five months prior to her eventual hospitalization (BMI, 15.0 kg/m2), no hematological abnormalities were identified. At 46 days prior to the hospitalization, because of ongoing fatigue, she was examined by a hematologist at our hospital. The patient was determined to be underweight, with a body weight of 31.9 kg and a BMI of 13.8 kg/m2. Peripheral blood analysis confirmed pancytopenia with the following findings: low WBC count, 2500 cells/μL; low neutrophil count, 1010 cells/μL (reference range: 1600–5400 cells/μL); low eosinophil count, 0 cells/μL (reference range: 80–610 cells/μL); low basophil count, 30 cells/μL (reference range: 0–180 cells/μL); normal lymphocyte count, 1280 cells/μL (reference range: 1060–4190 cells/μL); normal monocyte count, 200 cells/μL (reference range: 90–690 cells/μL); low reticulocyte count, 14.4 × 103 cells/μL (reference range: 35.0–125.0 × 103 cells/μL); low Hb level, 6.1 g/dL; high mean corpuscular volume, 113.9 fL (reference range: 80.0–100.0 fL); and low platelet (Plt) count, 10.6 × 104 cells/dL (reference range: 11.7–32.9 × 104 cells/dL). Blood biochemistry studies showed low serum levels of folate (3.0 ng/mL; reference range: 4.0–19.9 ng/mL) but normal serum levels of iron and vitamin B12. The etiology of pancytopenia was tentatively suspected to be folate deficiency, and thus the patient was prescribed folate at 10 mg/day. At 28 days prior to hospitalization, the folate level had recovered within normal limits, but the peripheral blood counts had worsened (low WBC count, 2200 cells/μL; low Hb level, 2.5 g/dL; and low Plt count, 8.6 × 104 cells/dL).
The patient was temporarily admitted to the hematology department of our hospital for blood transfusions. Laboratory tests yielded negative results for autoimmune disorders (including systemic lupus erythematosus), malignant lymphoma, infectious diseases, hemophagocytic lymphohistiocytosis, and hypersplenism. The patient was offered nutritional therapy to improve her weight but she refused and was therefore discharged following blood transfusions. After discharge, outpatient follow-up was performed by the hematology department. However, the patient’s hematologic condition did not improve. Despite receiving blood transfusions twice monthly, the patient was eventually hospitalized once again for severe anemia. The patient believed that her hematological problems were not related with her eating behavior and persistently refused nutritional therapy. Finally, she was admitted to the psychiatric department to receive both hematologic and psychiatric support.
On admission, the patient’s body weight was 30 kg and BMI was 13.0 kg/m2. The vital signs were normal. Physical examination revealed no abnormalities other than bilateral non-pitting edema of the lower legs. The patient received folate (10 mg/day), sertraline (50 mg/day), zolpidem (10 mg/day), and flunitrazepam (2 mg/day). Toxicology analysis was not performed because the patient presented no feature indicating exposure to toxic compounds. Laboratory findings were as follows: low WBC count, 2100 cells/μL; low reticulocyte count, 9.4 × 103 cells/μL; low Hb level, 5.7 g/dL; and low Plt count, 4.1 × 104 cells/dL. The differential WBC count was normal. Serum levels of iron, folate, vitamin B12, zinc, copper, and ceruloplasmin were within normal ranges. These results did not identify the etiology of the hematological problems. The patient persistently refused nutritional therapy and hoped that some other causes of pancytopenia (other than malnutrition) would be found. On hospitalization day 7, upon obtaining written informed consent from the patient, we performed bone marrow aspiration and biopsy.
Bone marrow aspiration revealed low counts of nucleated cells (5.5 × 103 cells/μL; reference range: 100–200 × 103 cells/μL) and megakaryocytes (&lt; 15.6 cells/μL; reference range: 50–150 cells/μL). Bone marrow biopsy revealed hypoplasia but no dysplasia and confirmed the presence of fatty replacement with no gelatinous material (Fig. ). It was notable that the bone marrow displayed fatty marrow findings without any evidence of GMT, which would generally indicate IAA. Moreover, no chromosomal abnormalities or cell surface abnormalities were found upon bone marrow examination. T1-weighted images from thoracolumbar magnetic resonance imaging confirmed homogenous high signal intensity, characteristic of fatty marrow. Detailed examination of peripheral blood and bone marrow findings indicated IAA. However, despite the absence of bone marrow features typically seen in malnutrition, the patient’s hematological abnormalities manifested after a decrease in body weight. Thus, although the biopsy findings indicated IAA, we considered that the nutritional etiology of pancytopenia could not be thoroughly ruled out.
After bone marrow aspiration and biopsy, the patient accepted nutritional therapy. At the time of admission, she was given 600 kcal/day intravenously. Energy intake was gradually increased, and the patient received oral nutrition amounting to 3200 kcal/day from hospitalization day 14 until discharge. The patient’s caloric intake was strictly managed, which resulted in weight restoration (Table ). The hematological abnormalities began to improve with the gradual increase in caloric intake. By hospitalization day 11, the patient’s condition had improved to the point where she no longer required transfusions. On hospitalization day 28, the patient’s weight was 38.1 kg, and her BMI was 16.5 kg/m2. Pancytopenia had also improved (Table ), and thus the patient was discharged the following day. Bone marrow aspiration and biopsy performed 2 weeks after discharge yielded normal findings. Because both blood and bone marrow findings improved after implementation of nutritional therapy alone, the final diagnosis was pancytopenia secondary to malnutrition.</t>
  </si>
  <si>
    <t>78.1 ml/hr</t>
  </si>
  <si>
    <t>Based on the day 28 weight of 38.1kg, which corresponds more closely to ideal body weight.</t>
  </si>
  <si>
    <t>A 25-year-old male (height 167.7 cm, weight 52.2 kg) was admitted for surgical resection of a 5.0 × 1.8 cm right-cheek mass, suspected to be a lymphangioma. The patient had undergone a tonsillectomy under general anesthesia 8 years previously without any perioperative complication. The medical history indicated no drug or food allergies. Preoperative examinations of the patient were within normal limits. Therefore, anesthesia was applied according to the American Society of Anesthesiologists physical status classification 1.
The patient received no premedication prior to admission to the operating theater. The blood pressure upon arrival in the operating theater was 158/76 mmHg, with a heart rate of 80 beats/min (BPM), and with a peripheral oxygen saturation of 99% of room air. Anesthesia was induced using an injection of 50 µg fentanyl, 150 mg propofol and 50 mg rocuronium. Endotracheal intubation was performed using a cuffed oral right-angle endotracheal tube. Anesthesia was maintained using oxygen, air and desflurane. As a prophylactic antibiotic, 1 g cefazoline was administered intravenously immediately after completion of induction.
One hour after commencing surgery, the surgeon requested a reversal of the neuromuscular blockade to monitor patency of the facial nerve. Anesthesia was consequently maintained using desflurane alone. At this time, the blood pressure was 105/74 mmHg and the heart rate 92 BPM. We administered 1 mg atropine and 1.5 mg neostigmine intravenously to reverse neuromuscular blockade. After approximately 5 min, the blood pressure was decreased to 75/42 mmHg and the heart rate was 104 BPM. We administered 10 mg ephedrine intravenously. After 5 min, the blood pressure was 67/36 mmHg and the heart rate was 94 BPM. To manage persistent hypotension, 200 µg phenylephrine were administered, followed by a rapid infusion of lactated Ringer's solution. However, the non-invasive blood pressure decreased further to 57/36 mmHg and the heart rate rose to 138 BPM. As we asked the surgeon, there was no drug administration at surgical field.
Invasive blood pressure monitoring was applied to the left dorsalis pedis artery and additional venous access was established. The arterial blood gas analysis showed all parameters to be within normal limits. Continuous infusion of norepinephrine at 0.03 µg/kg/min was initiated. Consequently, the blood pressure was restored to 99/51 mmHg and surgery was resumed.
Because the patient was covered with a drape, clinical manifestation of anaphylaxis, including skin rash, could not be observed. Approximately 1 h after the hypotension event, a skin rash was detected over the entire body. There were no respiratory symptoms, including wheezing or increased airway pressure. The patient was suspected to be suffering from an anaphylactic reaction. A 10 µg bolus of epinephrine was given and a continuous epinephrine infusion was initiated at 0.03 µg/kg/min. The patient responded to the epinephrine and soon maintained hemodynamic stability; with a blood pressure of 110/52 mmHg and a heart rate of 78 BPM. Norepinephrine infusion was discontinued and epinephrine infusion was tapered to maintain the restored blood pressure. The patient was treated using 4 mg chlorpheniramine together with 5 mg dexamethasone to prevent delayed reactions and halt any further histamine release. After 1.5 h, the blood pressure was 110/46 mmHg without any inotropic or vasopressor support. The skin lesion was improved and no respiratory symptoms were detected throughout the completion of the surgery. The total operation time was 200 min and the anesthesia time 245 min. The total infused crystalloid, colloid, estimated blood loss and urine output were 1,300 ml, 500 ml, 50 ml, and 450 ml, respectively ().
The patient was transferred to the intensive care unit for close monitoring and was placed on ventilatory support. An hour after arrival, the patient was extubated uneventfully without any neurologic deficit. Blood tests were obtained for the tryptase level, which was elevated to 37.9 µg/L (normal range: 0-11 µg/L) and the total serum immunoglobulin E (IgE) level, which was increased to 675 Ku/L (normal range: negative). The patient was transferred to a general ward 1 day later and was discharged after 1 week without any complications. The consultant allergist recommended that allergen tests be conducted.
Skin-prick and intradermal tests were performed after 1 month to determine the cause of the anaphylaxis. The skinprick tests were negative for all agents, whereas the intradermal tests were positive for atropine (wheal of 4 × 4 mm for a stock concentration of 0.5 mg/ml; wheal of 4 × 4 mm with 1 : 5 dilution) (). The intradermal skin tests also demonstrated a positive result for rocuronium (wheal of 5 × 5 mm for a stock concentration of 10 mg/ml; wheal of 4 × 4 mm with 1 : 10 dilution). The patient was advised to completely avoid atropine and is currently receiving regular check-ups at the outpatient department of plastic surgery.</t>
  </si>
  <si>
    <t>A 12 year old female presents to the emergency department with a complaint of abdominal pain. She has a past medical history of Hirschsprung's disease with a staged repair. At day four of life she underwent colostomy with resection of the affected colon from the mid transverse colon to the junction of the sigmoid and descending colon. She returned two months later for the second stage of the repair where she underwent a Soave endorectal pull thru procedure with incidental appendectomy. Since that time she has had a good recovery without constipation or diarrhea and with normal bowel function. She had recurrent tonsillitis and underwent tonsillectomy. She takes no medications. The patient complains of a sharp bilateral lower abdominal pain for the past two days that is greatest in the suprapubic region. She has had three episodes of emesis. She denies a change in bowel habits. She does report a low grade fever to 101. She denies dysuria, frequency or hematuria. She denies any history of sexual activity. Her first menstrual period was six weeks ago and her second menstrual period was two weeks ago. She complains of a new watery vaginal discharge for less than one day.
Upon arrival her vitals are temperature 37.2 degrees Celsius by mouth, pulse 125 beats per minute, blood pressure 124/64 mm/Hg, and pulse ox 96% on room air. She weighs 45 kg. She is in obvious moderate distress due to her pain. Her bowel sounds are normal. Her abdomen is non distended and firm with voluntary guarding. It is diffusely tender, but worse in the bilateral lower quadrants without rebound tenderness. There is no CVA tenderness. On pelvic exam, there are normal external genitalia Tanner stage II-III with intact hymen from six o'clock to nine o'clock position. There are no obvious perineal or vaginal lacerations. A watery blood tinged discharge is present. The rest of her physical exam is unremarkable.
Initial labs showed a normal metabolic panel. The complete blood count had a normal hemoglobin and hematocrit with a white blood cell count of 14.5 thou/cu mm. There were 64 percent neutrophils and 18 percent lymphocytes with 11 percent bands. Her urinalysis had 219 red blood cells and 85 white blood cells with a large amount of squamous epithelial cells. It was nitrite negative and had large leukocyte esterase. Urine PCR for gonorrhea and chlamydia was negative. The urine pregnancy test was negative. CT scan of the abdomen and pelvis with IV and oral contrast showed normal lung bases, liver, spleen, pancreas, gallbladder, kidneys, and adrenal glands. There were no bowel obstruction noted. Bilateral dilated tubular structures were noted in the lower quadrants, adnexal regions, with wall enhancement and surrounding inflammatory changes consistent with bilateral pyosalpinx. There were no distinct drainable abscesses seen.
See Figures , , , and : CT scan of the abdomen and pelvis with intravenous and oral contrast showing bilateral dilated fallopian tubes with pronounced wall enhancement
She received IV fluids and morphine for pain control, and she was admitted to gynecology service for IV antibiotics. In the hospital she received IV Ampicillin, Gentamicin, and Flagyl for four days until she was afebrile for forty eight hours and had a normal white count. She was discharged on a ten day course of Doxycycline and Flagyl with Motrin for pain control. At six month telephone follow up she denies any recurrence of her symptoms.</t>
  </si>
  <si>
    <t>A 54-year-old Caucasian male presented to our emergency department with severe epigastric pain with intractable nausea and vomiting over 48–72 hrs. The patient reported early satiety, a 30 lb. weight loss over 3 weeks and was unable to tolerate anything by mouth. Additionally, the patient had developed a left lateral neck mass which progressively increased in size over the past 9 months. Patient denied tenderness to palpation of the mass and dysphagia. His past medical history was significant for papillary carcinoma of the thyroid, GERD, chronic hepatitis C, polycystic kidney disease (PKD) and chronic kidney disease (CKD). His past surgical history was remarkable for thyroid malignancy treatment with radioactive iodine and total thyroidectomy in addition to a gunshot wound. Family and social history were not significant. On physical exam, a left supraclavicular soft tissue mass 6 cm in diameter was appreciated, it was non-tender with no submandibular lymphadenopathy. A soft tissue mass was also palpable on the anterior abdominal wall in the epigastric region.
Given the patient's malignant history, significant weight loss in the past 3 weeks with increasing left mass size, nausea, vomiting and abdominal pain, the patient was admitted for further evaluation. Initial studies included ultrasound of the abdomen for workup of acute pancreatitis with findings unremarkable for the body of the pancreas and the head and tail not being visualized. CT of the abdomen and pelvis revealed pulmonary nodules in the posterior segment of the right lower lobe of the lung and bronchiectasis of the left lower lobe, PKD and bilateral hepatic cysts. Oncology was consulted, and a CT of the chest and neck were ordered in addition to a chest X-ray that was remarkable for two pulmonary nodules with an enlarged paratracheal node. Pulmonology was consulted, and the patient was recommended to follow-up in 6 months for surveillance of the pulmonary nodules. ENT and Surgery were consulted, and an excisional lymph node biopsy was pursued due to suspicion of possible recurrence of previous thyroid malignancy or metastases (). Histopathology revealed metastatic mucin-producing adenocarcinoma. Immunoperoxidase studies performed on paraffin sections revealed the neoplastic cells were positive for CK20 and CDX2. The cells were negative for CK7, TTF-1, p63, prostate-specific antigen (PSA), prostatic acid phosphatase (PACP), chromogranin, synaptophysin and S-100. Gastroenterology was consulted, and an esophagogastroduodenoscopy was performed including an antral biopsy of the gastric mucosa, which was unremarkable. Colonoscopy of the lower GI tract revealed a 6 cm obstructing mass in the transverse colon and a biopsy was taken revealing findings of invasive well to moderately differentiated adenocarcinoma with mucinous features, focally present in subserosal tissue with ten of eleven regional lymph nodes involved. This confirmed the primary cancer originated from the colonic mass and metastasized to the left lateral neck mass (Virchow’s node).
Surgical intervention was pursued with resection of the transverse colon with primary end-to-end anastomosis. This resolved the intractable acute abdomen. The patient was offered a trial of chemotherapy; however, given the patient’s diagnosis of metastatic colonic carcinoma, further treatment options were not pursued. Further discussion with the patient and his family led to a decision to proceed with comfort care measures.</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</si>
  <si>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</si>
  <si>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A 48-year-old Hispanic female with a past medical history of multiple bariatric surgical procedures, presented with increasing lower extremity edema secondary to worsening chronic lymphedema.
During her hospitalization she developed altered mental status in the setting of elevated serum ammonia levels, despite having no history of liver disease.
Vertical banded gastroplasty was initially performed at age 28, but it failed to produce adequate weight loss. Consequently, three years later, she underwent open surgical revision which was converted to an open RYGB with concomitant cholecystectomy. She had lost over 100 kg since the first bariatric procedure (166 kg preoperatively to 63 kg on presentation). However, she developed multiple complications, including chronic lower extremity lymphedema, small bowel obstruction requiring multiple surgical interventions, malabsorption secondary to short bowel syndrome, multiple vitamin deficiencies, wet beriberi requiring chronic thiamine replacement, osteoporosis causing a left hip fracture, and chronic low back pain.
In July 2018, she initially presented to the emergency department with increasing lower extremity edema secondary to chronic lymphedema. On arrival, her vital signs were within normal limits. Her physical exam was remarkable for bilateral lower extremity pitting edema extending to the hips and an otherwise unremarkable exam. A chest x-ray disclosed no cardiomegaly, pulmonary congestion or pleural effusion. Her last echocardiogram showed an ejection fraction of 60% with no wall motion abnormalities.
During the admission, the patient received intravenous bumetanide with significant improvement. However, she developed waxing and waning episodes of confusion, and on day 3 of her hospitalization became overtly encephalopathic. She was disoriented to person, time, and space, with bizarre affect as well as incoherent speech, unable to recognize her close relatives. On physical exam patient was lethargic and had asterixis. According to her family members, the patient had previous episodes where she would become lethargic, but never to this degree.
Laboratory results were significant for an elevated plasma ammonia level of 173 μmol/L (normal range 11 - 50 μmol/L), despite downtrending transaminases (aspartate transaminase of 32 U/L and alanine transaminase of 55 U/L). Results were also significant for macrocytic anemia (hemoglobin 10.3 g/dL and mean corpuscular volume 107/5), a low serum albumin of 2.3 g/dL, low serum protein of 4.1 g/dL, alkaline phosphatase of 122 U/L, total bilirubin of 0.5 mg/dL, and an elevated international normalized ratio (INR) of 1.65. Serum glucose and zinc levels were borderline low at 62 and 54 (normal range 56 – 134 μg/dL), respectively. The laboratory findings are further outlined in . Additionally, her plasma salicylate level, acetaminophen level, and urine toxicology were all negative. Despite a history of vitamin deficiencies, she was receiving chronic thiamine and vitamin B12 replacement at home, with normal values on admission. Noncontrast computed tomography (CT) imaging of the head disclosed no evidence of acute infarction, intracranial hemorrhage, or mass effect. The patient had no history of prior liver conditions or cirrhosis, and even though she presented elevation of transaminases and the INR, these abnormalities resolved once her condition improved. The patient had no other laboratory findings for compatible signs of cirrhosis (no thrombocytopenia or hyperbilirubinemia), neither physical stigmata suggestive of acute or chronic liver disease. Abdominal ultrasound was performed to further elucidate liver panel abnormalities and demonstrated only mild hepatic steatosis with no evidence of cirrhosis or ascites.
She was treated with supportive care and lactulose. The following day she had numerous bowel movements, and her serum ammonia level came down to 24 μmol/L. Given the fast clinical improvement and resolution of laboratory abnormalities after supportive treatment, a liver biopsy was not indicated. Once her clinical condition improved and her mental status returned to normal, the patient was discharged from the hospital.</t>
  </si>
  <si>
    <t>MELD Na (UNOS/OPTN)</t>
  </si>
  <si>
    <t>What is the patient's MELDA Na score?</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</si>
  <si>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</si>
  <si>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Result is calculated for the time of admission at the local hospital, which is the only timepoint that can be calculated, because bilirubin is not included at any other time points. According to the vignette, the MELD Na score likely increased (to 22 or even higher depending on her bilirubin at the time) and then subsequently decreased (probably all the way down to 6 which is the lowest score), but exact values cannot be calculated.</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</si>
  <si>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</si>
  <si>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A 71-year-old male, who had been diagnosed as alcoholic liver cirrhosis and chronic hepatitis C (genotype 1b) 7 years previously, was admitted for change of mental status. The patient had history of old pulmonary tuberculosis, a cataract operation 10 years ago and several orthopedic surgeries for the fracture of both lower extremities due to a traffic accident 20 years ago. The patient had no diabetes, and hypertension. Familial history was unremarkable. Smoking history was 40 pack years, and the patient stopped smoking 12 years ago. He had 135 g of daily alcohol (three bottles of raw rice wine) consumption for 30 years. Alcohol intake was discontinued four years ago.
Chronic ill appearance, drowsy mental status, crusts and bruises of lower extremities, and abdominal distension without fluid wave shifting were noted on physical examinations. The patient did not complain of claudication ordinarily. His cirrhosis status was Child-Pugh B without ascites and hypersplenism-related pancytopenia. The initial vital signs were blood pressure 150/70 mmHg, heart rate 64 beats/min, respiration rate 20 breaths/min, and body temperature 36℃. The initial laboratory evaluation revealed WBC 26240 (poly: 85.6%) cells/µL, hemoglobin 11.3 g/dL, platelet 1.76×105 cells/µL, prothrombin time 14.7 seconds, international normalized ratio 1.26 (71%), ammonia 168 µmol/L, blood urea nitrogen 27.3 mg/dL, creatinine 3.16 mg/dL, albumin 2.83 g/dL, total bilirubin 2.11 mg/dL, aspartate aminotransferase 34 U/L, alanine aminotransferase 16 U/L, γ-glutamyl transpeptidase 18 IU/L, alkaline phosphatase 220 IU/L, lactate dehydrogenase 605 IU/L, Na 137 mEq/L, K 4.7 mEq/L, Cl 114 mEq/L, HCV RNA 1.9×105 copies/mL and metabolic acidosis. Urine sodium was 61 mEq/L with no proteinuria. Chest X-ray showed mild cardiomegaly and emphysematous change. Non-enhanced abdominal CT was unremarkable. Before admission, he had difficulty in defecation for 4 days. The first impression was grade III (graded with the West Haven Criteria) hepatic encephalopathy caused by constipation. Lactulose enema and administration of empirical antibiotics for infection of unknown origin related to leukocytosis were applied. And six months previously, his creatinine level was only 1.63 mg/dL. We suspected of type II hepatorenal syndrome overlapped with hepatic encephalopathy.
Although the combination therapy of fluid replacement and diuretics started, his creatinine level was elevated to 4.02 mg/dL during 10 days. The urine output for 24 hours decreased to 500 mL. The patient was diagnosed with HRS on the basis of the criteria outlined by the International Ascites Club.
On the admission day 11, intravenous terlipressin along with albumin (20%, 100 mL) was administered for the management (1 mg q 4 hour) of HRS. He complained of severe cramping abdominal pain whenever a single injection of bolus terlipressin was administered. This complication was common, predictable, and thoroughly controlled by means of low-dose analgesics. Total urine output per 24 hours increased to 3,650 mL in 10 days when terlipressin was injected. On the admission day 22, the patient's clinical condition improved, and mentality changed to a clear state. The chemistry panel of the patient decreased: BUN to 30.63 mg/dL and creatinine to 1.29 mg/dL. However, on the day 11 after the terlipressin administration, the patient complained of severe tearing pain of both lower legs, and discoloration, necrosis, and gangrene were found in the 1st and 2nd toes of the right foot and the 1st, 2nd and 3rd toes of the left foot on physical examination. The terlipressin injection was discontinued immediately. These changes progressed to ischemia throughout the feet, accompanied by poor peripheral pulse and delayed wound healing as shown in .
The wounds in both feet were dressed with hydrocolloid solution. The patient still complained of continuous pain in both legs. A 3-phase bone scan showed an increased tracer uptake in the right 1st and 2nd toes, and the left toes and tarsal bone. The diagnosis assumed by the bone scan was osteomyelitis with osteonecrosis of the left foot, and osteomyelitis of the right foot (). However, 3-dimension angiographic CT of lower extremities was not taken due to the risk of contrast-induced nephropathy.
For prevention of the enlargement of gangrene or necrosis and healing tissue damage, intravenous alprostadil (prostaglandin E1, 10 µg/day) was administered continuously. The patient's serum creatinine stabilized during alprostadil administration. On the 6th day after the administration of alprostadil, an oral sildenafil (cGMP-specific phosphodiesterase type 5 inhibitor, 50 mg q 12 hour) was added to promote the peripheral circulation. Two days later, his urine output decreased to 445 mL/24h. Serum creatinine level was elevated to 2.8 mg/dL again. The combination therapy of alprostadil and sildenafil was withdrawn promptly. Intravenous furosemide was reintroduced. One week later, the creatinine level decreased again to 1.3 mg/dL, and urine output was held at 2,000 mL/24h. The mental status and clinical condition improved well ().
Though the lesions of the right 1st and 2nd toes were recovered completely by vigorous dressing and medication, the left three toes with severe necrosis and osteomyelitis needed to be amputated finally (). On the admission day 44, a 3-dimension angiographic CT of the lower extremities was taken. It showed moderate stenosis with multifocal calcified plaques at both femoral and popliteal arteries, and mild stenosis at both anterior tibial arteries. The orthopedic surgeons' final decision was amputation of the left leg below the knee including necrotic three toes.</t>
  </si>
  <si>
    <t>HAS-BLED Score for Major Bleeding Risk</t>
  </si>
  <si>
    <t>What is the patient's HAS-BLED score?</t>
  </si>
  <si>
    <t>A 22-year-old female presents to the hospital with fatigue and recent headaches. She has a documented history of GERD, a kidney transplant, hypertension, evident with several recorded high blood pressure readings in the clinic. Moreover, she suffered a transient ischemic attack of her brain last year. She was solemn when she shared that she tends to drink more than moderately, admitting to a weekly average of 12 alcoholic beverages. In her medical history, there are suggestive signs of hepatic cirrhosis and confirmed renal disease. She denies using any medication known to exacerbate bleeding such as NSAIDs, anticoagulants or antiplatelet agents. Furthermore, there is no clear history of a major bleeding episode or any known coagulation disorders that predispose her to bleeding. The blood investigations, including coagulation studies, show a stable international normalized ratio (INR), and hemoglobin levels within range. The plan is to continue monitoring her closely and to adjust her therapies as needed based on the comprehensive assessment of her case.</t>
  </si>
  <si>
    <t>A 72-year-old male, with no significant medical history, arrives at the clinic for his routine check-up. He's always been vigilant about his health, sharing that his treatments have never included medications known to increase bleeding risk like NSAIDs or anticoagulants. His health history is largely unremarkable, void of any significant incidents like a stroke or major bleeding episodes. His moderate drinking habits have him consuming roughly four alcoholic beverages on a weekly basis. His regular tests convey a consistence in the international normalized ratio (INR) levels without demonstrating a propensity to fluctuate. On evaluation of the hepatic and renal panels from recent labs, all parameters fall within the regular spectrum, demonstrating no abnormalities suggestive of liver or renal disease. Hypertension too seems to be absent from his health portrait, with normal blood pressure measurements documented continuously. The patient's overall health status will continue to be managed with his current lifestyle modifications, and the potential need for future, more targeted interventions will be based on periodic check-ups and evaluations.</t>
  </si>
  <si>
    <t>A 57-year-old male who has been experiencing general malaise for the last few weeks presents to the clinic. His medical history is void of any stroke or hypertension incidents. In terms of his alcohol use, he admits to consuming approximately four drinks per week. His medication regimen does not include any medicines with potential bleeding risk. However, earlier lab tests pointed to abnormalities in his liver function (AST and ALT were 4 times the normal value), suggesting liver disease. Likewise, he also has evidence of kidney disease as indicated by his elevated creatinine levels and a decrease in glomerular filtration rate. His past medical records also reflect an event of significant gastrointestinal bleeding, requiring admission. Recent coagulation profiles showed a consistently maintained international normalized ratio (INR), a vital measure of blood clotting. The healthcare team is putting emphasis on monitoring his case comprehensively as the overall findings suggest complexity in his medical condition.</t>
  </si>
  <si>
    <t>A 33-year-old male presents for a regular follow-up, already diagnosed with hypertension which is being managed with antihypertensive medication. His medication list also includes a specific anticoagulant recommended following a major bleeding episode he experienced post a minor surgical procedure. He reports indulging in about 4 alcoholic drinks per week but does not have any known history of liver disease. Similarly, the renal profile from his last workup did not suggest any kidney diseases. There exists no record of a past stroke event either. The international normalized ratio (INR) that came into assessment during his previous lab tests have demonstrated stability thus far. The team continues to monitor his blood pressure and other vital signs closely in light of the overall evaluation.</t>
  </si>
  <si>
    <t>A 75-year-old gentleman with a complex medical history recently presented to the clinic. He's had a history of stroke and uncontrolled hypertension - although his blood pressure has been consistently well-controlled in recent times. His medication regimen includes anticoagulants, initiated after his stroke. A routine panel of blood tests revealed a fluctuating international normalized ratio (INR) raising some concern. Besides, the patient admits to consuming about 5 alcoholic drinks per week. Despite his advanced age, there's no obvious renal compromise, evidenced by normal creatinine and glomerular filtration rate over time. Similarly, tests related to liver function have consistently returned normal, pointing away from any liver disease. Observations and findings have made his case a focal point of interest for the healthcare team, gearing up for a thorough examination and diligent monitoring.</t>
  </si>
  <si>
    <t>A 58-year-old male presents to the clinic this week. No past stroke history can be detected in his medical records. He is currently being prescribed aspirin and NSAIDs, following an incident of significant bleeding he endured following a routine procedure. His alcohol intake can be considered heavy, consuming up to 12 drinks per week. Most recently, his blood pressure readings have tended to be elevated at above 170 mmHg for the systolic pressure. Interesting to note, his INR has remained stable during his multiple lab tests, eliminating any concerns about its lability. He also shows laboratory evidence of chronic kidney disease, necessitating further management. This man's condition mandates comprehensive dynamic monitoring and individualized care planning given the complexity of his medical situation.</t>
  </si>
  <si>
    <t>A 67-year-old gentleman finds himself at the health clinic with recurrent bouts of fatigue. His health voyage is blotted with a longstanding diagnosis of hypertension, which despite efforts, seems to be poorly controlled recently. The patient does not take any blood-thinning agents or other medications known to predispose to bleeding. He admits to mild alcohol consumption, quantifying it at about three drinks per week. His medical trajectory also reveals a major bleeding episode that occurred in the past, claiming a substantial amount of hospital time. Simultaneously, liver function tests over the past few months have indicated irreversible, end stage liver fibrosis, necessitating further evaluation and intervention. However, renal pathologies remain absence in his medical dossier as the renal function records show no signs of compromise. His presentation poses several noteworthy elements for his care-continuum, requiring diligent medical management and monitoring.</t>
  </si>
  <si>
    <t>An 82-year-old man arrives at the clinic for a regular check-up. His medical history is notably marked by a stroke a few years ago. Despite his age, he maintains strict control over his lifestyle, abstaining completely from alcohol. In recent times, his INR readings have been somewhat variable, demonstrating instances of lability. His blood pressure readings have always been consistently within a normal range, ruling out any active case of uncontrolled hypertension. His history also lacks any recorded episodes of major bleeding, and further probing reveals an absence of any known predisposition to bleeding disorders. His renal panel suggests no discernable renal impairment, with a satisfactory glomerular filtration rate and normal creatinine levels. His late-age and complex health history make for a notable challenge warranting particular attention from the healthcare team.</t>
  </si>
  <si>
    <t>A 72-year-old man finds himself back at the primary care clinic for his routine visit. His well-documented history of uncontrolled hypertension is a notable element in his case file. However, there is no suggestion of a previous stroke episode. He admits to patronizing alcohol, averaging 9 drinks per week. Also noteworthy in his medical history are his liver and renal conditions. On the one hand, he has had numerous hospital admissions over the years with repeated indications of hepatic impairment due to ALD. His renal function has also been a concern, as demonstrated by an elevated creatinine and reduced glomerular filtration rate. Contrarily, when it comes to bleeding risk, he has never been prescribed any medication known to accelerate bleeding. His coagulation profiles are quite stable, demonstrated by a consistently normal international normalized ratio (INR). These medical intricacies necessitate a comprehensive, focused approach to his healthcare management.</t>
  </si>
  <si>
    <t>A 65-year-old gentleman is currently under review. He has a history of suffering a stroke a few years back. Despite his age, the gentleman does not have hypertension and maintains a controlled blood pressure. As for lifestyle habits, he confesses to a modest intake of alcohol, limiting himself to about two drinks per week. His medical regimen includes clopidogrel due to his previous stroke. Unfortunately, due to routine knee surgery two months ago, he suffered significant bleeding that prolonged his hospital stay.  Liver function tests consistently returned within normal parameters, alleviating any fear of liver disease. This unique combination of factors makes for a complicated case requiring further investigation and careful monitoring.</t>
  </si>
  <si>
    <t>A 78-year-old man is in the clinic once again for his regular review. His medical history is marked with hypertension, despite active measures, we are seeing a pattern of elevated blood pressure readings consistent with uncontrolled hypertension. However, he does not have a past history of stroke. His blood work frequently demonstrates an unpredictable INR, raising a concern regarding coagulation stability. Contrarily, he has been lucky to have escaped any major bleeding episodes in the past. He has kept his kidney health intact, with a well-preserved glomerular filtration rate and creatinine levels. The patient concedes that he indulges in alcohol, consuming an average of 7 drinks per week. These multifaceted elements in his medical condition warrant ongoing attention and active management.</t>
  </si>
  <si>
    <t>An 85-year-old gentleman presented to the clinic with an array of complex medical issues. His past is significantly marked by a stroke incident and a major bleeding episode that required a prolonged period of recovery. He is on antiplatelet medications for secondary prevention of stroke. His test results have indicated renal impairment - a high creatinine level and a low glomerular filtration rate are concerning markers. His liver function tests have consistently returned healthy, denying any history of associated hepatic disease. Regarding lifestyle, he enjoys an occasional cocktail, consuming about four drinks per week on average. As for his blood pressure, it is well-managed and within acceptable limits. This elderly man's assortment of health conditions makes him a noteworthy patient requiring coordinated care and closer monitoring.</t>
  </si>
  <si>
    <t>62-year-old male presents to our clinic for a routine check-up. His medical case is intricate, starting with a lead point of liver cirrhosis indicated by raised liver enzymes over time. He's had an event of major bleeding that necessitated hospital care. Further complicating factors include his labile INR over successive tests. He has not been on any medications that risk exacerbating bleeding. His alcohol consumption is limited to a single drink per week. In contrast to the aforementioned issues, his case does show some positive signs, one of them of being free from hypertension. His overall healthcare management requires diligent monitoring with a keen focus on various elements of his complex medical history.</t>
  </si>
  <si>
    <t>A 70-year-old man presents to the clinic with concerns about recent headaches and breathlessness. His detailed medical history confirms he had suffered a stroke in the past. Additionally, he has been dealing with hypertension for a while now, unfortunately, recent BP measurements reflect a lack of effective control (164/113). The patient denies alcohol consumption, reporting zero drinks per week. There are no predominant signs of renal impairment in his profile, as witnessed by normal creatinine levels and glomerular filtration rate. Coagulation profiles including INR have consistently been within the normal range without noteworthy fluctuations. The patient's history does not note any significant bleeding episodes, suggesting no predisposition to bleeding. Our team is closely following up on his case, preparing for a thorough evaluation of his condition for most appropriate management.</t>
  </si>
  <si>
    <t>A 59-year-old gentleman presents with episodes of dizziness and palpitations. His past medical history is significant for a previous stroke and uncontrolled hypertension (182/111). Blood tests showed a labile INR, with a supra-therapeutic range nearly 80 % of the time. A significant bleeding event that happened following a minor operative procedure is documented and requires careful attention. His lifestyle habits include moderate alcohol consumption, tallying approximately three alcoholic beverages per week. Despite the other complexities, the liver function tests appear normal suggesting no liver disease, and similar is the case with his renal function tests showing no kidney impairment. His case is closely following up considering all the clinically important traits.</t>
  </si>
  <si>
    <t>A 61-year-old male patient with a complex medical history comes in for his routine follow-up. He has a history of hypertension but currently his blood pressure profile shows well-controlled readings (118/61). While there's no history of stroke, he had an unfortunate incidence of significant bleeding during a dental extraction. His past lab work identifies the presence of liver disease, with elevated liver function parameters and a diagnosis of liver cirrhosis. Furthermore, his renal profile indicated renal disease with abnormally high levels of creatinine (baseline 3.2 mg/dL) and decreased glomerular filtration rate. He does not regularly take aspirin, NSAIDs, or clopidogrel, and he denies any tobacco or alcohol consumption. Given the complex landscape of his health, his care plan necessitates careful consideration of all health aspects.</t>
  </si>
  <si>
    <t>A 70-year-old gentleman presents with a complex clinical picture. He has a history of poorly controlled hypertension, with his recent primary care visit demonstrating 172/114. His INR results have fluctuated and have been elevated above therapeutic range in more than two-thirds of measurements in the last year. He maintains a strict no-alcohol rule, keeping his weekly alcoholic drink count to zero. He denies use of aspirin, clopidogrel, or NSAIDs. A few years back, unfortunately, he was admitted due to a significant instance of bleeding requiring transfusion. His liver function tests have been normal, excluding any ongoing liver disease. His health status requires vigilant monitoring given the various vital factors involved.</t>
  </si>
  <si>
    <t>An 80-year-old male presents with multiple medical issues. His medical history is significant for a stroke that happened 2 years ago. Recently, his liver function tests have repeatedly presented abnormalities, confirming a diagnosis of cirrhosis. As for his lifestyle, he allows himself about four alcoholic drinks each week. His medication list includes daily aspirin given his history of stroke. Despite the potential risk, the patient does not have uncontrolled hypertension; his blood pressure readings have been consistently within normal limits. His kidney functions have consistently proven to be within the normal range as per the panel of renal tests. This gentleman’s case warrants thoughtful handling, and the medical team is required to persistently assess and manage the complex interplay of his medical conditions.</t>
  </si>
  <si>
    <t>Sodium Correction for Hyperglycemia</t>
  </si>
  <si>
    <t>What is the patient's corrected sodium concentration in terms of mEq/L?</t>
  </si>
  <si>
    <t>A previously healthy 8-year-old boy is brought to the physician by his mother because of 6 months of progressive fatigue and weight loss. His mother reports that during this time, he has had decreased energy and has become a “picky eater.” He often has loose stools and complains of occasional abdominal pain and nausea. His family moved to a different house 7 months ago. He is at the 50th percentile for height and 25th percentile for weight. His temperature is 36.7°C (98°F), pulse is 116/min, and blood pressure is 85/46 mm Hg. Physical examination shows tanned skin and bluish-black gums. The abdomen is soft, nondistended, and nontender. Serum studies show:
Na+ 134 mEq/L
K+ 5.4 mEq/L
Cl- 104 mEq/L
Bicarbonate 21 mEq/L
Urea nitrogen 16 mg/dL
Creatinine 0.9 mg/dL
Glucose 70 mg/dL
Intravenous fluid resuscitation is begun.</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</si>
  <si>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</si>
  <si>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A 42-year-old Korean man visited a cardiology clinic for management of hypertension. He had been prescribed antihypertensive and lipid-lowering agents for years and had been followed up irregularly. The medications include losartan 50 mg, fenofibrate 160 mg and a combination capsule of simvastatin 20 mg and ezetimibe 10 mg. On routine checkup, his blood test results were as follows: fasting plasma glucose (FPG), 555 mg/dL; serum creatinine, 2.29 mg/dL; serum sodium, 140 mmol/L; serum triglycerides, 792 mg/dL; glycosylated hemoglobin (HbA1c), 14.9%. Review of his medical history revealed that he had high FPG levels 1 year prior to the consult during a routine checkup. Treatment had been recommended, but he did not undergo further workup. Our patient was immediately started on oral hypoglycemic agents and was referred to the department of ophthalmology for evaluation of diabetic retinopathy.
On ophthalmic examination, his uncorrected visual acuity (UCVA) was 20/200 and best corrected visual acuity (BCVA) was 20/20 in both eyes. He had mild myopia, with -3.25 diopters (D) of spherical equivalent in both eyes, which was the same as his own glasses. The lenses were clear in both eyes and the remainder of the ophthalmic examination findings were normal.
Three days after the first visit, our patient presented with a sudden decrease in visual acuity and glare in both eyes that had begun 2 days prior to consult. Metformin hydrochloride (Glycomin tablet) 500 mg twice a day was prescribed. However, his blood glucose level was not optimally controlled, so he was prescribed insulin with titration. On the day he was treated with insulin and his blood glucose level began to be controlled, he felt an abrupt decrease in his visual acuity. His BCVA was 20/40 in the right eye and 20/50 in the left eye. A dilated slit-lamp examination showed fine feathery snowflake opacities in the posterior subcapsular region of bilateral lenses (Fig. ). Dilated fundus examination revealed some exudates and cotton wool patches from the macula to the mid-periphery region. Repeated blood test results on the same day showed a rapid decrease in FPG, which decreased to 214 mg/dL. His serum sodium level was 139 mmol/L and serum creatinine and triglyceride levels were reduced to 1.91 mg/dL and 424 mg/dL, respectively.
Ten days after the first visit, he complained that he could not see well with his own glasses. His visual acuity with his own glasses was 20/40 in the right eye and 20/50 in the left eye. His BCVAs were 20/25 in both eyes. Manifest refraction showed mild hyperopia, with +1.0 D of spherical equivalent in both eyes. A slit-lamp examination revealed essentially clear lenses except for scattered fine opacities in the posterior subcapsular region.
Four weeks after the first visit, his BCVA was 20/20 in both eyes. Manifest refraction was -1.25 spherical diopter (Dsph) -0.75 cylindrical diopter (Dcyl) × 30 in the right eye and -1.25 Dsph -0.75Dcyl × 110 in the left eye. On slit-lamp examination, the subcapsular opacity of the lenses had regressed, showing nearly clear lenses (Fig. ). A fundus examination showed decreased exudates and cotton wool patches.
The antihypertensive and lipid-lowering medications that our patient had taken for several years were not changed during these clinical courses (Table ).</t>
  </si>
  <si>
    <t>A 47-year-old man visited the emergency room because of decreased mentality. He was diagnosed with diabetes mellitus (DM), but had not received regular treatment. His blood pressure was 60/30 mm Hg and body temperature was 38.5℃. Laboratory data showed white blood cell of 13.150×109/L, with a differential count of 90.7% neutrophils and 8.5% lymphocytes, hemoglobin of 14.3 g/dL, platelet count of 507×109/L, glucose levels of 443 mg/dL, blood urea nitrogen of 52.5 mg/dL, serum creatinine concentrations of 1.9 mg/dL, aspartate aminotransferase of 69 IU/L, alanine transaminase of 38 IU/L, sodium of 125.7 mmol/L, potassium of 5.4 mmol/L, C-reactive protein (CRP) levels of 19.42 mg/dL, ketone bodies in the blood 3 positive and HbA1c of 18.20%. Arterial blood gas analysis revealed a pH of 7.032, pCO2 of 21.8 mm Hg, pO2 of 83.3 mm Hg, and HCO3 of 5.8 mmol/L. Chest X-ray and computed tomography (CT) scans showed multiple consolidation and ground glass opacities in both lung fields (). The patient was initially diagnosed with diabetic ketoacidosis as a result of severe pneumonia. An immediate hydration and insulin therapy were started, and dose-adjusted piperacillin and tazobactam sodium were also administered for pneumonia. The patient was admitted to the intensive care unit (ICU) for mechanical ventilator therapy. The ketoacidosis had improved with hydration and insulin therapy, but on the second day of hospitalization, diuretic-resistant pulmonary edema developed and continuous renal replacement therapy was started. Klebsiella pneumonia was identified in sputum cultures. After 8 days of treatment, the lung lesions had regressed (). The patient was finally moved to the general ward. However, on the 5th day in the general ward, he started complaining of vague abdominal pain. His pain had aggravated with severe tenderness. An erect abdominal X-ray showed gaseous distention of small bowel loops with suspicious stepladder sign, suggesting mechanical obstruction (). Subsequent abdominal CT suggested multiple perforation of the transverse colon with panperitonitis ().
An emergency laparotomy was performed. Necrotic intestines were observed from the distal ascending colon to the proximal transverse colon. Necrotic portions were resected and the Periodic Acid Schiff and Grocott's methenamine silver staining of the resected specimen showed septated fungal hyphae with acute angle branching, suggesting aspergillus species (). The patient was finally diagnosed with colonic IA. Intravenous liposomal amphotericin-B (3 mg/kg/day) was additionally administered for 35 days. He was discharged with oral voriconazole to treat his reported remaining, abdominal discomfort and mildly elevated CRP levels. Voriconazole was discontinued at a follow-up visit to the outpatient department 2 weeks after discharge when his abdominal discomfort had relieved and CRP levels normalized.</t>
  </si>
  <si>
    <t>A 25-year-old man with no past medical history presented to the emergency department (ED) with two days of intractable vomiting, increasing confusion, and progressive difficulty breathing. The patient denied tobacco or recreational drug use.
Upon arrival to the ED, vital signs were within normal range with a blood pressure of 123/61 mmHg, a temperature of 36.8 degree Celsius, a heart rate of 92 beats per minute, and a respiratory rate of 19 respirations per minute. The physical exam showed an obese, lethargic patient, responsive to verbal stimuli. The lung, heart, and abdomen exam were unremarkable and there was no neck crepitus noted. The laboratory evaluation showed leukocytosis of 25.96 x 1000/mm3, elevated creatinine of 2.17 mg/dL, hyperglycemia of 836 mg/dL, hyponatremia of 128 mEq/L, hyperkalemia of 5.2 mEq/L, and bicarbonate of 5 mEq/L. The anion gap was 25 and a venous blood gas showed a pH of 6.91. Urinalysis was positive for 2+ ketones and 1+ protein.
The patient was admitted to the intensive care unit with a new diagnosis of diabetes mellitus complicated with DKA. Intravenous normal saline, bicarbonate, and insulin drip were initiated. The chest X-ray on admission suggested findings compatible with pneumomediastinum (Figure ). Chest computed tomography (CT) was obtained and reaffirmed the findings (Figures -). Pneumomediastinum in the setting of intractable vomiting was worrisome for esophageal rupture and since our facility was not staffed to manage this clinical entity, the patient was emergently transferred to another facility. The patient was treated conservatively with analgesia and respiratory support and was discharged several days later without any complications.</t>
  </si>
  <si>
    <t>A 32-year-old woman presents to her primary care physician for constant fatigue. The patient states that she is always tired. She claims she is too tired to exercise and has gained 7 pounds recently. She complains of constipation and a decrease in libido as well. She states that she hasn't felt herself lately and is struggling with her relationships. The patient has a past medical history of obesity and diabetes. Her current medications include insulin, lisinopril, metformin, and sodium docusate. Her temperature is 99.5°F (37.5°C), blood pressure is 147/98 mmHg, pulse is 90/min, respirations are 17/min, and oxygen saturation is 98% on room air. Laboratory values are obtained and shown below.
Hemoglobin: 10.0 g/dL
Hematocrit: 30%
MCV: 88 fL
Leukocyte count: 7,500/mm^3 with normal differential
Platelet count: 192,000/mm^3
Serum:
Na+: 139 mEq/L
Cl-: 100 mEq/L
K+: 4.3 mEq/L
HCO3-: 25 mEq/L
BUN: 20 mg/dL
Glucose: 129 mg/dL
Creatinine: 1.1 mg/dL
Ca2+: 10.2 mg/dL
AST: 12 U/L
ALT: 10 U/L
A peripheral blood smear is performed as seen in Figure A.</t>
  </si>
  <si>
    <t>A 31-year-old woman presented with abdominal pain, distension, and constipation at a fetal gestational age of 17 weeks. The patient's symptoms aggravated at fetal gestational age of 10 weeks and her last pregnancy was aborted 2 years earlier at another hospital due to severe intestinal obstruction. She had suffered from unexplainable obstructive symptoms 5 years earlier and was diagnosed with CIP because of repetitive obstructive symptoms without any visible obstructive lesion observed on abdominopelvic computed tomography (CT), barium enema, or colonoscopy (). Anorectal manometry was performed at another hospital and the results were normal. She was most recently admitted to our hospital 5 months ago because of recurrent obstructive symptoms. Because the intravenous administration of neostigmine was not effective, colonoscopic decompression was performed at that time. The patient was discharged after her condition improved.
At the time of admission, physical examination revealed the presence of abdominal distension and diffuse tenderness. Laboratory examination revealed a white blood cell count of 8,120/mm3, a hemoglobin level of 9.9 g/dL, a platelet count of 281,000/mm3, a blood sugar level of 99 mg/dL, a blood urea nitrogen level of 12.2 mg/dL, a creatinine level of 1.1 mg/dL, a sodium level of 139 mEq/L, a potassium level of 3.8 mEq/L, a chloride level of 104 mEq/L, a calcium level of 8.7 mg/dL, a phosphorous level of 3.6 mg/dL, and a magnesium level of 1.8 mg/dL. Neither radiologic study nor neostigmine administration could be performed because of the risk to the fetus. Colonoscopy was performed to provide decompression because the patient's pain and distension worsened after 5 days of conservative care. The colonoscope was passed just beyond the splenic flexure, at which point the lumen was found to be obstructed by a large fecal bezoar (). Attempts to break the fecal bezoar with an endoscopic snare (Olympus Disposable Electrosurgical Snare SD-210U-10; Olympus Medical Systems Corp., Tokyo, Japan) met with limited success. After suctioning the retained gas and contents of the proximal colon, a drainage catheter (ENBD-7-LIGUORY, 7 Fr, 250 cm; Cook Medical Inc., Winston-Salem, NC, USA) was placed through the working channel of the endoscope. The catheter was irrigated periodically with normal saline to prevent obstruction and ensure that the intestinal contents and gas were drained effectively. The patient's symptoms improved for a few days after decompression but recurred soon thereafter. Additional two attempts at endoscopic decompression were made and a new drainage catheter was inserted in each of the attempts until surgery could be performed.
Subtotal colectomy with endileostomy was performed electively at a fetal gestational age of 21 weeks. Ileorectal anastomosis could not be performed due to the enlarged uterus and was postponed until after delivery. The excised colon measured 100 cm in length. The proximal portion from the cecum to the descending colon was dilated up to 16 cm in diameter and a focally narrowed transitional zone was observed around the sigmoid colon (). Full colonic sections were obtained for histopathological analysis, which revealed no apparent histopathological alteration in the muscularis propria or neural plexuses (). However, immunohistochemistry for C-KIT (CD 117) revealed fewer interstitial cells of Cajal (ICCs) in dilated portions of the colon compared to the undilated part (). Stool passage was normalized after surgery and pregnancy was maintained and resulted in a full-term delivery.</t>
  </si>
  <si>
    <t>A 28-year-old male patient was admitted to the emergency room with impaired consciousness after ingesting antifreeze for suicide purpose about 5 h earlier. At the time of admission, his guardians brought the container of the antifreeze that he had ingested, which was then checked accordingly. The patient had an elevated blood pressure of 130/79 mmHg, pulse rate of 98 beats/min, and respiration rate of 30 breaths/min at the time of admission; his body temperature was 35.4℃. He showed signs of acute illness and presented with lethargic consciousness and restlessness. No other specific findings were found. The venous blood gas analysis results showed pH 6.90, PaCO2 34 mmHg, PaO2 25 mmHg, bicarbonate 6.7 mmol/L, base excess −26.1 mmol/L, and oxygen saturation 15%. Serum biochemical analysis showed sodium 136.4 mEq/L, potassium 7.80 mEq/L, chloride 110 mEq/L, calcium 9.9 mg/dL, phosphorus 3.2 mg/dL, glucose 125 mg/dL, osmolality 375 mOsmol/kg, blood urea nitrogen (BUN) 11 mg/dL, and creatinine 1.67 mg/dL. The patient also showed signs of high anion gap metabolic acidosis with an anion gap of 19.7 mmol/L and osmolar gap of 91.34 mOsm/kg H20. Urinalysis showed proteinuria and microscopic hematuria. Electrocardiogram findings showed sinus tachycardia with a heart rate of 134 beats/min, whereas chest radiography showed mild pulmonary edema. Fluid replacement, sodium bicarbonate, and thiamine were administered as the initial treatment, and fomepizole was loaded at 15 mg/kg intravenously and administered four times, each at 10 mg/kg in 12-h intervals. One hour after admission, the patient's consciousness deteriorated from lethargy to stupor, necessitating tracheal intubation. Two hours after admission, overall condition deteriorated and acidosis was not corrected. Consequently, he was transferred to the intensive care unit, where continuous renal replacement therapy was initiated. Thirty hours after dialysis, metabolic acidosis was controlled, as indicated by pH 7.46, PaCO2 36 mmHg, PaO2 106 mmHg, HCO3 25.6 mEq/L, and anion gap 5.9 mmol/L (). His vital signs stabilized on the 6th day of admission, and consequently, he was extubated. However, the patient's levels of BUN and creatinine remained elevated at 39 and 4.28 mg/dL, respectively, and his hourly urine output was only 10–30 mL, and calcium oxalate crystals were detected on urine microscopy (). The patient's acute renal failure persisted, and therefore the treatment was switched to routine hemodialysis, maintained at three rounds every other day. Starting from the 12th day of admission and the start of dialysis, daily urine output increased to &gt;1,000 mL; thus, dialysis was discontinued. On the 23rd day of admission, the serum BUN/creatinine level decreased to 18.4/1.73 mg/dL, and the daily urine output was being maintained at 3000–4000 mL. The patient was discharged and monitored through Follow-ups. During the outpatient follow-up visit at 3 months after discharge, the levels of BUN and creatinine were 17 and 0.95 mg/dL, respectively, with no proteinuria or hematuria ().</t>
  </si>
  <si>
    <t>A 55-year-old woman presented with a past medical history of smoking until five years ago (60 pack/year), arterial hypertension, chronic obstructive pulmonary disease with no supplementary oxygen use, and chronic hepatitis B infection with no history suggestive of cirrhosis. Her chief complaint was one year of abdominal discomfort associated with an epigastric mass and weight loss of 30 kg. Simple and contrasted abdominal computed tomography (CT) showed hepatomegaly with focal lesions, the largest being 15 cm in segment VIII, and satellite lesions of up to 5.5 cm in segment VII and 3.5 cm in segment III, with similar morphologic characteristics. Abdominal magnetic resonance imaging (MRI) showed a liver with no signs of chronic disease, and an infiltrative dominant lesion of 11 x 8 cm in segments IV and V, associated with smaller lesions in both lobules of 1.6 cm in segment III, and 0.9 cm in segments VII and VIII (Figure ). Subsequently, the patient presented aggressiveness and disorientation, where hypoglycemia was documented (33 mg/dL) and treated with dextrose 10% with complete symptom resolution.
Physical examination revealed cachectic facies, and an abdominal mass of approximately 13 cm located in epigastrium and right hypochondrium, associated with hepatomegaly. Initial laboratory were: white blood count of 9900/uL, neutrophils 8000/uL, lymphocytes 1700/uL, monocytes 300/uL, red blood cells 5,540,000/uL, hemoglobin 16.6 g/dL, hematocrit 49.6%, mean corpuscular volume 89.6 fL, platelet count 357,000/uL, international normalised ratio (INR) 1.05 (normal range (NR) 0.8-1.4), partial thromboplastin time 33 seconds (NR 25-35), serum potassium 3.3 mmol/L, chloride 104 mmol/L (NR 98-107), sodium 141 mmol/L (NR 136-145), total bilirubin 1.01 mg/dL (NR 0.2-0.9), direct bilirubin 0.48 mg/dL (NR 0-0.3), alkaline phosphatase 404 U/L (NR 38-110), gamma-glutamyl transferase (GGT) 1017.6 U/L (NR 10-38), lactic dehydrogenase (LDH) 293 U/L (NR 120-246), alanine transaminase (ALT) 124 U/L (NR 9-52), aspartate transaminase (AST) 226 U/L (NR 14-36), serum creatinine 0.22 mg/dL (NR 0.5-0.8), serum alpha fetoprotein (AFP) 23184.1 ng/mL (NR 0.8-1), carcinoembryonic antigen 0 ng/mL, CA 19-9 antigen 26.86 U/mL (NR 0-37), cortisol 8.9 ug/dL (NR 5.27-22.45), blood ketones 1.0 mg/dL (NR &lt; 3.5), serum glucose 17 mg/dL (NR 74-106), baseline insulin 0.40 uU/mL (NR 2.6-24.9), IGF-I &lt; 15 ng/mL (NR 45-210), C peptide 0.0407 ng/mL (NR 1.1-4.4), IgM antibodies against hepatitis B core antigen non-reactive, antibodies against hepatitis B surface antigen &lt; 3.10 mUI/mL (NR 0-10), antibodies against hepatitis C non-reactive, hepatitis B surface antigen (HBsAg) &gt; 1000 (NR 0-1). Given our patient’s profile, a “big” IGF-II measurement was attempted, but the assay is not available in Colombia. Therefore, hypoglycemia due to tumor consumption vs paraneoplastic hypoglycemia due to “big”-IGF II production were the suspected diagnoses. The patient required treatment with 50% dextrose in continuous infusion to achieve normal blood glucose and to remain symptom free.
A positron emission tomography (PET/CT) with fluorine-18-fluorodeoxyglucose (18-FDG) was performed (Figure ), where multiple hypermetabolic hepatic masses were observed, in both hepatic lobules; the high uptake index suggested an elevated glucose consumption tumor. Liver biopsy confirmed the diagnosis of trabecular and fibrolamellar hepatocarcinoma (Figure ). Given the size and presence of metastatic disease, the patient was not a candidate for surgical treatment; transarterial chemoembolization (TACE) was done twice with partial improvement, but the dextrose infusion could not be stopped. A glucagon therapeutic test was performed, with inadequate response. Thereafter, an OctreoScan was performed (Figure ) to determine if the patient could benefit from somatostatin analogs, but uptake was observed in a pulmonary metastasis only, reducing success probability with such therapy. Finally, despite different interventions, hypoglycemia control could not be achieved and, consequently, parenteral nutrition with a high dextrose load was started to continue ambulatory palliative care.</t>
  </si>
  <si>
    <t>A 46-year-old man was admitted to the emergency department with complaints of fever and skin lesions in the right leg since 3 days before. Moreover, he revealed a history of 5 years of poorly controlled diabetes mellitus despite being on oral medication. On physical examination, he was oriented and the following vital signs were observed: blood pressure: 80/60 mmHg; pulse rate: 90 beats/min; respiratory rate: 18 breaths/min; and oral temperature: 38 °C.
Two large erythematous lesions with central necrosis in the upper segment of the right leg were noticed. Further examination revealed crepitation of the same right leg segment.
Laboratory findings revealed the following: white blood cell (WBC) count, 17,000/mm3; hemoglobin, 15 g/dl; sodium, 125 meq/l; potassium, 3.8 meq/l; blood glucose, 400 mg/dl; blood urea nitrogen, 45 mg/dl; creatinine, 2.4 mg/dl; and bicarbonate,13 meq/l.
Plain X-ray of right leg revealed gas formation in the soft tissues, which was a diagnostic criterion for necrotizing fasciitis (). The patient was treated immediately with intravenous fluid, broad spectrum empiric antibiotics (meropenem plus vancomycin), and insulin infusion; moreover, urgent surgical consultation was requested. He underwent emergency debridement within few hours of hospitalization.</t>
  </si>
  <si>
    <t>A 66-year-old African American male with a past medical history of hypertension, alcohol use, and asthma presented with facial swelling. He was discharged two months prior for a similar event related to lisinopril. On initial presentation, the patient's vitals were significant for heart rate of 104 beats per minute, respiratory rate of 30 breaths per minute, blood pressure of 190/100 mmHg, and oxygen saturation of 99% with a non-rebreather mask at 15 liters. Physical exam was significant for moderate to severe respiratory distress, inspiratory stridor, and subcostal and intercostal retractions. Lungs were clear to auscultation. The patient was otherwise alert and oriented. Arterial blood gas showed pH 7.447, pCO2 39, pO2 197, and HCO3 27 on 60% FiO2. His initial metabolic panel was significant for sodium 104 mmol/L, potassium 2.6 mmol/L, chloride 66 mmol/L, blood urea nitrogen (BUN) 5 mg/dL (baseline 20 mg/dL), and creatinine 0.6 mg/dL (baseline 1.0 mg/dL). Glucose was 165 mg/dL. Magnesium and phosphorus were 1.1 and 2.1 mg/dL, respectively. Serum uric acid was low at 2.7 mg/dL. Complete blood count showed no leukocytosis or anemia. Urinalysis had a specific gravity of 1.010, moderate blood, and 15-29 red blood cells. Urine electrolytes were notable for a sodium of 48 mmol/L and osmolality of 217 mOsm/kg. Serum osmolality was 215 mOsm/kg. Urine and serum toxicology were negative for any substances. Alcohol level was negative.
Due to concern for airway protection, the patient was intubated and admitted to the intensive care unit. Initial chest x-ray held concern for infectious process, but antibiotics were stopped after infectious workup was negative. The patient was given two units of fresh-frozen plasma, famotidine, and Benadryl, and started on methylprednisolone 60 mg every six hours for angioedema. Lisinopril was held at this time. For his hyponatremia, the patient's labs were suspicious for syndrome of inappropriate antidiuretic hormone (SIADH) and a one-liter fluid restriction was initiated with nephrology consult. Thyroid and adrenal workup to rule out other causes of SIADH was unremarkable. A CT chest scan was done to evaluate for malignancy as a cause of SIADH, but did not demonstrate overt suspicious lung pathology (Figure ). The patient's hyponatremia appropriately corrected over the course of one week and was 130 mmol/L upon discharge. Lisinopril was discontinued and marked as an allergy for the patient. On follow-up approximately nine months later, the patient's sodium had corrected and remained within normal limits.</t>
  </si>
  <si>
    <t>A 16-year-old Egyptian boy was referred to our department in 2008. He was comatose with serial fits, and had an acute onset of renal failure for which one session of dialysis was done. His relatives reported an acute onset of disturbed conscious level with serial fits and low grade fever four days earlier. His past medical and drug history were unremarkable.
At presentation, he was febrile (temperature 38.0°C) and hypertensive (blood pressure 170/100 mmHg). Central venous pressure (CVP) was 13 mmHg and urine output (UOP) was 100 cc. Otherwise, in general, his neurological examination was normal except for serial fits.
Initial laboratory tests included a white blood cell count of 13.7 (4.0-11.0 × 103/μL) with predominant lymphocytosis, hemoglobin 15.5 (13.5-17.5 g/dL), platelets 200 (150-400 × 103/μL), aspartate aminotransferase (AST) 1003 (20-57 IU/L), alanine aminotransferase (ALT) 1200 (21-72 IU/L), total bilirubin 1.1 (0.0-1.5 mg/dL), direct bilirubin 0.6 (0.0-0.8 mg/dL), alkaline phosphatase 120 (30-136 IU/L), international normalized ratio (INR) 1 and prothrombin time 11 (10.0-13.5 s), serum albumin 4 (3.5-6 mg/dL), random blood sugar 250 (140-199 mg/dL), creatinine 10 (0.6-1.2 mg/dL), urea 330 (15-45 mg/dL), Na+ 136 (135-145 mmol/L), K+ 3.6 (3.5-5), and calcium 9 (9-11 mg/dL). For acute hepatitis A IgM, hepatitis B surface antigen and anti-HB core antibody, and HCV-antibodies by third generation enzyme linked immunosorbent assay (ELISA), hepatitis C RNA by polymerase chain reaction (PCR) as well as HIV-antibodies, serologies were negative. Also, an autoimmune screen, anti-double stranded DNA, pANCA and cANCA, anti-nuclear antibody, and anti-smooth muscle antibody, were all negative. A surface echocardiogram revealed an ejection fraction of 75-80.
Serum, liver and renal biochemistry was normal 4 days earlier (AST 32 IU/L, ALT 40 IU/L, total bilirubin 0.5 mg/dL) when the patient was admitted to the fever hospital. He was receiving ceftriaxone 2 g intravenously every 24 hours, phenytoin 100 mg intravenously every 8 hours, and paracetamol 0.5 g every 6 hours.
An abdominopelvic ultrasound was unremarkable, and chest X-ray was normal. Brain computed tomography (CT) scan without contrast revealed mild brain edema (Figure ), magnetic resonance imaging revealed an encephalitic pattern (Figure ), and electroencephalography (EEG) revealed an encephalitic pattern (Figure ). Cerebrospinal fluid examination returned the following results: glucose 160 mg/dL, protein 20 (20-40 mg/dL), chlorides 717 (720-750 mg/dL), and cells 70/mm3, which were mainly lymphocytes.
Serology tests were negative for influenza A and B, respiratory syncytial virus (RSV), Mycoplasma pneumoniae, chlamydia, Coxiella burnetii, adenovirus, enterovirus, and antistreptolysin O titer (ASOT). A serology test for EBV by PCR was also negative. A serology test for CMV confirmed acute infection, with a 10-fold rise in CMV-specific IgM. Polymerase chain reaction (PCR) for (CMV) was also positive in the serum and the CSF.
Because of the impaired renal function, the patient was started on acyclovir 10 mg/day. Lamotrigine was chosen as antiepileptic drug as it is safe to use in patients with elevated liver enzymes, in addition to other supportive measures such as glycerol as a cerebral dehydrating measure, and antibiotics.
Over the next three days, fits were controlled. On the third day, the patient started to regain consciousness and became fully conscious by day 11. Renal function returned to normal (without dialysis) after 17 days. Liver enzymes returned to normal after 20 days. A follow-up EEG revealed no abnormality (Figure ). The patient left hospital and made a complete recovery with no residual effects (Table ).</t>
  </si>
  <si>
    <t>A 44-year-old Bangladeshi male was admitted to Hamad General Hospital on 31 December 2004 with progressive shortness of breath, fever, and productive cough with yellowish sputum of four days duration. His past history was remarkable for chronic obstructive pulmonary disease (COPD), secondary polycythemia, pulmonary hypertension, and old pulmonary tuberculosis. He was maintained on salbutamol inhaler, fluticasone, and salmetrol discus inhaler, theophylline and home oxygen therapy. He denied receiving systemic corticosteroids in the preceding year. He was an ex-smoker and alcohol drinker. Physical examination on admission revealed an ill looking, dyspneic patient with a temperature 38.4°C, blood pressure 135/90 mm Hg, pulse rate 160/minute, and respiratory rate 36/minute. Chest examination revealed expiratory wheezes and bilateral basal crepitations. Otherwise, physical examination was unremarkable. Laboratory investigations revealed hemoglobin 13 mg/dL, white blood cell count (WBC) 14.6×109 /L (neutrophils 82%, lymphocytes 10%), platelets 25×109 /L, glucose 11.4 mmol/L, creatinine 135 mmol/L, sodium 129 mmol/L, potassium 3.8 mmol/L. Arterial blood gases revealed pH 7.19, PCO2 74.8 mm Hg, PO2 96 mm Hg. Chest radiograph showed no lung infiltrates. Sputum culture grew Pseudomonas aeruginosa, sensitive to cefipime and ciprofloxacin; however, it was thought to represent colonization. A diagnosis of COPD with acute exacerbation was made, for which he was given intravenous ceftriaxone 2 gm once daily, azithromycin 500 mg once daily, methylprednisolone 40 mg three times daily, and salbutamol and ipratropium bromide nebulizers. He made a gradual improvement, and after seven days he was shifted to oral prednisolone 40 mg once daily and oral amoxicillin/clavulanic acid to complete two weeks of antibiotics. Prednisolone was given for a total of 13 days. Three weeks after admission he developed hemoptysis, chest tightness, and worsening cough. Sputum culture grew P aeruginosa for which he was given intravenous cefepime and ciprofloxacin. Sputum smear for acid fast bacilli (AFB) was negative. Because of worsening respiratory status and a chest radiograph showing an infiltrate involving the whole left lung and part of the right lung, bronchoscopy was performed on 27 January 2005. No endobronchial lesion was found. Antituberculous drugs in the form of isoniazid, rifampin, pyrazinamide, and ethambutol were started. Bronchioalveolar lavage and bronchial wash were negative for AFB but bacterial culture grew P aeruginosa, Escherichia coli, and Klebisella pneumoniae. Cytologic examination of the bronchial wash and lavage revealed bronchial epithelial cells, few squamous cells in the background of numerous S stercoralis worms () and bacteria with inflammatory cells and blood. Transbronchial biopsy showed only intraalveolar hemorrhage with anthracotic pigments, but was negative for granuloma, viral inclusions, or malignancy. He was treated with oral ivermectin 12mg once daily. Two days later he complained of vomiting, lower abdominal pain, abdominal distention, and constipation. Physical examination revealed abdominal distention, lower abdominal tenderness, and sluggish bowel sounds. A plain radiograph of the abdomen revealed distended bowel loops but no air fluid levels. Lapratomy was done. The findings at surgery were a dilated jejunum and ileum filled with stool. Microscopic examination of the resected part of the ileum bowel revealed acute inflammation, mucosal hemorrhage, and focal ulceration with abundant S stercoralis larvae (Figures and ). Postoperatively, he was mechanically ventilated. His postoperative course was complicated by hypotension and multiorgan failure and he expired after two days.</t>
  </si>
  <si>
    <t>A 55-year-old male comes to the emergency department complaining of blood in his urine and severe back pain. He reports that the pain is left-sided, colicky, and began acutely this morning. The pain occasional radiates to his left groin. He also reports increased urinary frequency and an episode of blood-tinged urine. According to the patient, this has happened multiple times before. His medical history is also notable for hypertension, type II diabetes mellitus, and obstructive sleep apnea. His current medications include aspirin, metformin, and lisinopril. The patient’s temperature is 100.4°F (38°C), blood pressure is 148/85 mmHg, pulse is 71/min, and respirations are 14/min with an oxygen saturation of 98% on room air. Physical examination is significant for left-sided costovertebral angle tenderness. A urine dipstick is heme-positive. A urinalysis is pending. Labs are drawn, as shown below:
Serum:
Na+: 144 mEq/L
Cl-: 95 mEq/L
K+: 4.3 mEq/L
HCO3-: 23 mEq/L
Urea nitrogen: 18 mg/dL
Glucose: 142 mg/dL
Creatinine: 1.0 mg/dL
Calcium: 7.8 mg/dL
A radiograph is obtained, as shown in Figure A.</t>
  </si>
  <si>
    <t>A 69-year-old man was admitted to a hospital in the South of Brazil, with weight loss, weakness, and difficulty to swallow. In the last 4 months, he had anorexia, asthenia, and difficulty to swallow any food. When he tried to eat, he felt nausea and sometimes vomited. He had lost 7 kg. He denied fever or other symptoms. He was an active smoker that had smoked 100 pack-years. He did not abuse alcohol or other drugs. He had arterial hypertension, type 2 diabetes mellitus with HbA1c: 6.5% one month earlier and mild chronic obstructive pulmonary disease. He had presented three no disabling ischemic strokes. He was taking hydrochlorothiazide 25 mg, simvastatin 20 mg, and acetylsalicylic acid 100 mg, once a day; and captopril 50 mg TID. His father died of sudden death at 83 years old, and his mother died of stroke at 80 years old. His brother died of esophageal cancer with 55 years old. He lived with his wife. His physical examination revealed an alert, oriented man, with blood pressure: 120/70 mmHg; heart rate: 72 bpm; respiratory rate: 20 rpm; axillary temperature: 36°C; pulse oximetry: 95%; weight: 33.5 kg; height: 1.53 m; BMI: 14.3 kg/m2. There were several lymph nodes the cervical region, the larger one with 1.5 cm, and digital clubbing. Other aspects of his physical examination were normal. Two months before admission, chest radiography showed signs of chronic obstructive pulmonary disease, micronodules and linear opacities in the upper lobes, and a small consolidation in the lower left lobe. The initial laboratory evaluation revealed hemoglobin = 8.6 g/dL (normal range: 13–14.2 g/dL); VCM = 88.9 fL (80–100 fL); leukocytes = 7220/μL (4000–10000/μL); neutrophils = 2758/μL (1800–7500/μL); eosinophils = 606/μL (40–500/μL); basophils = 87/μL (&lt;100/μL); monocytes = 477/μL (120–1000/μL); lymphocytes = 3292/μL (1000–4000/μL); platelets: 409000/μL (150–400 × 103/μL); serum sodium: 134 mEq/L (135–145 mEq/L); potassium: 5.2 mEq/L (3.5–5.1 mEq/L); creatinine: 0.64 mg/dL (0.5–1.2 mg/dL); ureic nitrogen: 21 mg/dL (5–20 mg/dL); calcium: 7.8 mg/dL (8.5–10.4 mg/dL); albumin: 3.0 g/dL (3.5–5.0 g/dL); ALT: 17 U/L (&lt;31U/L); glucose: 94/mg/dL (70–99 mg/dL). An upper gastrointestinal endoscopy was normal, and a nasojejunal tube was inserted. The patient remained with the same symptoms, receiving food and liquids through a nasojejunal tube. In the sixth day after admission, after being submitted to chest and abdomen computerized tomography, he developed fever (39.5°C), confusion, blood pressure 160/110 mmHg, heart rate: 120 bpm, pulse oximetry: 95%. He received intravenous dipyrone. A few moments later, his blood pressure dropped to 80/40 mmHg, and intravenous saline solution was infused. A blood sample to measure serum ACTH and cortisol was drawn. In the next two days, he had no fever, and two samples of blood culture were negative. In the following days, the patient developed severe hyponatremia (sodium = 122 mEq/L and 119 mEq/L), and postural hypotension was identified (supine resting = 122/60 mmHg and standing = 100/60 mmHg). The results of computed tomography of chest and abdomen are shown in Figures and . Serum cortisol and ACTH were, respectively, 1.03 μg/dL (4.3–22.4 μg/dL) and 626 pg/mL (12–46 pg/mL), and serum TSH was 8.06 μU/mL (0.35–5.5 μU/mL). The patient received intravenous hydrocortisone, and hydrochlorothiazide was discontinued. Electrolyte abnormalities, anorexia, and difficulty to swallow are resolved. A biopsy of the left adrenal gland showed signet-ring cell adenocarcinoma with areas of necrosis. In the immunohistochemical study, the cells were positive for CK7, TTF-1, and CEA, and negative for CK20, vimentin, CA19.9, CD10, prostatic specific antigen, and thyroglobulin. Therefore, the diagnosis of adenocarcinoma of pulmonary origin was made. Bone and brain metastases were not evident in bone scintigraphy and brain computerized tomography. A few days later, the patient was switched to 5 mg oral prednisone and 0.1 mg of fludrocortisone and was discharged to his home. One month after initiating glucocorticoids, he came to the outpatient oncology division. He was eating normally, his weight increased to 40.1 kg, but he refused the palliative chemotherapy offered.</t>
  </si>
  <si>
    <t>We present the case of a 45-year-old gentleman, known diabetic for 6 years on metformin 1 g, twice a day, with reasonable control (hemoglobin A1c 6.4%). He was admitted to our emergency feeling unwell with 2 days’ history of vomiting and watery diarrhea, also associated crampy periumbilical pain. He denied a history of similar complaints in his companions, no change in his dietary habits preceding symptoms’ onset. He drinks alcohol occasionally; the last drink was 6 months before the presentation—no illicit drug use history. The initial vital signs were normal. Soon later, he became tachycardic with heart rate reaching 120 bpm, blood pressure 127/70 mmHg, and a normal temperature. He looked dehydrated; otherwise, his examination was unremarkable.
Laboratory workup was significant for initially low glucose 2.5 mmol/L (3.3–5.5 mmol/L), high serum creatinine 632 μmol/L (62–106 umol/L), and high blood urea nitrogen of 21 mmol/L (2.8–8 mmol/L). Serum electrolytes were as follows: potassium (K+) 6.3 mmol/L (3.5–5.1 mmol/L), sodium (NA) 144 mmol/L (135–145mmol/L), bicarbonate (HCO3) 5.8 mmol/L (23–29 mmol/L), and serum chloride 99 mmol/L (99–107 mmol/L). Serum aminotransferases were normal (ALT 31 U/L, AST 27 U/L). He had significant high AG metabolic acidosis with PH of 6.8 (7.35–7.45) and AG of 40, lactic acid (LA) strikingly high reaching up to 24 mmol/L (0.5–2.2 mmol/L). With LA of 19 mmol/L, his OG measured 20 with serum osmolarity of 340 mmol/kg (275–295 mmol/kg). Toxicology screening, including serum ethanol, acetaminophen, salicylate, and urine for oxalate crystal, was negative.
Acidosis failed to respond to initial fluid hydration, including intravenous bicarbonate. Thus, the patient underwent 2 sessions of sustained low-efficiency hemodialysis (HD). After HD, his electrolyte disturbances improved, and intravenous fluid hydration continued. Acute kidney injury (AKI) workup, including antinuclear antibodies (ANA), antinuclear cytoplasmic antibodies, creatinine kinase level, and sepsis workup were unremarkable. Starting day 3, the patient was in a polyuric phase, suggestive of acute tubular necrosis (ATN), producing between 3 and 6 L per day, and his serum creatinine was decreasing. He was discharged after 8 days of hospitalization in good condition with a serum creatinine of 140 μmol/L (62–106 μmol/L). Figure shows serum creatinine trend during the hospitalization, Figure depicts serum lactic acid clearance during hospitalization.
Our patient had an AKI with significant lactic acidosis and an OG. Given the significant level of lactic acid, MALA was the likely diagnosis. Our patient was on metformin for a long time, and he did not attempt an overdose; hence, we think that MALA was likely precipitated by dehydration leading to prerenal insult and AKI. Eventually, his prerenal insult led to acute tubular necrosis, as evident by the polyuric phase the patient exhibited on day three.</t>
  </si>
  <si>
    <t>A 57-year-old male presented to an outpatient orthopedic clinic with a two-month history of pain and swelling in his right elbow. His past medical history was notable for hypertension and gout, which was controlled with colchicine, febuxostat, and indomethacin. He had undergone right olecranon bursectomy and tenotomy approximately two years prior to presentation, but reported good healing and no pain following this procedure, and otherwise denied recent trauma to the elbow. In addition, in his profession as a farmer, he routinely worked within a fenced area containing horses and pigs, including working on his elbows to clear brush and animal waste. On physical examination, he was noted to be febrile with an oral temperature of 41°C. A small aperture with purulent drainage was noted at the superior portion of his right olecranon bursa. Aspiration of bursal fluid was performed, with microscopic evaluation revealing rare polarizable crystals consistent with pseudogout. Following aspiration, the patient was admitted to the hospital. Initial laboratory data were notable for serum sodium 126 mmol/L, serum creatinine 178 μmol/L (elevated from his baseline value of 75 μmol/L), serum glucose 36.8 mmol/L, hemoglobin A1c 14.2%, white blood cells 7.4 × 109/L, and erythrocyte sedimentation rate 14 mm/hr. Magnetic resonance imaging revealed a prominent soft tissue mass adjacent to the olecranon bursa and the posterior aspect of the medial epicondyle (). The patient underwent incision and debridement of the right olecranon bursa, and intraoperative cultures were obtained. After this procedure, infectious disease consultation was requested, and an antimicrobial regimen consisting of intravenous (IV) ceftriaxone and vancomycin was initiated. On postoperative day 1, cultures from the initial bursa aspiration in the outpatient setting revealed diphtheroids. Subsequent identification of Corynebacterium jeikeium was reported 24 hours later by the hospital-based Vitek 2® microbial identification system. On postoperative day 3, the patient was clinically improved, without significant pain, and was discharged from the hospital to receive oral doxycycline 100 mg twice daily for an additional 14 days. Due to concern for infection, as well as the patient's renal function, he received neither corticosteroids nor nonsteroidal anti-inflammatory medication during or following hospitalization. Both aspiration and intraoperative cultures were sent to a reference laboratory (Mayo Medical Laboratories, Rochester, MN, USA) for bacterial identification and in vitro susceptibility testing. T. bernardiae was isolated as the sole pathogen utilizing matrix-assisted laser desorption ionization-time of flight (MALDI-TOF) mass spectrometry (score 2.1 with homology of the top ten results). In vitro susceptibility was determined by use of manual agar dilution which demonstrated activity of doxycycline as well as other antimicrobial agents (). Approximately two weeks following discharge, the patient was evaluated in the outpatient infectious disease clinic with marked improvement and no significant edema, erythema, pain, or drainage from his right elbow.</t>
  </si>
  <si>
    <t>A 35-year-old gentleman presented with complaints of diffuse pain abdomen and shortness of breath of 1 day duration associated with drowsiness of 4 hours duration. Patient was a known case of Type 1 Diabetes Mellitus on Injection Mixtard (70:30) 45 units/day and he had missed his insulin for last 5 days. On presentation, his Glasgow coma scale was E1V2M4, systolic blood pressure was 70 mm of Hg with feeble pulse, respiratory rate of 36 per minute, blood sugar of 490 mg/dL, and serum ketones of 5.6 with calculated serum osmolality of 308.68 mosm/L. Blood gas analysis showed pH of 6.785, bicarbonate 4.3 meq/dL, anion gap of 8.7 and lactate of 0.16 mmol/L []. On chest radiography, there was consolidation in the left lung field. Computed tomography of head showed cerebral edema. His other investigations showed serum sodium of 137 mmol/L, potassium 4.4 mmol/L and chloride 124 mmol/L, blood urea 54 mg/dL, serum creatinine 1.2 mg/dL with urine output of 1.6 litres in first 24 hours. His haemoglobin was 12.5 g/dL, total leucocyte count of 4600 per mm3 and platelet count 103000 per mm3. Patient was started on treatment with normal saline at initial rate of 15-25 ml/kg/h and regular insulin at 0.1 U/kg/hour. Later on, intravenous antibiotics were added in view of consolidation. His urine routine examination, urine culture sensitivity, blood culture sensitivity were normal. Vasopressors were added (nor adrenaline, adrenaline and vasopressin) because of persistent shock, he was put on mechanical ventilation due to persistent altered sensorium and respiratory failure. Due to severe metabolic acidosis, he was given intravenous bicarbonate of 260 Meq in the initial 24 hours. However, his metabolic acidosis and shock persisted, so, he was started on peritoneal dialysis. After 12 hours of peritoneal dialysis, his arterial blood pH improved to 7.118 with bicarbonate of 15.1 meq/dl. So his peritoneal dialysis was continued and his arterial blood pH improved to 7.311 with bicarbonate of 14.0 meq/dL after 36 hours. His peritoneal dialysis was given for total of 80 cycles. Vasopressors were tapered off and he was subsequently extubated on day 5 of admission. Patient required 4 more cycles of haemodialysis for persistent oliguria with rising serum creatinine levels – which was probably due to persistent shock related acute cortical necrosis. He was discharged on day 16 of illness.</t>
  </si>
  <si>
    <t>Glasgow-Blatchford Bleeding Score (GBS)</t>
  </si>
  <si>
    <t>What is the patient's Glasgow-Blatchford Bleeding score?</t>
  </si>
  <si>
    <t>A 65-year-old female enters the emergency department complaining of weakness and black stools over the past couple of days. She has a history of heart failure, which she manages with prescribed medication. The patient has not experienced any recent fainting episodes. She denies any history of liver disease and has a blood urea nitrogen level of 34 mg/dL according to the laboratory tests. Her hemoglobin level is 13 g/dL and vital signs reveal a heart rate in the regular range; however, her systolic blood pressure was noted to be slightly low at 90 mmHg. HR is 80 bpm. The patient has a well-controlled cholesterol levels, denies history of any respiratory issues, and has a normal urinalysis output. She denies use of any anticoagulant or antiplatelet medications. The combination of her history, alongside her recent symptoms of melena prompts a significant concern in her clinical status warranting further investigation.</t>
  </si>
  <si>
    <t>A middle-aged male with a past medical history of chronic liver disease presents to the clinic complaining of lightheadedness and a recent episode of syncope. His usual blood pressure readings usually are distributed around the lower end of the normal range; today's measurement was 95 mmHg systolic. His pulse was slightly elevated at 110 beats per minute. He does not have a history of heart failure. He denies any changes in bowel habits, specifically noting no presence of dark, tarry stools. Additional routine tests were conducted showing a blood urea nitrogen (BUN) level at 21 mg/dL, and his hemoglobin was on par with his previous readings at 14 g/dL. He was on an acid suppression therapy for a recently documented peptic ulcer. This patient's history of hepatic disease, coupled with his other clinical findings raises concern for potential risks and warrants further evaluation.</t>
  </si>
  <si>
    <t>A 52-year-old gentleman presents himself to the clinic after experiencing an incidence of sudden fainting earlier in the day. His medical records don't reveal any hepatic disease history. He mentions an ongoing treatment for heart failure and his vitals record a slightly elevated pulse rate of 110 beats per minute. The patient's blood pressure is stable at a systolic 103 mmHg. The patient was adamant in stating that recent bowel movements were normal in color, denying any past or present occurrence of black tarry stools. His laboratory tests returned normal with a blood urea nitrogen (BUN) concentration of 18 mg/dL and a hemoglobin count of 14 g/dL. The patient is a non-smoker and keeps a balanced diet but has a family history of diabetes. Taking into consideration his clinical presentation and past medical history, despite denying certain important risk factors, further investigations were deemed necessary.</t>
  </si>
  <si>
    <t>A 69-year-old male has come in for a routine evaluation, complaining of dark, tarry stools over the last two days. Claiming no history of heart failure, the patient presented with a heart rate of 88 beats per minute and a systolic blood pressure reading of 130 mm Hg. Laboratory tests were ordered and returned a blood urea nitrogen (BUN) level of 18 mg/dL and hemoglobin concentration at 13 g/dL. Review of his medication profile revealed he has been consistently taking sodium bicarbonate for his diagnosed peptic stomach ulcer. Despite the normalcy of most of his parameters, his complaint of melena urges further medical attention.</t>
  </si>
  <si>
    <t>Assumed also no history of syncope or liver disease, even though they were not explicitly mentioned, since he is described as otherwise well and coming for routine evaluation.</t>
  </si>
  <si>
    <t>A 58-year-old female presents with a history of liver disease and recent episode of syncope. She is visibly nervous about her visit and her vital signs reveal a heart rate of 96 beats per minute and systolic blood pressure at 120 mm Hg. Blood tests include mildly elevated blood urea nitrogen levels at 22 mmol/L. Her hemoglobin was found to be at the lower boundary of normal at 12 g/dL. During the visit, she mentioned keeping a regular exercise routine and having no known allergies. Given her liver disease history and recent syncope event, her signs and symptoms warrant a more comprehensive workup to ensure optimal medical management.</t>
  </si>
  <si>
    <t>A male patient, a non-smoker with no history of hepatic disease, has been under management for heart failure and was in the clinic for a regular check-up. On examination, the heart rate was higher than usual at 108 beats per minute and the systolic blood pressure was noted to be 100 mm Hg. The patient adamantly mentioned having normal brownish stools, ruling out the possibility of melena. Lab results showed their BUN at slightly elevated at 25 mg/dL. It was also found that the patient's hemoglobin was marginally decreased, currently at 10 g/dL, lower than their typical values seen in past readings. The patient has a self-reported good nutritional state and keeps up with a dedicated exercise routine to manage body weight. Despite the absence of significant findings, the clinical presentation and lab results necessitate additional evaluation for this patient.</t>
  </si>
  <si>
    <t>A 62-year-old male attended his routine checkup today. His vital signs appeared normal, with a heart rate noted at 72 beats per minute and a systolic blood pressure reading of 110 mm Hg. This patient has no prior history of cardiac failure, nor has he reported any recent fainting spells. He underwent few laboratory tests, including a blood urea nitrogen (BUN) test, which was indicative of an elevated BUN level at 30 mg/dL. The patient's hemoglobin was notably normal at 14 g/dL. He was managing diabetes with oral hypoglycemic medications and also adhering to a low carb diet. This gentleman's high BUN levels call for a more detailed assessment to provide early intervention for any potential risks.</t>
  </si>
  <si>
    <t>Presenting in the emergency department just after an episode of sudden fainting, a female patient was visibly concerned about the concurrent occurrence of dark, tarry stools. Her vitals exhibited a stable heart rate of 80 beats per minute and good blood pressure at 115 mm Hg systolic. The patient denies having any hepatic ailments. Blood tests were immediately ordered in light of the circumstances and demonstrated a higher than average BUN level at 28 mmol/L along with lower than usual hemoglobin levels at 11 g/dL. Extra information provided included a consistent exercise routine and mediated diet for controlled pre-diabetes. While symptomatically stable, the patient's syncope paired with melena raised flags requiring thorough evaluation of the situation.</t>
  </si>
  <si>
    <t>A 60-year-old male with a known history of liver disease, type-2 diabetes, and hyperlipidemia came into the clinic, reporting several instances of passing black, tarry stools in recent days. Vital signs were within the normal range, showing a heart rate of 85 beats per minute and systolic blood pressure of 128 mm Hg. The patient's recent laboratory studies showed a BUN level at 20 mmol/L and a hemoglobin concentration of 15 g/dL.</t>
  </si>
  <si>
    <t>A male patient presented to the clinic today after recently experiencing an episode of fainting. The initial evaluation showed a relaxed heart rate of 78 beats per minute and stable blood pressure of 120 mm Hg systolic. Furthermore, the patient denied any instances of darkened, coffee-ground-like stools. Routine labs were ordered, revealing increased levels of blood urea nitrogen (BUN) at 33 mg/dL and a good hemoglobin reading of 14.5 g/dL. The patient denied any history of heart failure.</t>
  </si>
  <si>
    <t>A 53-year-old female recently diagnosed with liver disease has come in for a consultation. She presents with complaints of passage of black, tarry stools over the past couple of days. Clinically she seemed stable, her vital signs were within the normal limit with a heart rate of 90 beats per minute and blood pressure at 125/80 mm Hg. She also reported that she has been managing her mild diabetes with dietary changes and hypoglycemic agents. Blood investigations revealed a Blood Urea Nitrogen (BUN) level of 27 mmol/L, and her hemoglobin was slightly lower than her average figures at 11.5 g/dL.</t>
  </si>
  <si>
    <t>A 67-year-old gentleman who has a history of cardiac failure and liver disease presented in the clinic today. Vital signs revealed a heart rate of 76 beats per minute and slightly elevated blood pressure readings with systolic 135 mmHg. He denied any recent black-out episodes. Laboratory results came back, showing a Blood Urea Nitrogen (BUN) level at 30 mg/dL and a hemoglobin concentration at 16 g/dL. He recently completed a course of antibiotics for a mild respiratory infection. He has been judiciously following a low cholesterol, heart-healthy diet as advised by his nutritionist.</t>
  </si>
  <si>
    <t>A patient came in for her evaluation today after a recent fainting episode. She was noticeably agitated, which matched the elevated heart rate at 98 beats per minute during the examination. Blood pressure was taken and read a fairly steady systolic measurement at 118 mm Hg. The patient also reported a new observable change in bowel habits, noticing black, tarry stools. Blood tests showed the urea nitrogen level moderately high at 21 mg/dL and a low hemoglobin count at 12 g/dL. Currently, on medication for hypertension and osteoarthritis, the patient confirmed the absence of any chronic liver conditions.</t>
  </si>
  <si>
    <t>A woman in her late sixties with history of heart failure appeared distraught when reporting recent episodes of black, tarry stools. Upon physical assessment, her heart rate was noted to be 82 beats per minute and systolic blood pressure reading was at 105 mmHg. Lab results indicated her blood urea nitrogen (BUN) level at 23 mmol/L, which is higher than the normal range. Also, her hemoglobin count was found to be below normal, at 9.5 g/dL. The patient also mentioned taking daily aspirin for preventive measures and was on calcium supplements for osteopenia. Given her gastrointestinal symptom and recent lab findings, a thorough clinical evaluation was deemed necessary.</t>
  </si>
  <si>
    <t>The patient is a male in his mid-seventies, known to have chronic liver disease. Although a bit anxious, his heart rate was fairly on the high side with a reading of 94 beats per minute, while his systolic blood pressure was measured at 112 mm Hg. He mentions not having suffered any recent episodes of fainting. Laboratory tests showed a Blood Urea Nitrogen (BUN) level at 26 mg/dL, while his hemoglobin stood healthy at 14.2 g/dL. Over the past year, he has lost some weight and employed dietary changes for blood sugar management after being diagnosed as pre-diabetic. His clinical presentation, inclusive of past medical history, despite the absence of any alarming symptoms prompts the need for further evaluation given the increased BUN levels.</t>
  </si>
  <si>
    <t>A male arrived for a review after a recent syncopal episode. Although nervous, vitals recorded a heart rate of 100 beats per minute and a systolic blood pressure of 110 mm Hg. Blood tests show a BUN of 29 mmol/L and hemoglobin of 12.5 g/dL. The patient denies current or past liver conditions and does not exhibit any symptoms or report any cases of dark, tarry stools. Additional information provided pointed to regular exercise, non-smoker status, and a balanced diet regime to manage body weight and cholesterol levels. Despite no history of heart failure or hepatic disease, recent syncope and elevated BUN levels should prompt further evaluation.</t>
  </si>
  <si>
    <t>A 70-year-old woman came in today for an evaluation of her recent episodes of black, tarry stools. Initially, she showed a rested heart rate at 86 beats per minute, and her blood pressure was plateaued at 115 mmHg systolic. When asked, she denied any recent episodes of fainting but confirmed ongoing management for her hypertension. Results from the lab show a slightly elevated Blood Urea Nitrogen (BUN) level at 25 mg/dL while her hemoglobin readings are within normal limits at 13 g/dL. The patient takes calcium and Vitamin D supplements to manage her osteoporosis, in addition to a low-salt diet for her hypertension.</t>
  </si>
  <si>
    <t>A gentleman in his late fifties, managing heart failure, came in for his routine consultation. His vitals were documented, which revealed a resting heart rate of 77 beats per minute and blood pressure at 130/85 mmHg. He reported no recent fainting events and hasn't noticed any black, tarry stools. Lab investigations were ordered, and results showed a Blood Urea Nitrogen level at 24 mmol/L and a reduced hemoglobin level of 10.2 g/dL. He discussed his plan of retiring soon and is especially motivated to stay active and fit. Despite his daily walks, yoga sessions, and moderate dietary habits to maintain his health, his lab findings are a cause for concern, hence warranting further assessment.</t>
  </si>
  <si>
    <t>Serum Osmolality</t>
  </si>
  <si>
    <t>What is the patient's serum osmolality in terms of mOsm/kg?</t>
  </si>
  <si>
    <t>A 2-month-old 4.3 kg male child was diagnosed as extrahepatic biliary atresia and was scheduled for laparotomy. The child was brought to the pediatrics clinics 2 weeks earlier with complaints of rapid breathing since 12 days, vomiting (non bilious) since 8 days, and decreased oral intake since 1 day. The child was passing clay colored stools and dark colored urine. There was yellow discoloration of skin since 2 weeks, which was progressively increasing. The mother revealed the presence of recurrent rhinorrhoea from the first day of life.
Examination revealed icterus. Abdomen examination showed hepatospenomegaly (liver on left side and spleen on right side) and umbilical hernia. Electrocardiogram (ECG) displayed inverted P waves in I, aVL and aVR, which were suggestive of situs inversus. Chest X-ray revealed evidence of bronchopneumonia and the cardiac shadow was on the right side. Ultrasonography abdomen also indicated situs inversus. Echocardiography was suggestive of situs inversus with dextrocardia with normal cardiac anatomy. Hepatobiliary iminodiacetic acid (HIDA) scan was indicative of extra hepatic biliary atresia (EHBA) with the liver in left upper abdomen. Child was diagnosed as situs inversus with dextrocardia, bronchopneumonia, and extrahepatic biliary atresia.
Bronchopneumonia was managed with intravenous antibiotics, paracetamol, and steam inhalation. The child was placed on therapy with oral phenoparbitone 10 mg twice a day and intravenous Vitamin K 5 mg once a day for 10 days. Investigations revealed hemoglobin 9.5 g/dL, total leucocyte count (TLC) 17400/mm3, platelet count 4.5 lac/mm3, serum sodium 131 meq/L, serum potassium 4.4 meq/L, random blood sugar 70 mg/dL, serum bilirubin 19.2 mg/dL (normal 0.2-1.2) (direct-12, indirect 7.2), SGOT 148IU/L (normal 15-50) , SGPT 93 IU/L (normal 15-50), alkaline phosphatase 1232 IU/L (normal 50-300), blood urea 18 mg/dL (15-45), serum creatinine 0.6 mg/dL (0.6-1.2), prothrombin time (PT) 11.3 sec (test), 12 sec (control), and aPTT test 38.7 sec Control 29 sec (normal 20-40 sec). The child was listed for corrective biliary surgery.
The operating room was kept warm prior to shifting of the child. In the operating room, routine monitors (electrocardiogram, pulse oximeter, non invasive blood pressure) were attached. Left-sided ECG leads were attached on the right side and vice versa. Anesthesia was induced with intravenous fentanyl (9 μg) and thiopentone (25 mg), and lungs were ventilated with isoflurane in oxygen and nitrous oxide (50:50) (MAC 1.2) using Jackson Rees modification of Ayre's T piece. After achieving neuromuscular blockade with atracurium (2.5 mg), trachea was intubated with endotracheal tube size 3.5 mm ID. Capnography and temperature monitoring was also initiated. Urethra was catheterized and urinary output was monitored. Anesthesia was maintained with desflurane in oxygen and nitrous oxide (50:50) (MAC 1) using paediatric close circuit along with boluses of atracurium (0.5 mg) and fentanyl (1 μg) as required. The child was kept warm using warm fluids, warming mattress and by adequately covering the child with cotton.
The surgeon found the liver on left side with right lobe on the left side, malrotated gut (caecum, appendix on the left side), two atretic gall bladders, annular pancreas with preduodenal portal vein, cirrhotic enlarged liver, and a multi-lobulated spleen. Hepatic roux-en-y portoenterostomy with Ladd's procedure was done. The surgical incision site was infiltrated with 6 mL of 0.125% bupivacaine. The hydration was maintained using normal saline. The surgery lasted 5 hours, and blood loss of 100 mL was replaced with packed red blood cells.
At the end of surgery, the airway resistance increased. The airway pressures increased from 18 cm H2O to 28 cm H2O. Endotracheal tube suctioning was done. On auscultation, breath sound was reduced on the right lung fields. Repeat suction was done. We suspected a mucus plug to be obstructing the endotracheal tube and changed the tube after repeat laryngoscopy. A mucus plug was seen at the tip of the tube. The ventilation became better. Residual neuromuscular blockade was reversed and trachea was extubated. The child had good respiratory efforts with bilateral equal air entry. The child was shifted to the pediatric intensive care unit for further management. The child was nursed in the incubator and ECG and pulse oximeter monitoring were continued. The vitals and urinary output were within normal limits. The humidified oxygen was supplemented using an oxygen hood. The postoperative hemoglobin was 9.9 g/dL. The serum electrolytes were normal. The analgesia was provided with rectal paracetamol suppository. The child had an uneventful recovery and was discharged on the 18th postoperative day.</t>
  </si>
  <si>
    <t>An 18-year-old man was brought to the emergency department (ED) because of altered mental status. Family reported that he had nausea and vomiting before presenting to the ED. Past medical history was significant for diabetes, diabetic ketoacidosis (DKA), and hypothyroidism. Past surgical and social histories were unremarkable. Home medication was insulin glargine.
Physical exam revealed a lethargic patient. Vitals were blood pressure 130/70 mmHg, pulse 96/minute, respiration 28/minute, temperature was normal. Lung auscultation showed left basal crackles.
Chest radiograph (CXR) showed lower lobe infiltrates and pneumomediastinum (PM). Laboratory results: Arterial blood gas: PH 6.930 (7.350–7.450), PCO2 16 mmHg (35–45), PO2 138 mmHg (81–110), and serum bicarbonate 3 mmol/L (22–26); serum electrolytes: sodium 129 mmol/L (136–144), potassium 6.4 mmol/L (3.3–5.1), and chloride 100 mmol/L (101–111); glucose 1087 mg/dL (60–250), blood urea nitrogen 40 mg/dL (8–26), and creatine 2.68 mg/dL (0.70–1.20). Blood counts were normal.
The patient was intubated for airway protection because of altered mental status. A postintubation CXR showed PM, lower lobe infiltrates, and an air-filled distended stomach. An oral-gastric (OG) tube was placed easily, to decompress the air-filled distended stomach after bagging prior to intubation and in view of nausea and vomiting. A chest computed tomography scan showed multilobar infiltrates suggestive of aspiration pneumonia, PM, and the tip of the OG tube to be in the right hemithorax. The patient underwent a right thoracotomy with the intention to repair the esophageal rupture. Intraoperatively, the tip of the OG tube was found to be retracted into the esophageal lumen. Inspection of the esophagus did not reveal a clear rupture. An OG tube was placed intraoperatively, and a chest tube was placed into the right pleural space.
The patient was given intravenous (IV) fluid for hydration, IV insulin drip, IV metronidazole, and IV levofloxacin. Serial CXRs showed clearing of pneumonic infiltrates and PM. The chest tube was discontinued, and the patient was successfully extubated. After extubation, an esophagogram was performed and showed no extravasation of contrast.</t>
  </si>
  <si>
    <t>A 35-year-old African American woman comes to the physician because of intermittent palpitations over the past 2 weeks. During this period she has also had constipation and has felt more tired than usual. She was diagnosed with hypertension 4 weeks ago and treatment with chlorthalidone was begun. Her temperature is 36.5°C (97.7°F), pulse is 75/min, and blood pressure is 158/97 mm Hg. Physical examination shows a soft and nontender abdomen. There is mild weakness of the upper and lower extremities. Deep tendon reflexes are 1+ bilaterally. Laboratory studies show:
Hemoglobin 13.5 g/dL
Leukocyte count 5,000/mm3
Serum
Na+ 146 mEq/L
Cl− 100 mEq/L
K+ 2.8 mEq/L
HCO3− 30 mEq/L
Glucose 97 mg/dL
Urea nitrogen 10 mg/dL
Creatinine 0.8 mg/dL
Test of the stool for occult blood is negative. An ECG shows premature atrial complexes. Chlorthalidone is discontinued and oral potassium chloride therapy is begun. One week later, the patient's plasma aldosterone concentration is 26 ng/dL (N=3.6 to 24.0 ng/dL) and plasma renin activity is 0.8 ng/mL/h (N=0.3 to 4.2 ng/mL/h).</t>
  </si>
  <si>
    <t>A 22 year old female was referred Krishna Hospital as an unregistered case from a private maternity hospital in advanced pre-term labour. She had started labour pains one day prior to admission to our hospital. She also complained of exertional dyspnoea (New York Heart Association - NYHA Class II) which was gradually progressing since a day before onset of labour pains, and orthopnoea. There was no history of accompanying chest pain, cough, palpitations, fever, or symptoms of upper respiratory infections. There was no preceding or accompanying vaginal bleeding. There was no past history of joint pains with throat infection, or any long term medications for any premorbid condition. She was married since five years, without consanguinity and had a first full term normal home delivery (a male child) 2½ years ago. (Obstetric score G2P1L1A0). In the present pregnancy, she never attended ante natal care (ANC) clinic.
On examination in our hospital, she was afebrile with normal volume regular pulse of 86 beats/min and blood pressure 110/70 mm of Hg, with respiratory rate of 20 breaths/min. She was pale and showed bipedal oedema. In cardiac examination, there was loud mitral S1, and wide fixed split pulmonary S2 with opening snap in mitral area. There was III/IV mid diastolic murmur in mitral area and early systolic murmur, and non-radiating short murmur in pulmonary area. There was no parasternal heave. Respiratory system examination revealed bilaterally equal normal breath sounds with bilateral lower zones end-inspiratory fine crackles. Abdominal examination revealed no hepatomegaly and uterus at levels of 35 weeks gestation. Per vaginal examination revealed patulous, minimally effaced cervix with dilation of 2 cm, with presenting part being Vertex at station -3 with adequate pelvis size.
Her investigation reports were as follows:
Hemoglobin (Hb)-11.5 gm%; White blood cells (WBC) - 12,100/cu mm of blood; Polymorphs - 54%; Lymphocytes - 44%; Eosinophils - 02%; Platelet count - 1.85 lakh; Random blood sugar - 76 mg/dl; Blood urea - 25 mg/dl; [normal value→20 – 40 mg/dl] Serum creatinine - 0.8 mg/dl; [normal value→0.8 -1.6 mg/dl] Serum sodium - 135 mEq/L; [normal value→135 – 145 mEq/L] Serum potassium - 5.1 mEq/L. [normal value→3.5 – 5.5 mEq/L]
Urine Routine and Microscopic exam was Normal.
Electrocardiogram []→ Normal Sinus Rhythm; Incomplete Right Bundle Branch Block (RBBB); Left Atrial Enlargement; Normal PR Interval/Normal Qtc.
2D-Echocardiography [Figures and ] → Moderate Mitral stenosis; Mild Mitral regurgitation; mitral valve area 1.42-1.45 cm2. Large Ostium Secondum atrial septal defect With Left To Right Shunt; Mild pulmonary arterial hypertension.
Other Valves- Normal. No Clots/No Effusion/No Vegetations.
With the above history and findings, a medicine consult was sought by the department of obstetrics and gynaecology, and she was allowed to continue the labour after giving her injectable furosemide to relieve her of pulmonary congestion. The diuretics were then continued and she was also started on the standard prophylaxis for Rheumatic Fever with Benzathine Penicillin 12 lakh units deep intramuscular (After Skin Test Dose) once every 3 weeks. She delivered a live female baby of 2.120 kg. She was advised surgical intervention at a later date, after Trans-Oesophageal Echocardiography. She was also advised tubal ligation to avoid further cardiac compromise which she agreed to, and she was posted for the same procedure later. She was discharged in a haemodynamically stable condition. Later on she came for rheumatic fever prophylaxis as scheduled for initial 2 months after which she has not returned for a follow up, and at the same time she was not willing for any kind of intervention due to financial constraints.</t>
  </si>
  <si>
    <t>A 34-year-old Caucasian male presented to the emergency department complaining of a 4-day history of unbearable leg pain with diffuse arthralgia, fluctuating low-grade fever with profuse sweating, vomiting and diarrhea without abdominal pain, odynophagia, dry cough, headaches, and fatigue. He denied any contact with animals or travel abroad, had not consumed unpasteurized food, and had his last unprotected sexual intercourse 4 months earlier.
He was taking no medications and was known for alcohol abuse (mainly beer and spirit, approximately 185 alcohol units/week), drug abuse (cocaine, ecstasy, cannabis, methylphenidate, clonazepam, lorazepam), and smoking tobacco. On physical examination, he was afebrile and hypotensive (blood pressure 94/50 mmHg) with a normal heart rate (77 beats/minute). Oral examination revealed dry mucosa and erythematous tonsils without exudate, cardiopulmonary examination was normal, abdominal palpation was unremarkable, and no cutaneous rash was noted. Testing of the lower limbs revealed preserved strength and sensitivity as well as symmetric deep tendon reflexes.
Laboratory findings showed normocytic, normochromic, hypoproliferative anemia (hemoglobin 99 g/l, normal range 140–180 g/l) with thrombocytopenia (24 G/l, normal range 150–350 G/l), left shift without leukocytosis, elevated C-reactive protein (213 mg/l, normal range &lt; 10 mg/l), elevated transaminases (three times the upper limit of normal) with cholestasis and elevated conjugated bilirubin (29 µmol/l on admission, 190 µmol/l on hospital day 8, normal range 0.5–9.5 µmol/l). There was a stage 3 acute kidney injury according to the Kidney Disease Improving Global Outcomes (KDIGO) criteria with a serum creatinine of 112 µmol/l on admission and 247 µmol/l on hospital day 3 (patient’s baseline value 70 µmol/l), a serum urea of 11.4 mmol/l on admission (12 mmol/l on hospital day 3), and preserved urine output. Urinalysis revealed proteinuria (spot urine: protein 1.4 g/l, creatinine 11.5 mmol/l, urine protein–creatinine ratio 1.076 g/g), albuminuria (2+ on semiquantitative analysis), presence of 97 M/l leukocytes, 25 M/l erythrocytes, and renal tubular cells (1+ on semiquantitative analysis). Sodium excretion was high (fractional excretion of sodium on spot urine 3.56%). Due to the context of sepsis, hypovolemic status of the patient, and urinalysis findings, acute tubular necrosis was the suspected mechanism of acute kidney injury.
Analysis of serum electrolytes showed mild hyperphosphatemia (1.53 mmol/l, normal range 0.80–1.45 mmol/l), hyponatremia (131 mmol/l, normal range 136–144 mmol/l), mild hypouricemia (246 µmol/l, normal range 286–518 µmol/l), low serum chloride (94 mmol/l, normal range 98–106 mmol/l), hypokalemia (2.8 mmol/l, normal range 3.6–4.6 mmol/l), and an anion gap of 10 mmol/l. The transtubular potassium gradient was elevated (16.4). Albumin level was 29 g/l (normal range 35–48 g/l), and creatinine kinase level was 312 U/l on admission, rising to 404 U/l the next day and normalizing on hospital day 4. Blood gas analysis showed a pH of 7.49 (normal range 7.35–7.45) with elevated bicarbonates (29.3 mmol/l, normal range 22–26 mmol/l) and normal pCO2 (5.25 kPa, normal range 4.7–6.4 kPa). Urine pH was 6 (normal range 5–6.5). Presence of glycosuria (7 mmol/l, normal range 0.1–0.9 mmol/l), with concomitant euglycemia (6.6 mmol/l, normal range 4.1–11 mmol/l) and a hemoglobin A1c of 5.1% was highly suspicious of proximal tubular dysfunction.
Upon admission, Streptococcus A rapid test was negative, chest radiograph was normal, and an abdominal ultrasound showed hepatomegaly, a heterogeneous parenchyma with hyperechogenicity around periportal spaces and lymph nodes, liver parenchymal arterialization, and a layer of perihepatic fluid, all consistent with hepatitis. The bile ducts were not dilated. Kidneys were of normal size and morphology, without any urinary tract dilatation. On the second day after admission, the patient developed drowsiness and confusion with high fever (exceeding 40 °C). Normal cerebral magnetic resonance imaging and lumbar puncture excluded central nervous system infection. Clinical features were suggestive of bacterial sepsis [sequential organ failure assessment [SOFA] score of 10], justifying empiric broad spectrum antibiotic therapy with intravenous ceftriaxone and oral clarithromycin.
Detailed history revealed that the patient swam in a river in the Geneva lake area 1 week before hospital admission, raising the diagnostic suspicion of leptospirosis in this clinical setting. Serum polymerase chain reaction (PCR) for Leptospira interrogans was positive, and specific serologies revealed elevated IgM levels (&gt; 100 U/ml, normal range &lt; 15 U/ml). Although IgG levels were below the positive threshold, the values increased from &lt; 2 U/ml initially to 6 U/ml 1 week later (normal range &lt; 10 U/ml). Unfortunately, no ulterior dosage was performed. Antibiotic therapy was changed to intravenous amoxicillin–clavulanate and doxycycline for 7 days with clinical improvement. Serology for hantavirus was performed, revealing an indeterminate result due to nonspecific reactions. Considering the positive results for Leptospira interrogans, additional tests for hantavirus were not performed.
Along with clinical improvement, kidney function recovered with creatinine normalizing to 87 μmol/l on the sixth hospital day, and all electrolyte abnormalities resolved. Liver tests also normalized as confirmed by a routine blood sample 1 year after discharge. In addition, glycosuria significantly decreased from 7 to 0.5 mmol/l on the 12th day of hospital stay.</t>
  </si>
  <si>
    <t>A 66 year-old female patient was admitted to the emergency room for progressive shortness of breath and poor health condition for 1 week. Her blood pressure was 80/50 mmHg and arterial blood gas analysis was pH; 6.98, pCO2; 99 mmHg, pO2; 66 mmHg. She was immediately intubated and transferred to the coronary intensive care unit. Echocardiography revealed massive pericardial effusion with cardiac tamponade (posteriorly 3 cm, anteriorly 2.5 cm, laterally 2 cm and 2.7 cm in adjacency with the right ventricle). The patient had non valvular AF and been receiving dabigatran etexilate 150 mg twice daily for one year. In addition to dabigatran, the other medications included verapamil, budesonide, valsartan, and hydrochlorotiazide. She had a history of chronic obstructive pulmonary disease, hyperthyroidism, hypertension and gastroesophageal reflux disease. Her blood tests performed 1 year ago showed serum creatinine 0.5 mg/dL (normal range 0.5-0.9 mg/dL) and estimated creatinine clearance 136 mL/minute (using the Cock-croft-Gault equation).
On admission her blood tests showed blood urea nitrogen 163.9 mg/dL (normal range 16.6-48.5 mg/dL), creatinine 3.99 mg/dL (normal range 0.5-0.9 mg/dL), estimated creatinine clearance 16 mL/minute (using the Cock-croft-Gault equation), fasting glucose 83.9 mg/dL (normal range 74-109 mg/dL), sodium 130 mmol/L (normal range 136-145 mmol/L), potassium 5.3 mmol/L (normal range 3.5-5.1 mmol/L), prothrombin time (PT) 44.5 s (normal range 11.5-15 s), activated partial thromboplastin time (aPTT) 123.7 s (normal range 26-32 s), international normalized ratio (INR) 4.79, white blood cell count 10.59 103/uL (normal range 4.4-11.3 103/uL), hemoglobin 7.7 g/dL (normal range 11.7-16.1 g/dL), hematocrit 25.7% (normal range 35-47%), and platelet count 183 103/uL (normal range 152-396 103/uL).
Urgent pericardiocentesis was performed with echocardiographic guidance and 1500 mL of hemorrhagic fluid was removed. Pericardial fluid analysis showed hemoglobin 7 g/dL and plasma hemoglobin level of the patient was 7.7 g/dL. Cytologic exam was negative for malignancy. Biochemical tests showed total protein 5.4 mg/dL, lactate dehydrogenase 707 mg/dL and albumin 2.98 mg/dL.
Six hours after pericardiocentesis, the patients' blood pressure was over 100 mmHg systolic and she began to urinate. Red blood cell and fresh frozen plasma transfusions were made and post-transfusion hemoglobin level was 12 g/dL, PT 36.4 s (normal range 11.5-15 s), aPTT 100.5 s (normal range 26-32 s), and INR 4.1. On the second day after pericardiocentesis, hemorrhagic fluid flow via drainage catheter persisted and additional fresh frozen plasma transfusion was administered. Subsequently, PT was 25.3 s, aPTT 77,5 and INR was 2.3. Pericardial drainage was terminated after achievement of no flow through catheter and no pericardial effusion on control echocardiography.
Laboratory tests repeated on the fourth day of admission were as follows: blood urea nitrogen 109 mg/dL, creatinine 1.4 mg/dL, INR 1.4 and hemoglobin 12 g/dL. The patient was extubated after improved ventilation parameters. Dabigatran etexilate was omitted and other medications were continued. She was discharged 10 days after admission. Warfarin was initiated and the follow-up was uneventful.</t>
  </si>
  <si>
    <t>An 80-year-old man with a history of type II diabetes mellitus presented to the ER via ambulance with the chief complaint of generalized body aches and acute difficulty with ambulation. The patient received his second Moderna COVID-19 vaccine two days prior to admission. The next day he developed generalized body aches, nausea, and an episode of vomiting. He denied any fevers or chills. Though he normally ambulates independently, he was unable to stand or get out of bed due to weakness and generalized pain when he woke up the morning of admission. His admission medications included alogliptin, empagliflozin, insulin aspart, insulin glargine, losartan, metformin, pioglitazone, and tamsulosin. He reports no recent changes in medications or intake of over-the-counter medications. Past medical history was significant for COVID-19 infection three months prior, which required hospitalization for 13 days and treatment with convalescent plasma, remdesivir, and dexamethasone, according to institutional standard treatment protocols at the time.
On exam, vital signs were stable with a blood pressure of 120/70 mmHg, heart rate of 87/minute, temperature of 98.4° F, and respiratory rate of 16/minute. He was in no acute distress. His strength was normal and symmetric bilaterally, cranial nerves II-XII were grossly intact, and sensory was intact to light touch bilaterally. An electrocardiogram (EKG) was negative for ischemia. Troponins, a respiratory polymerase chain reaction (PCR) panel including influenza, and COVID-19 PCR were negative. Initial laboratory findings are summarized below (Table ). His serum creatinine kinase (CK) was 6,546 U/L. Complete metabolic panel revealed potassium 3.6 meq/L, sodium 130 meq/L, chloride 96 meq/L, glucose 219 mg/dL, blood urea nitrogen (BUN) 23 mg/dL, creatinine 1.1 mg/dL, aspartate aminotransferase (AST) 112 U/L, and alanine aminotransferase (ALT) 47 U/L. His inflammatory markers were elevated with lactate dehydrogenase (LDH) 359 U/L, erythrocyte sedimentation rate (ESR) 52 mm/Hr, and C-reactive protein (CRP) 146.8 mg/dL. Urinalysis excluded myoglobinuria and creatinine remained in his baseline range.
Rhabdomyolysis was diagnosed based on acute muscular pain and elevated CK. He is a diabetic elderly who had some nausea and vomiting but common causes of rhabdomyolysis were excluded as the patient denied trauma, recent surgery, strenuous exercise, alcohol use, or illicit drug use. He was not taking medications known to cause rhabdomyolysis including statins. No infections were identified. His serum glucose level was not elevated to a level that would point to a hyperosmolar hyperglycemic state.
Given the timeline of events, lack of alternate explanation, and known correlation of COVID-19 and rhabdomyolysis, the patient was felt to have vaccine-related rhabdomyolysis. The Naranjo score is a causality assessment tool validated to determine the likelihood of an adverse drug reaction []. For this patient, positive findings included the adverse event that appeared after the drug was given, the adverse event improved after the drug was discontinued, alternative causes were ruled out, and objective evidence of the adverse event was available (CK). The Naranjo Score was 6, which indicates the rhabdomyolysis was probably an adverse reaction to vaccination.
He received IV fluids overnight. His CK improved over the course of his hospital stay, and he did not develop significant acute kidney injury or electrolyte abnormalities. The patient regained his ability to ambulate independently, had improved myalgias, and was discharged in stable condition.</t>
  </si>
  <si>
    <t>Emergency medical services (EMS) were called to the home of a four-year-old female with a history of intermittent asthma and recent outpatient diagnosis of pneumonia after found to be cyanotic, surrounded by emesis, and without apparent respirations. Cardiopulmonary resuscitation was initiated by EMS upon arrival for pulseless electrical activity, and after eight minutes the patient achieved return of spontaneous circulation. She was subsequently intubated without the need for induction medications and transported to the emergency department (ED). Upon arrival to the ED, an initial physical exam revealed an intubated, unresponsive child with markedly diminished lung sounds bilaterally without wheezing, and an oxygen saturation of 60% on 100% fraction of inspired oxygen (FiO2). Additionally, respiratory therapy reported extreme difficulty with ventilation. Initial bedside chest radiographs (CXR) () were obtained and showed evidence suggestive of bilateral pneumothoraces, which in conjunction with the patient’s clinical picture prompted bilateral chest tube placement. Both returned large volumes of serous fluid, although no blood or air.
Continuation of the primary survey revealed tachycardia at 132 beats per minute with strong and regular peripheral pulses in all extremities. There was no jugular venous distention. The abdomen was soft without masses. A limited neurologic exam revealed bilateral sluggish pupils, with the right pupil at 6 millimeters (mm) and the left pupil at 3 mm. There were no obvious signs of trauma, and no dermatologic findings.
After initial stabilization, collateral history was obtained from the mother who stated the patient had been feeling tired with intermittent fevers over the prior few days, which led to a diagnosis of mild viral pneumonia by her outpatient pediatrician. Per her electronic health record, this was based on the patient’s age, gradual onset of symptoms with non-toxic appearance, and non-focal pulmonary findings on auscultation. Imaging and medications were therefore deferred, but return precautions were given should the patient’s clinical presentation worsen. With regard to her asthma, the patient had only occasionally used an inhaler for night-time coughing but otherwise had never been admitted, intubated, or prescribed oral steroids. She additionally denied any other known medical conditions, surgical history, allergies, or red flags to suggest the potential for non-accidental trauma.
Shortly thereafter, initial laboratory values resulted in a white blood cell count of 428,000 per milliliter (/mL) (4,400–12,900/mL) with a 96% blast differential, hemoglobin of 6.7 grams per deciliter (g/dL) (11.4–14.3 g/dL), and platelet count of 27,000/mL (187,000–445,000/mL). An electrolyte panel was significant for a sodium of 131 milliequivalents per liter (mEq/L) (135–145 mEq/L), potassium of 8.7 mEq/L (3.6–5.2 mEq/L), chloride of 102 mEq/L (102–112 mEq/L), bicarbonate of 10 mEq/L (19–26 mEq/L), blood urea nitrogen of 16 milligram per deciliter (mg/dL) (7–20 mg/dL), creatinine of 0.61 mg/dL (0.19–0.49 mg/dL), and a glucose of 461 mg/dL (70–140 mg/dL). An arterial blood gas resulted in a pH of 6.75 (7.35–7.45), PaCO2 of 60.6 mm/Hg (35–45 mmHg), PaO2 of 59.7 millimeters of mercury (mm Hg) (75–100 mm Hg), lactate of 12.14 mEq/L (0.2–1.8 mEq/L), HCO3 of 8.3 mEq/L (19–26 mEq/L), with the FiO2 at 100%. An alveolar-arterial gradient was calculated to be in excess of 577 mmHg (estimated normal gradient for the age of this patient is 5 mmHg).
Non-contrasted computed tomography (CT) of the head showed no evidence of intracranial abnormalities. Following the patient’s stabilization, the official read of the bedside CXR by pediatric radiology instead revealed a large mediastinal mass, manifesting features similar to that of bilateral pneumothoraces. Due to the patient’s age and concern for radiation, the patient did not receive CT of the chest as part of her initial workup. The patient was subsequently admitted for hyperleukocytosis with leukostasis and, in conjunction with hematology oncology, was started on leukapheresis and, later, induction chemotherapy. Over the course of the week, the patient’s clinical status continued to improve, and she was extubated and discharged home with a diagnosis of T-cell acute lymphoblastic leukemia.</t>
  </si>
  <si>
    <t>A 14-year-old female with symptoms of nausea, vomiting, and abdominal pain for 3 days was admitted to the local clinic with the diagnosis of acute viral gastroenteritis. Laboratory results showing hyperglycemia (glucose, 500 mg/dL) and ketonuria strongly indicated DKA. The patient was transferred to our emergency unit because of worsening mental status despite initiation of therapy with intravenous fluid and shortacting insulin. The patient's medical history was unremarkable (her mother had type 2 diabetes mellitus). On admission, the patient was lethargic, severely dehydrated, and drowsy (Glasgow Coma Scale [GCS, eye-verbal-motor]=14 [--]). Vital signs indicated tachycardia (124 beats/min), tachypnea (40 breaths/min), and hypothermia (35℃). Blood pressure was in the normal range (106/56 mmHg), body weight had decreased by 1.7 kg in the previous month to 48 kg (25th–50th percentile), and body mass index was 20 kg/m2 (50th–75th percentile). Chest and abdominal x-rays showed no specific abnormalities. Initial venous blood gas analysis indicated metabolic acidosis (pH, 6.92; PCO2, 27 mmHg; PO2, 57 mmHg; HCO3, 5.6 mmol/L). Serum chemistry and electrolyte tests revealed 569 mg/dL glucose, 133 mmol/L corrected sodium, 3.2 mmol/L potassium, 8.5 mg/dL corrected calcium, 2.1 mg/dL phosphate, 25.9 mg/dL blood urea nitrogen, 0.57 mg/dL creatinine, and 0.6 mmol/L lactate. Urinalysis indicated the presence of ketones and glucose. Endocrinologic assessments showed 0.26 ng/mL C-peptide (normal range, 0.6–2.3 ng/mL) and 15.7% glycosylated hemoglobin. Antiglutamic acid decarboxylase was positive (1.72 U/mL; range, 0–1 U/mL), whereas anti-islet cell and anti-insulin antibodies were negative. These findings indicated a diagnosis of type 1 diabetes and severe DKA. The main metabolic data during hospitalization are shown in . Fluid (0.45% saline) and continuous intravenous insulin infusion therapy were initiated at a rate of 0.05 unit/kg/hr immediately according to DKA treatment protocol []. Hourly neurological evaluations were performed for signs of cerebral edema. Although the patient remained drowsy, signs of cerebral edema were not evident. The patient suffered a &lt;1 min generalized tonic seizure at 4 hours postadmission that was followed by bradycardia and cardiopulmonary arrest. External cardiac massage was initiated, followed by one epinephrine injection. Spontaneous circulation resumed after 6 minutes of cardiopulmonary resuscitation. Laboratory data after return of spontaneous circulation showed metabolic acidosis and hypophosphatemia (pH, 7.05; PCO2, 23.6 mmHg; PO2, 181 mmHg; HCO3, 6.7 mmol/L; glucose, 517 mg/dL; corrected sodium, 136 mmol/L; potassium, 3.2 mmol/L; corrected calcium, 8.8 mg/dL; phosphate, 1.2 mg/dL). The patient received K2HPO4 and KCl to achieve 1.9 mEq/kg/day of phosphorus after the cardiac arrest. A brain computed tomographic (CT) scan showed no brain edema or intracranial pathology. Dexamethasone and mannitol were prescribed for prevention of brain edema and the patient was admitted to the intensive care unit. Although the patient remained drowsy (GCS=14 [--]), vital signs were stable. At 16 hours after initiation of DKA treatment, the patient became stuporous (GCS=9 [--]) with shallow, weak, and slow respiration that necessitated endotracheal intubation. Blood tests at this time revealed respiratory acidosis and severe hypophosphatemia (pH, 6.80; PCO2, 92.9 mmHg; PO2, 160.3 mmHg; HCO3, 14.6 mmol/L; glucose, 375 mg/dL; corrected sodium, 142 mmol/L; potassium, 2.8 mmol/L; phosphate, 0.4 mg/dL; lactate, 0.6 mmol/L). Phosphate replacement was increased to achieve a 3.8 mEq/kg/day phosphorus rate. A repeat brain CT imaging study showed no specific findings. The patient's electrolyte and pH values began normalizing within 2 days but mechanical ventilation was still required because hypophosphatemia was not alleviated (phosphate, 1.4 mg/dL). Phosphate replacement was increased to achieve a 5.7 mEq/kg/day phosphorus rate. Fluid replacement with potassium and phosphate, and continuous intravenous insulin administration was maintained until laboratory findings were normal. On the third day, the patient’s vital signs were stable, self-respiration was recovered, arterial blood gas levels were normal (pH, 7.39; PCO2, 25.2 mmHg; PO2, 139.3 mmHg; HCO3, 15.6 mmol/L), and plasma phosphate had risen (3.5 mg/dL). Weaning from inotropic and ventilator supports was possible. The patient was transferred to the general ward the next day. On the fourth day of hospitalization, oral feeding and multiple subcutaneous insulin injections were started and phosphate supplementation was stopped. An electroencephalogram showed no epileptiform discharges or slow waves. The patient was discharged on day 10 with no neurologic complications. The patient was followed up regularly. No neurologic complications or respiratory problems were noted, and the patient did not require further phosphate supplementation.
This study approval and informed consent were waived by the Institutional Review Board of Severance Hospital.</t>
  </si>
  <si>
    <t>An 85-year-old female with a past medical history significant for type 2 diabetes mellitus presented to the emergency room for progressively altered mental status and difficulty walking. She was increasingly lethargic and was less interactive with family for 3 weeks before presentation. She also had urinary incontinence and gait instability for the same period.
Accompanying family reported a fall 3 weeks before admission with significant facial bruising. A computed tomography (CT) scan without contrast posttrauma was reported to have central nervous system (CNS) atherosclerosis with ventricular dilatation that was out of proportion to the degree of cortical atrophy []. A working diagnosis of NPH was made and she was scheduled to see a neurosurgeon for further management.
On admission, the patient had flat affect and poor cooperation. There was no papilledema. She was unable to follow commands for a complete neurological examination. Serum chemistry revealed sodium - 142 mmol/L, potassium - 2.9 mmol/L, HCO3 - 25 mmol/L, chloride - 102 mmol/L, glucose - 298 mg/dL, blood urea nitrogen - 21 mg/dL, and creatinine - 0.7 mg/dL. Magnetic resonance scan of the brain revealed subtle debris layering the occipital horns of the lateral ventricles without restricted diffusion, consistent with either intraventricular hemorrhage or pus [Figures and ].
She was febrile to 103°F. Blood and respiratory cultures were obtained and she was started on a broad-spectrum coverage for possible meningitis. She developed diabetic ketoacidosis, which was addressed. She had two episodes of seizure-like activity. A lumbar puncture was initially deferred, whereas NPH had remained the most probable diagnosis, and the patient had a high international normalized ratio (INR). It was performed emergently following clinical deterioration, with development of fever.
The cerebrospinal fluid (CSF) collected had increased protein, decreased glucose, and mononuclear pleocytosis. It was subjected to Gram-stain, which showed yeast and the species of the yeast were confirmed to be C. neoformans on culture. India ink preparation of the CSF was positive for Cryptococcus along with a positive cryptococcal antigen test. The patient was dozed with intravenous liposomal amphotericin B and oral flucytosine. HIV test was negative.
The patient continued to deteriorate further and had a cardiac arrest on the same day. She underwent cardiopulmonary resuscitation but could not be revived. Blood culture bottles subsequently grew C. neoformans.</t>
  </si>
  <si>
    <t>On October 12, 2008, at 7.30 a.m., an 8-year-old female was admitted at a general hospital in Mahad with a complained of heaviness in the eyelids and unable to open the eyes, blurred vision, and difficulties in deglutition. She had nasal twang voice, body ache, heaviness, and tingling numbness sensation over the back of nape. She woke up at 3.30 a.m. due to pain in abdomen and experienced some pricking sensation over the back of nape. Nearly 2.5 feet long krait was seen lying in her bedding []. On clinical examination she had—myasthenic face, whole cornea covered with eyelids, external ophthalmoplegia, and unable to protrude the tongue beyond the teeth margins. She could count up to twenty in one breath. Her expiratory nasal blow was good in intensity. Both pupils were dilated, fixed, and not reacting to light []. There were no fang marks or swelling at the site of bite (back of nape of neck); pulse was regular and good in volume. Her blood pressure was 100/70 mmHg, and oxygen saturation (SpO2) was 93%. Muscle power was Grade 5/5 in all limbs; her speech slurred with nasal sound. She can easily lift the head from pillow. Deep tendon reflexes were present. She was investigated and her hemoglobin was 8.8 g/dl, total white cell count was 4200, serum urea was 25 mg/dl, serum creatinine was 0.9 mg/dl, random blood sugar was 95 mg/dl, serum sodium was 138 mEq, and potassium was 3.4 mEq.
Nasal oxygen was given to her in semiprone position. Polyvalent antisnake venom (ASV) of 100 ml added to 250 ml of normal saline was given intravenously over 30 minutes; ASV 20 ml, neostigmine 25 µg/kg was preceded by intravenous 0.06 mg atropine which is called an elapid cocktail administered over 4 h interval and was continued for the next 24 h. Bulbar palsy was recovered at the end of 12 h [] and ptosis persisted for 36 h. She was discharged on the 3rd day.</t>
  </si>
  <si>
    <t>A 64-year-old-man presented to the Emergency Department of Venizeleio Hospital, Heraklion, Crete, with a 3-day history of nausea, vomiting, and abdominal pain. His medical history included type 2 diabetes and hypertension. He had had type 2 diabetes for 10 years and was being treated at the time with vildagliptin, metformin, and dapagliflozin. Dapagliflozin was added 8 months prior to admission. He reported a weight loss of 3 Kg following the commencing of dapagliflozin, but his weight appeared stable during the last 3 months. The A1C was 7.1% one month before admission. The patient noted that he suffered from recurrent episodes of abdominal pain the last 2 months.
At presentation the blood pressure was 130/80 mmHg, heart rate 95 beats/min, temperature 36.8°C, and oxygen saturation 98% on ambient air. The patient appeared mildly dehydrated with a BMI of 26.5 kg/m2. The abdomen was soft with mild tenderness in the epigastrium and left upper quadrant. The remainder of the physical examination was normal.
An arterial blood gas analysis was performed and revealed metabolic acidosis pH 7.33, HCO3− 10.9 mEq/L, and PCO2 21 mmHg with an increased anion gap at 29 mmol/L. Plasma glucose was mildly elevated at 203 mg/dL. Serum lactate was 1.1 mmol/L, i.e., within normal range. The rest of laboratory investigation was as follows: white blood cells 7860/μL, hemoglobin 14.8 g/dL, serum urea 84 mg/dL, serum creatinine 1.33 mg/dL, Na+ 134 mmol/L, K+ 4.6 mmol/L, and Cl− 94 mmol/L. C-reactive protein level was moderately elevated at 8 mg/dL. Urinalysis showed glycosuria and ketonuria (glucose 4+, Oxone 4+). Measurement of serum ketones was not available.
The patient was diagnosed with euDKA possibly related to dapagliflozin use and was treated with intravenous fluids and insulin, with subsequent improvement of acid base disorders within the first 48 hours. He was also treated empirically with broad spectrum antibiotics. A computed tomography (CT) scan of the abdomen/pelvis with IV contrast was ordered to further evaluate the cause of the abdominal pain. The CT scan revealed ascending and transverse colonic dilatation proximal to a transition point in the splenic flexure and decompressed bowel distal to the obstruction, highly suspicious of colonic malignancy. Colonoscopy was then performed which showed splenic flexure cancer. The patient was transferred to the surgical clinic and underwent left hemicolectomy. He was discharged from the surgical clinic on the 9th postoperative day in good condition. Dapagliflozin was discontinued and basal-bolus insulin treatment was prescribed.</t>
  </si>
  <si>
    <t>A 17-year-old male presented with shortness of breath, swelling of feet and oliguria of 2 months duration. He was found to have severe hypertension with impairment of renal functions and pulmonary edema. Pulse rate was 80 min, regular. Blood pressure (BP) in right upper and lower limbs were 270/120 mmHg and 210/120 mmHg, and the left upper and lower limb was 260/140 mmHg and 260/130 mmHg respectively. Abdominal examination revealed bilateral systole-diastolic renal bruit. Fundus examination showed hypertensive neuroretinopathy. Investigations showed serum creatinine 2.1 mg/dl, blood urea 62 mg/dl, sodium 139 mmol/l, potassium 3.1 mmol/l, blood sugar 86 mg/dl, haemoglobin 9.4 g/dl, total leucocyte count 7200/mm3, erythrocyte sedimentation rate: 20 mm, serum uric acid 6.6 mg/dl, serum calcium 10.6 mg/dl, serum phosphorus 4.9 mg/dl, serum proteins: 7.1 g/dl, serum albumin 3.1 g/dl. Thyroid function tests were normal. Urine examination showed protein: +, 4–6 white blood cell/hpf and 2–4 red blood cells/hpf. Twenty-four hours urine examination showed a total urine volume of 4900 ml. Urine protein: creatinine ratio was 0.27.
Ultrasound showed right kidney measuring 8.9 cm × 3.4 cm and left kidney 9.2 cm × 4.0 cm with normal echotexture.
Two-dimensional echocardiogram revealed moderate concentric left ventricular hypertrophy. Left atrium was dilated, valves were normal. There was aortic regurgitation, moderate left ventricular systolic dysfunction and Grade I left ventricular diastolic dysfunction.
Renal Doppler showed diffuse wall thickening with more than 90% diffuse luminal stenosis bilaterally. Distal renal arteries were poorly visualized and show decreased flow velocities. Intrarenal parenchymal arteries showed reverse flow pattern. Right renal artery showed a peak systolic velocity of 31 cm/s while the left renal artery had a peak systolic velocity of 46 cm/s. Proximal aorta showed diffuse wall thickening and decreased caliber (aorto arteritis with B/L proximal RAS of &gt; 90%).
Computed tomography (CT) angiogram showed 60–70% stenosis of renal arteries at origin bilaterally []. Proximal abdominal aorta showed decreased caliber with thickened wall. The coronary arteries were normal.
Conventional angiogram showed diffuse concentric thickening of distal thoracic and upper abdominal aorta with bilateral long-segment occlusion of main renal arteries with distal renal arteries filling through collaterals.
Patient was on clonidine 0.2 mg tid, nifedipine retard 20 mg tid, prazosin XL 5 mg bid, carvedilol 3.125 mg bid and torsemide 20 mg bid. With above medications, BP was 160/110 mmHg. The patient was initially treated with steroids, but there was no improvement.
As both renal arteries had long-segment stenosis proximally with good distal caliber, splenrenal arterial anastomosis was planned. Intraoperative findings revealed that left renal artery was replaced by fibrous cord till hilum. One centimeter stump of the renal artery (6 mm diameter) was felt in the hilum, dividing into upper and lower divisions. The abdominal aorta was encased by thick inflammatory tissue and lymph nodes. The splenic artery was identified and anastomosed with left renal artery end to end (splenorenal anastomosis).
On 2nd postoperative day BP was 140/84 mmHg with nifedipine 20 mg 1 tablet tid. Postoperative Doppler showed good filling of left distal renal artery through the splenic artery with good renal perfusion. CT angiogram was performed on 10th postoperative day that demonstrated patent splenorenal arterial anastomosis []. Patient was discharged on 10th postoperative day with advice for right kidney revascularization after 2 months. Serum creatinine at discharge was 1.2 mg/dl. At 6 months, postoperation patient's BP was 120/80 without any drugs.</t>
  </si>
  <si>
    <t>A 29-year-old female with no significant past medical history presented to the emergency department with complaints of shortness of breath and productive cough consisting of green phlegm. The symptoms started a month prior for which she visited her primary medical doctor and was treated for pneumonia. Her symptoms continued to persist and gradually worsen at which point she was also treated with tamiflu for influenza. Her other symptoms however continued to progress and consisted of fever, chills, cough, body aches, and shortness of breath. The patient is a non-smoker, drinks alcohol socially, and works in a pharmacy.
On physical examination, the patient was tachycardia with a heart rate of 118, blood pressure of 111/72, respiratory rate of 24, and was saturating 88% on room air. At the time, she was afebrile with a temperature of 99.1 °F. Significant findings on examination showed diffuse rhonchi bilaterally with crackles on lung examination. Laboratory data demonstrated hemoglobin of 13, hematocrit of 39, white blood cell of 10.9, and platelets of 344,000. Sodium was 136, potassium 3.8, chloride 98, bicarbonate 21, blood urea nitrogen 15, creatinine 1.0, and glucose of 113. Troponins were negative. D-dimer was elevated at 0.71 and CT angiogram (CTA) was conducted to rule out pulmonary embolism. CTA of the chest was negative for pulmonary embolism but showed tree-in bud changes in the right upper lobe suspicious for an infectious or inflammatory process (). Similar findings were also seen in the right lower lobe. There were linear changes in the lower lobes bilaterally which most likely represented atelectasis and there was a 7.6 mm nodule in the left lower lobe.
The patient was admitted to telemetry for the management of pneumonia with azithromycin and ceftriaxone initially. Patient was found to be positive for Mycoplasma pneumonia and medications were adjusted accordingly. Patient continued to have persistent hypoxia and continued to desaturate to 88% upon ambulation. She was later found to have hemophilus influenza growth in sputum culture, which was properly being managed by her antibiotic regimen. During her hospital stay, although the patient was receiving solumedrol and antibiotics she continued to have diffuse bilateral crackles and productive cough. Patient was found to have leukocytosis as high as 19.6, but this could be attributed to her steroid treatment. However, this train of thought remained unclear as the patient was also found to have a bandemia of 21. Her antibiotics for methicillin-resistant Staphylococcus aureus (MRSA) were adjusted to consist of doxycycline, zyvox, and fluconazole. The patient continued to deteriorate and systemic workup including allergy test, antineutrophil cytoplasmic autoantibody (cANCA), perinuclear anti-neutrophil cytoplasmic antibodies (pANCA), antinuclear antibody (ANA), purified protein derivative (PPD), QuantiFERON, and human immunodeficiency virus (HIV) test was all conducted. Full systemic workup returned negative for any findings. After completing her course of antibiotics, she was also removed from her steroids but would continue to desaturate and lung findings remained unchanged. Patient underwent bronchoscopy but no significant mass or lesion was found to biopsy and her postoperative diagnosis remained as non-resolving pneumonia. Repeat CT scan was performed which showed minimal improvement and continue to suggest pneumonia and possibly underlying interstitial lung disease ().
The patient was scheduled for video-assisted thoracoscopic surgery (VATS) procedure with biopsy of the right middle and lower lobes. Right lower lobe wedge biopsy on pathology showed lung parenchyma with consolidation, atelectasis, and areas of fibrosis (). Right mid lung biopsy also showed foci of consolidation but also consisted of varying stages of questionable emphysema (). As the findings were highly unusual and emphysematous changes were not found on patient’s CT scans, the pathology was sent to a specialist, who confirmed the results but again noted them to be very non-specific. The patient’s post-operative status was complicated and patient desaturated overnight and required intubation. Alpha-1 antitrypsin was sent but returned elevated. The patient was successfully extubated after 2 days. She was placed back on steroids and was clinically improving over the course of another 1 week. Her pulse oximetry however on room air remained around 86% even after a week of steroids and thus the patient would be discharged on home oxygen therapy. Pulmonary function tests were significant for a forced vital capacity (FVC) moderately reduced at 1.65 L (60%), forced expiratory volume in 1 second (FEV1) severely reduced at 0.98 L (40%), FEV1/FVC ratio reduced at 59%, and MVV severely reduced at 28%. Flow volume loop demonstrated a combined obstructive and restrictive contour (). Lung volumes showed a vital capacity reduced at 1.65 L (60%), total lung capacity (TLC) reduced at 2.08 L (56%), and residual volume (RV) reduced at 0.43 L (43%). Her diffusion capacity (DLCO) was also severely reduced at 38%. These findings were suggestive of combined severe, irreversible obstructive and restrictive lung disease with severely reduced diffusion capacity. She would follow up with infectious disease and a pulmonary specialist as an outpatient for further workup and repeat CT scan in 3 weeks with further discussion with regard to possible lung transplant options.</t>
  </si>
  <si>
    <t>A 19-year-old male with sickle cell anemia, being treated with folic acid, presented to the emergency department of Samtah General Hospital, Jizan, Saudi Arabia, with fever, nausea, headache, and yellowish discoloration of sclera. Patient was living in Jizan, an endemic area of malaria, which raised suspicion of malaria infection. Patient looked unwell, conscious, and alert. His vital signs were normal except the temperature which was high (38.5 degree C). Chest examination was normal and the cardiovascular system showed normal first and second heart sounds with no added sound. Fundus examination was normal. Other systemic reviews were unremarkable. Patient was admitted in the medical ward, and baseline laboratory investigations revealed the following remarkable laboratory values: white blood cells 12 × 109/L (normal range: 4.5 to 11.0 × 109/L); hemoglobin 7.3 g/dL (normal range: 13.8 to 17.2 g/dL); mean corpuscular volume 72 fL/red cell (normal range: 80–96 fL/red cell); platelet count 62 × 103/μL (normal range: 150–400 × 103/μL); reticulocyte 2.6% (normal range: 0.5% to 2.5%); aspartate transaminase 89 U/L (normal range: 10 to 40 U/L); alanine transaminase 78 U/L (normal range: 7 to 56 U/L); total bilirubin 600 μmol/L (normal range: 1.71 to 20.5 μmol/L); direct bilirubin 200 μmol/L (normal range: less than 5.1 μmol/L); and sodium 149 mmol/L (normal range: 136–145 mmol/L), whereas the following laboratory values were found to be in normal ranges: alkaline phosphatase 120 IU/L (normal range: 44 to 147 IU/L); random blood glucose 7.2 mmol/L (normal range: 4.4–8.9 mmol/L); potassium 4.9 mmol/L (normal range: 3.6–5.2 mmol/L); magnesium 0.9 mmol/L (normal range: 0.6–1.1 mmol/L); calcium 2.3 mmol/L (normal range: 2.2–2.7 mmol/L); phosphate 1.4 mmol/L (normal range: 1.12–1.45 mmol/L); creatinine 78 mmol/L (normal range: 60–110 mmol/L); and urea 3.7 mmol/L (normal range: 2.5–7.1 mmol/L).
ECG initially showed normal sinus rhythm, and chest X-ray was normal. The patient had no previous history of cardiac arrhythmias, and his baseline ECG was normal (). Peripheral blood smear revealed P. falciparum (ring form) with parasitemia index 10%. His body weight was 74 kg and height 166 cm.
Patient was diagnosed with severe P. falciparum malaria based on clinical presentation and laboratory investigations and started on intravenous artesunate 170 mg (2.4 mg/kg) bolus slowly over 2 minutes at 0 hour, 12 hours, and 24 hours, and every 24 hours thereafter for 5 days. The powder for injection was reconstituted with 5% sodium bicarbonate and diluted in an equal volume of normal saline. He was started on paracetamol 500 mg tablet orally as needed every 6 hours. Patient was clinically improving and temperature subsided. After 4 hours of the third dose of artesunate, the patient became sick, faint, and suddenly arrested. Resuscitation was done for 32 minutes, ECG was done and showed wide complex ventricular tachycardia, and QTc (Bazett) was 516 msec (). Electrolytes were in the normal limits: sodium 136 mmol/L; potassium 4.3 mmol/L; magnesium 0.8 mmol/L; and calcium 2.1 mmol/L. Tachycardia was managed by administration of amiodarone (150 mg i.v. for 10 minutes). The patient revived and kept in ICU for further observation. There was no worsening of hemolytic anemia during and after the treatment with artesunate. The treatment plan was not changed; the next dose of artesunate was after 24 hours of the third dose (last dose given before event happened). The patient clinically improved, fever subsided, and the temperature decreased with paracetamol to 37.4°C, and he was walking and conversing normally. The treatment was completed by oral artesunate 100 mg + sulfadoxine 500 mg/pyrimethamine 25 mg tablets (3-day course).</t>
  </si>
  <si>
    <t>The patient was a 16-year-old female with a past medical history of type 1 diabetes on insulin pump therapy, previous episodes of DKA, and autoimmune hypothyroidism. She presented to the emergency department with altered mental status, severe abdominal pain, and multiple episodes of vomiting. According to her mother, all her symptoms started within the prior 24 hours. The patient was observed to be awake but disoriented with generalized abdominal tenderness to palpation. The insulin pump was taken off by the family just prior to presenting to the hospital. She presented to the hospital via emergency medical services, and her vital signs were normal upon arrival. Initial physical examination revealed a Glasgow Coma Scale (GCS) of 12 (eyes 3, verbal 4, motor 5) and the patient was localizing to pain on palpation of the right lower quadrant, without any other significant exam findings. Monitoring and intravenous (IV) access were established, and blood for laboratory evaluation was collected.
The patient was started on a lactated Ringer’s infusion. Her vital signs remained stable and upon re-evaluation, her GCS remained unchanged. With her clinical picture and previous history with DKA, initial concern was for DKA, although her initial point-of-care glucose was 109 mg/dL (reference 80–140 mg/dL) Subsequent point-of-care glucose readings showed decreasing levels less than 100 mg/dL (80–140 mg/dl) requiring glucose administration. Because of initial normal point-of-care glucose readings, the treating team pursued other causes of altered mental status. Initial labs were significant for a venous pH of 7.2 (7.35–7.45), bicarbonate of 8 mEq/L (21–28 mEq/L); anion gap of 33 millimoles per liter (mmol/L) (4–12 mmol/L); lactate of 2 mmol/L (0.5–1 mmol/L); sodium 133 mEq/L (135–145 mEq/L); potassium 4.9 mEq/L (3.6–5.2 mEq/L); blood urea nitrogen 19 mg/dL (7–20 mg/dL); creatinine of 0.8 mg/dL (0.84–1.21 mg/dL); beta-hydroxybutyrate of 3.26 mmol/L (0.4–0.5 mmol/L); initial plasma glucose of 108 mg/dL (80–140/mg/dL); and leukocytosis of 20,600 per microliter (4500–11000 per microliter).
Urine toxicology, salicylate, and acetaminophen screen and pregnancy test were negative. A non-contrast computed tomography (CT) of the brain was unremarkable. She also had an IV contrast-enhanced CT of the abdomen, which was suspicious for possible early appendicitis. With her resulting labs, other causes of elevated gap metabolic acidosis were considered. An endocrine consult was obtained for possible eDKA. Based on the consult and test results, the patient was started on an insulin drip at 0.1units per kilogram per hour as well as an infusion of a dextrose 10% solution.
Pediatric surgery was consulted, and after exam and review of the CT results recommended that the patient be taken to the operating room for an appendectomy. Surgical findings were noted to be equivocal and the appendix was removed without complication. The patient’s mental status improved post appendectomy. With fluid and insulin therapy her condition improved, laboratory abnormalities normalized within a few days, and she was subsequently discharged home. The consulting teams agreed that the final diagnosis was eDKA likely caused by appendicitis.</t>
  </si>
  <si>
    <t>HOMA-IR (Homeostatic Model Assessment for Insulin Resistance)</t>
  </si>
  <si>
    <t>What is the patient's HOMA-IR score?</t>
  </si>
  <si>
    <t>A 14 year old Hispanic female with a 3 year history of type 2 diabetes on once-daily DPP-4 inhibitor Sitagliptin presented for evaluation of morbid obesity with asthma, obstructive sleep apnea, reflux, and irregular menses. She was overweight since preschool age. Family history was notable for type 2 diabetes, obesity, hypertension, hyperlipidemia, and cholelithiasis.
At initial preoperative evaluation for bariatric surgery, weight was 129.3kg, height was 154.5cm, and BMI was 54.2kg/m2. Laboratory values were consistent with type 2 diabetes with HbA1c 10.7%, FG 210mg/dL, and 2 hour glucose 378mg/dL, and metabolic syndrome with TG 138mg/dL, HDL 39mg/dL, WC 142cm and elevated BP 120/83 (96th percentile diastolic). Despite Sitagliptin100mg daily, Lantus 28 units daily and Metformin XR 1000mg, HbA1c remained between 9.9% and 10.3% for 6 months. She refused further increase in Metformin dose given gastrointestinal complaints. Sitagliptin was stopped and Exenatide 2mg QW was initiated as adjuvant treatment to Lantus 28 units and Metformin 1000mg daily at weight 131.1kg, BMI 54.4kg/m2, HbA1c 10.2%, and FG 163mg/dl. Within two months of treatment, HbA1c improved to 7.9%. After 6 months, she had sustained glycemic control with HbA1c 8.3% and notable improvements in cardiometabolic parameters including FG (−17mg/dl), insulin (−26uIU/ml), and TG (−12mg/dl). Patient’s weight was 131.5kg on day of gastric sleeve resection surgery with Exenatide QW discontinued following surgery due to normalization of blood glucose levels (HbA1c 5.8%) and weight 118.9kg noted at 2 months postoperatively.</t>
  </si>
  <si>
    <t>Cannot be calculated because no insulin level is given (just "-26uIU/ml" which appears to refer to a reduction of 26 points from some unknown value).  HOMA-IR should not be used for patients on insulin therapy anyway.</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</si>
  <si>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and a homeostasis model assessment of insulin resistance score of 2.9,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</si>
  <si>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Charlson Comorbidity Index (CCI)</t>
  </si>
  <si>
    <t>What is the patient's Charlson Comorbidity Index (CCI)?</t>
  </si>
  <si>
    <t>A 60-year-old male patient presented with eschar of the anterior right lower leg measuring 22 x 14 cm (). There were no signs of systemic illness. He had multiple comorbidities including diabetes mellitus controlled with diet and exercise, peripheral neuropathy, chronic kidney disease (CKD), chronic bronchitis, and congestive heart failure. He reported incurring a small skin tear secondary to a fall 2 months prior. However, the wound had acutely worsened after being discharged from an outside hospital 4 days prior. The primary reason for admission had been confusion and generalized weakness attributed to pneumonia and worsening CKD. However, he also received intravenous vancomycin and cefepime due to concern for cellulitis. At admission, tibia/fibula radiographs showed soft tissue irregularity consistent with superficial ulceration and no features of osteomyelitis. Intravenous doxycycline was initiated for empiric coverage. Surgical debridement on the 2nd day of admission (DOA), revealed frank purulence beneath the eschar with necrotic tissue throughout the entire anterior compartment down to tibial periosteum (). At this time, preliminary culture results revealed light growth of fungus, yeast, and coagulase negative staphylococcus. Intravenous fluconazole was added to the patient's medication regimen until further speciation results became available. On DOA 6, final culture results identified the fungus as Rhizopus. On DOA 7, preliminary pathology found marked necrosis and invasive fungal infection with hyphae; thus, the antifungal was changed to micafungin. On DOA 8, final pathology revealed features suggestive of mucormycosis including numerous irregularly shaped hyphae, scattered necrotic-appearing vessels, diffuse Periodic acid-Schiff staining, and poor Grocott-Gomori's methenamine silver staining. However, micafungin was maintained in effort to spare the patient's remaining renal function as there was no fungal growth on repeat cultures. After consultation with dermatology and nephrology, it was ultimately decided that the benefits outweighed the risks. Thus, the antifungal regimen was changed to liposomal amphotericin B (LAmB) on DOA 10. Despite continued aggressive debridement, LAmB, and the addition of isavuconazole, repeat pathology on DOA 21 and 27 both showed invasive mucormycosis throughout the soft tissue. Due to continued positive margins after serial debridement, worsening appearance, and after consultation with the mycology division at the National Institutes of Health, a knee disarticulation was performed on DOA 39. Pathology was negative for fungal elements indicating clean margins. There was no evidence of osteomyelitis on the patella. After stabilization of medical complications, he was discharged to acute rehabilitation 12 weeks after admission with 4 weeks of oral posaconazole remaining to complete a 10-week course. Patient has no neurologic deficits. He scored 30/30 on his MMS. He has no history of stroke or other vascular disease. He never had any malignancy in the past.</t>
  </si>
  <si>
    <t>A 75-year-old male presents to the clinic for a routine follow-up. He has a PMHx of metastatic prostate cancer to the L4-L5 vertebrae on palliative treatment, SLE, and Alzheimer's. He suffered from a myocardial infarction in 2012 and underwent a CABG procedure in 2015. He is currently on furosemide 20 mg for HFrEF. He has had a hepatitis B infection 2014 but it has been well controlled with symptom support. He also is on cilostazol due leg cramping that occurs when he goes for long walks. Denies any SOB, hematuria, or neurological deficits. Despite his high risk, he has remained on anticoagulation therapy for aspirin to decrease his risk of any stroke or other embolic occlusive disease. This has been successful. His creatinine has also remained below 1.0 and is being monitored by a nephrologist for any symptom of pathology. He denies any abdominal pain and has never been on PPI in the past. His current vital signs are stable, and his physical examination is unremarkable for any acute changes.</t>
  </si>
  <si>
    <t>Points for:
Age (70-79) x 3
MI
CHF (HFrEF on diuretics)
PVD (leg cramping)
Dementia (Alzheimers)
Connective tissue disease (SLE)
Solid tumor (prostate cancer) x 6</t>
  </si>
  <si>
    <t>A 55 years old male patient with BMI 46 kg/m2 was scheduled for bariatric surgery. He had type 2 diabetes which resulted in CKD, hypertension, emphysema and dyslipidemia as comorbid problems. Patient is also on diuretics pulmonary edema due to heart failure. Patient has no history of liver disease. Upper GI endoscopy, which is a part of our preoperative workup, was performed in this patient as in all patients. Endoscopy revealed 2 separate 4-5 mm nodular lesions in gastric corpus and antrum localization (). Biopsies were taken from two lesions separately. Other stomach areas were in normal appearance. Both lesions were reported as neuroendocrine tumor. Immunohistochemically; chromogranin A and synaptophysin was reported positive. KI proliferation index was reported as 4 %. Both tumors were reported as having similar characteristics (WHO grade 2). On biopsy specimens taken from stomach corpus, inactive chronic gastritis and incomplete type focal intestinal metaplasia in the environment was detected. The patient's serum gastrin level was checked and it was detected as high (gastrin level 660). It was decided that Laparoscopic sleeve gastrectomy (LSG) would be performed on the patient because both lesion areas would remain in the extracted part of the stomach. The patient underwent a sleeve gastrectomy. In addition, intraoperative endoscopy was performed to ensure complete removal of the lesions. When the extracted specimen was opened, both lesions were removed at a distance from the stapler line. The patient was discharged on the 3rd day with liquid diet in accordance with our routine protocol. There were no complications. Histological examination of the gastric specimen revealed no residual tumor. The rate of excess body weight loss ( %EWL) was determined 55 % in the 6th month and 71 % in the 12th month. Endoscopic follow-up was planned in addition to the controls within the framework of our follow-up program after the operation. He has no neurological deficits on physical exams. They have never had any vascular disease in the past. Due to his diabetes causing kidney dysfunction he is on biweekly dialysis. He does not have any history of non-solid cancers.</t>
  </si>
  <si>
    <t>A 72-year-old male with a complex medical history presents to the clinic for follow-up. He has a significant history of metastatic prostate cancer diagnosed a year ago and has been undergoing treatment. Additionally, he has a history of Hodgkin's lymphoma, which was treated successfully five years ago, and chronic lymphocytic leukemia CLL, which is currently in remission. He also has systemic lupus erythematosus SLE, which has been managed with cyclophosphamide therapy. He is currently on PPI therapy for his duodenal ulcer. He is on propranolol for significant esophageal varices due to cirrhosis secondary to alcoholism. He is on diuretic therapy for his HFpEF. The patient denies any history of paralysis,  respiratory disease, or stroke. His A1C has never been elevated in the past. He did have a history of RLE claudication and was found to have an ABI of 0.7. He was started on exercise therapy and cilostazol. His kidney function is within normal limits. During the physical examination, the patient appears well, and his vital signs are stable. His abdominal examination reveals no abnormalities, and his cardiac and respiratory examinations are unremarkable. His current management includes regular monitoring and treatment adjustments as necessary.</t>
  </si>
  <si>
    <t>A 72-year-old male presents for a routine follow-up of his health conditions. He has been battling with a history of malignant neoplasm for which he had been receiving chemotherapeutic treatments. Significant in his medical history, is experiencing multiple non-injurious falls which specialists investigated and implicated mini bouts of cerebral ischemia in the etiology. Unrelated, yet quite impactful to his daily life, is the persistent paralysis on the left side of his body from what was diagnosed as an old cerebrovascular event. On a similar note, he has moderate renal insufficiency, which necessitates regular nephrology follow-ups. Dialysis has been mentioned but he has not been keen on it. He has a long-standing history of CHF, which has been relatively stable under optimal treatment regimen. His liver function tests have shown mild elevations indicating mild liver disease, however, liver scans have been unremarkable. He denies any history of human immunodeficiency virus exposure. He has a long-standing history of type II diabetes mellitus, his recent labs indicated renal impairment, establishing diabetic nephropathy. On questioning, he denies ever having a myocardial infarction. He claims he used to smoke heavily before his malignancy diagnosis; however, spirometry results indicate good lung function. His vascular health appears to be satisfactory with no vascular incidents except in his neurological territory. He has no complaints relating to joint or muscle pain, indicative of a connective tissue disease. There is also no mention of leukemia in his medical chronicles.</t>
  </si>
  <si>
    <t>An 80-year-old gentleman returns to the clinic for his regular follow-up review. His complicated medical history has been highlighted by several issues. He was diagnosed with a solid tumor 5 years ago, which was successfully treated and is currently in remission. He has been living with a diagnosis of HIV/AIDS for over two decades. He has been compliant with his antiretroviral medications, and his recent labs have shown undetectable viral load and stable CD4 counts. His past medical history also includes an incident of cerebrovascular accident about a year ago. Although he has made significant recovery, cognitive assessment reveals hints of dementia, based on noticeable memory lapses and occasional disorientation reported by his caregivers. He denies having any heart-related disorders, and his cardiac function has been steady over the years with no signs of dysfunction. His pulmonary history is significant for chronic obstructive pulmonary disease, an unwanted souvenir from his smoking habits in his younger days. He doesn't recall any episodes of transient ischemic attacks nor does he have any history related to hemiplegia. His health status regarding gastric ulcers has been unremarkable, with his last endoscopy, 18 months ago, showing no significant findings. With a known diagnosis of type II diabetes mellitus, he maintains a well-controlled blood glucose level with a light regimen of oral hypoglycemics. He has no history of chronic kidney disease on record, and despite his HIV status, his most recent labs demonstrate well-preserved renal function. Evaluation of his liver profile indicates no signs of liver disease. He believes in the importance of regular monitoring, and he commonly adheres to his outpatient appointments.</t>
  </si>
  <si>
    <t>A 55-year-old male presents to the clinic for routine follow-up. He shares a significant medical history, having overcome chronic lymphocytic leukemia after an intensive regimen of chemotherapy. His medical review reveals an ongoing battle with chronic kidney disease, for which he follows a strict diet therapy and pharmacological management, with substantial dialysis supplementation. He struggles with undifferentiated connective tissue disease, which impacts his day to day life. Co-existing comorbidities include chronic obstructive pulmonary disease, for which he utilizes inhaled corticosteroids, an ongoing issue due to his resistance to quit smoking in spite of encouragement from the healthcare team. He also has peripheral vascular disease, mostly managed by prophylactic measures, and diet-controlled diabetes without any end-organ damage. Increasing dyspnoea on exertion and peripheral edema suggest a presenting sign of congestive heart failure, for which further investigation is planned in the line of diuretic therapy. Assessment of liver function tests reveals mild abnormalities, indicating mild liver disease which the patient attributes to long-term use of paracetamol for pain relief related to his connective tissue disease. Without any history suggestive of aids or peptic ulcer disease, the patient denies any focal neurological deficits or cognitive changes. His main concern during the discussion revolves around disease progression and the potential implications on his work life. He is reassured of the management plan and the regular monitoring to adapt to ongoing health changes.</t>
  </si>
  <si>
    <t>A 60-year-old gentleman is seen for a follow-up in the clinic. He is a known patient with a significantly compromised pulmonary function due to long-term COPD. Despite being on bronchodilators and inhalational steroids, he has frequent bouts of wheezing. Significant in his medical history is the onset of multiple transient ischemic attacks, however, no residual neurological deficits are appreciated. His vascular history is complicated by peripheral arterial disease, for which he is on medication and advised regular foot care. He has no history of heart failure and myocardial infarction. He is a known patient of diabetes, but lately, his control has been challenging due to nephropathy, indicated by increasing proteinuria and declining glomerular filtration rate. A recent peptic ulcer diagnosis was made during his endoscopy, for which PPI and treatment for 'H. pylori' were prescribed. He manifests symptoms of liver dysfunction with ongoing investigations pointing towards chronic liver disease of moderate severity. Thus far, he has no issues with memory or cognitive function. He denies any HIV exposure, moreover, his clinical history doesn't suggest any solid tumor, lymphoma, leukemia, and connective tissue ailments. Continuation of current treatment and addressing the need for diabetes management and gastroprotection were underlined during his visit. He was also advised lifestyle modifications, regular medical reviews, and tests to monitor progression or regression of his myriad health conditions.</t>
  </si>
  <si>
    <t>A 65-year-old gentleman comes to the clinic for his regular follow-up. His medical history includes a significant episode of myocardial infarction a year ago, which rendered him to heart failure management. Thankfully, he has adhered well to his medical regimen and lifestyle modifications, presenting to the clinic with minimal symptoms of heart dysfunction. His diabetes is unique as it has led to significant end-organ damage despite medication adherence. He was diagnosed with stage III colon cancer, which required surgical intervention followed by chemotherapy, and reports regular follow-ups with oncology. In between managing his heart and cancer, he experienced a cerebrovascular accident, however, he showed full recovery with no residual impairments. His management involves a multi-specialty approach given his connective tissue disease which currently is in a stable state. He has also been dealing with a liver disease, diagnosed and followed with ongoing liver function tests which show a relatively stable moderate to severe disease. He reassures of no memory issues in his daily routine which may suggest dementia. His lungs are generally clear and show no symptomatic chronic obstructive pulmonary disease. Despite all his health issues, he maintains a positive outlook on his road to recovery. Renal function declines are not seen in this patient. There is no personal history of HIV/AIDS, lymphoma, leukemia, peptic ulcer, and peripheral vascular disease. As a part of ongoing care, he is advised to continue his current medications and scheduled for regular follow up and tests.</t>
  </si>
  <si>
    <t>A 75-year-old gentleman attends the clinic for a regular follow-up visit. He has extensively managed congestive heart failure with optimized medication regimen and shows stable symptoms. Of interest is his history of managing COPD, which currently appears under control with his inhaled medications. A few months back, he was diagnosed with peripheral arterial disease, confirmed by abnormal ankle-brachial indices; though revascularization was discussed, the patient has chosen medication and lifestyle modification. Gastric complaints led him to undergo an endoscopy revealing a peptic ulcer. Despite his age, diabetes is well controlled on oral hypoglycemia, with no signs of end-organ damage observed so far. A neurologist is currently evaluating him for cognitive issues indicative of early dementia, which has been a concern for his family due to recent memory lapses. The patient also has a history of left-sided weakness due to damage from a central nervous system pathology, which physically restricts his active movement. Notably, he is negative for HIV/AIDS and liver function tests have been normal consistently. Follow-ups and further care management are discussed and agreed upon. His positivity is encouraging and duly noted in his patient journey.</t>
  </si>
  <si>
    <t>An 85-year-old gentleman arrives at the clinic for his appointment. He has a complex medical history which includes a transient ischemic attack that left him with no residual neurological deficits. His medical records also indicate a past diagnosis of leukemia, now in remission, and AIDS, for which he is currently on antiretroviral therapy. He has peptic ulcer disease managed with a proton pump inhibitor as well as proliferative diabetic retinopathy for which he has had panretinal photocoagulation in both eyes. He has chronic hepatitis. The patient exhibits no cognitive disorders, and there's no history of heart failure. Peripheral vascular disease has been ruled out through vascular studies. There's no record of COPD, chronic kidney disease, or lymphatic cancer. The patient reports that he maintains a strict medication regimen and has prioritized lifestyle modifications. He is actively involved in his own care, asking questions, seeking clarity, showing compliance, and providing consent for his ongoing management plan.</t>
  </si>
  <si>
    <t>A 78-year-old gentleman presents for a routine follow-up with the following complex medical history. Remarkably, he had a myocardial infarction a few years back but currently exhibits no sequelae of congestive heart failure. He also carried a diagnosis of prostate cancer, for which he underwent successful treatment, and is now in remission. His chronic obstructive pulmonary disease affects his daily routine, and despite adhering to bronchodilator use, his condition shows minimal signs of improvement. He has demonstrated noticeable cognitive decline which has been diagnosed as dementia. He has had ultrasound evidence of cirrhotic changes with portal hypertension but no episodes of variceal bleeding. His creatinine is 3.5 mg/dL. His blood glucose has been elevated in the past but is now controlled with diet. Clinical discussion reveals no significant evidence of lymphoma, AIDS, transient ischemic attacks, connective tissue disease, peptic ulcer disease, peripheral vascular disease, cerebrovascular accident, or leukemia. He remains committed to the guidance delivered by his healthcare providers and shows significant compliance in managing his profile of comorbidities.</t>
  </si>
  <si>
    <t>A 70-year-old patient presents to the clinic and has the following medical history. He is currently undergoing treatment for lymphoma. He suffered a transient ischemic attack some years back, leaving him without any neurological deficit. He has peripheral vascular disease for which he takes clopidogrel. He has type II diabetes mellitus which is well controlled without complications on metformin. He has chronic obstructive pulmonary disease for which he is on bronchodilator treatment. The patient does not have congestive heart failure, liver disease, history of a solid tumor, connective tissue disease, or peptic ulcer disease. He does not have kidney disease. The patient has no memory issues that would raise concerns about dementia.</t>
  </si>
  <si>
    <t>An 88-year-old patient presents to the clinic for his routine visit. He has chronic obstructive pulmonary disease due to a long-standing history of smoking and had a previous myocardial infarction though has no signs of heart failure currently. The patient's uncontrolled diabetes has resulted in chronic kidney disease with a creatinine of 3.5 mg/dL. He has polymyalgia rheumatica for which at times he has been on prednisone. Mild liver disease was earlier observed on liver function tests, but it has shown no signs of progression. Intermittent periods of memory lapse and confusion had been noted, and further evaluation led to a diagnosis of dementia. The patient denies having ever suffered from transient ischemic attacks and his neurological examination unremarkable. He does not have a history of peptic ulcer disease, peripheral vascular disease, lymphoma, leukemia, or any solid tumors.</t>
  </si>
  <si>
    <t>A 90-year-old gentleman presents to the clinic with the following medical history. He has uncontrolled type II diabetes now complicated by chronic kidney disease with a creatinine of 4.0 mg/dL. The patient had lung cancer, which is currently in remission after chemotherapy and radiation. He is now undergoing chemotherapy for chronic lymphocytic leukemia. He has suffered transient ischemic attacks in the past but managed to avoid lasting neurological consequences. The patient's labs indicate moderate liver disease without clinical manifestations. He does not have heart failure or chronic obstructive pulmonary disease. There are no cognitive changes or memory deficits suggestive of dementia. Upon examination, no signs of hemiplegia are noted. His cardiac history does not demonstrate any myocardial infarction and gastroscopy results are negative for peptic ulcer disease. No record of lymphoma, AIDS, connective tissue disease, or peripheral vascular disease is found in his past medical records.</t>
  </si>
  <si>
    <t>An 82-year-old individual presents to the clinic; a man with significant life battles etched into his medical history. A survivor of lymphoma, his remission status is a testament to his resilience. His health panorama also includes a diagnosis of dementia, which has slowly affected his cognitive abilities over time, rendering him dependent on his relatives for activities of daily living. Symptomatology involving wheezing and dyspnea on minor exertion led to the diagnosis of chronic obstructive pulmonary disease. The patient confirms a history of peptic ulcer disease and reports being complaint with his proton pump inhibitor medication course. One of his significant associated physical challenges pertains to hemiplegia, which has limited his mobility, with no reported history of transient ischemic attacks or cerebrovascular accidents. Furthermore, he is seen for a regular check-up for his well-controlled diabetes. There's also a noted history of peripheral artery disease. Liver function tests consistently return to normal, indicating an absence of liver disease. However, the patient has no complications from congestive heart failure or no record of myocardial infraction, and regular check-ups of his heart function have remained stable. His blood work shows well-preserved renal function, with no record of moderate or severe chronic kidney disease. Rounding out his chart is the absence of leukemia or a solid tumor. Despite a relatively complex health portrait, the patient continues to show excellent adherence to his medication regimens and remains actively involved in managing his health, securing regular follow-ups for close monitoring of his health status.</t>
  </si>
  <si>
    <t>A 79-year-old gentleman attends his routine follow-up with a rich medical history. It was a jarring moment when he was diagnosed with a heart attack, prompting changes in his lifestyle and medication regime. His diabetes is notable for significant renal failure with a focus on maintaining his glycemic control through both medical and lifestyle modification. The patient confirms a past episode of a transient ischemic attack; however, no lasting neurological repercussions were observed. His renal panel measurements reveal significant decreases in kidney function, leading to a diagnosis of chronic kidney disease.</t>
  </si>
  <si>
    <t>FeverPAIN Score for Strep Pharyngitis</t>
  </si>
  <si>
    <t>What is the patient's FeverPAIN score?</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</si>
  <si>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</si>
  <si>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A 32-year-old lady presented to our emergency ENT service complaining of a sore throat. This had developed over a 7-day period and was associated with a fever and odynophagia of solids and liquids. Her symptoms had failed to improve despite a four-day course of benzylpenicillin 500 mg qds and a two-day course of metronidazole 400 mg tds. The patient reported no past medical history but revealed that she had suffered from bulimia for 15 years although general practitioner review had declined further contact with the psychiatric services because of difficult previous experiences with them. She described fortnightly purging following eating during the previous 6 months, which was followed by episodes of tonsillitis. She used no regular medications. ENT examination revealed bilaterally enlarged, erythematous tonsils, and jugulodigastric lymphadenopathy. No peri-tonsillar abscess was present. Ear examination and nose examination were normal. Blood testing was normal throughout. IgM screen was negative. The patient was admitted to our ENT service for intravenous antibiotic therapy. The patient declined followup for consideration of a tonsillectomy as she was moving to a different region. The patient was advised to contact her new local otolaryngology service for tonsillectomy consideration.</t>
  </si>
  <si>
    <t>A 39-year-old male patient, a known case of non-ischemic dilated cardiomyopathy (Left Ventricular Ejection Fraction 30%) who was in NYHA functional class II on drug therapy (Frusemide 20 mg, Aldactone 50 mg, Ramipril 5 mg and Carvedilol 6.25 mg twice daily) presented with history of recurrent palpitation and pre-syncope of 24-hour duration. His ECG revealed polymorphic ventricular tachycardia (PVT) []. On further enquiry, it was found that the patient is taking amiodarone 600 mg daily for last 3 months. Amiodarone was prescribed to him for one episode of sustained monomorphic ventricular tachycardia (VT) requiring cardioversion and he was continuing with the loading dosage of amiodarone by mistake for 3 months. There was no history of any other drug intake. Serum electrolytes were within normal limits. As there was association with no other offending agent other than high dosage of amiodarone, we kept the possibility of amiodarone induced PVT. The patient was treated with intravenous magnesium (2 g) along with intravenous lidocaine (1 mg/kg IV bolus) with out any effect. Intravenous Atropine 1.2 mg was also given to accelerate the sinus rate but failed to suppress the arrhythmia. Two more boluses of lidocaine at five minute intervals along with infusion at a rate of 1 mg/min were administered but the patient continued to have PVT. As the arrhythmia failed to respond to intravenous magnesium, atropine and lidocaine, we thought to try phenytoin to suppress the arrhythmia (a class IB antiarrhythmic drug that suppresses early after depolarization (EAD)) responsible for initiation of PVT secondary to amiodarone overdose).[] Phenytoin was administered in a dosage of 100 mg slowly every 5 minutes. After administration of 300 mg of phenytoin, significant reduction in episodes of PVT was noted and sustained sinus rhythm with corrected QTc of 490 milliseconds was restored within 30 minutes []. The patient was administered intravenous phenytoin 300 mg/day for 2 more days followed by oral phenytoin 300 mg/day. He was discharged after 1 week on oral phenytoin. Predischarge holter monitoring showed normal sinus rhythm with infrequent monomorphic VPCs and no evidence of nonsustained or sustained VT. As the patient had developed amiodarone-induced PVT due to overdose, we also assessed the patient for extra cardiac toxic effects of amiodarone. The patient did not have any history of dry nonproductive cough and lung function test was normal. His liver function test was normal but thyroid function test showed evidence of hypothyroidism (TSH&gt;10 m IU/ml with decrease in T3 and T4 levels). The patient, however, did not have any symptoms of hypothyroidism which can be subtle or even absent.[] Ophthalmological examination revealed evidence of corneal deposit but no visual impairment. In view of previous history of ventricular tachycardia requiring cardioversion with LV dysfunction, patient was advised Implantable Cardioverter-Defibrillator, but he refused due to non-affordability. He is at present asymptomatic and on medical follow-up with diuretic (Frusemide 20 mg+Aldactone 50 mg), ACE inhibitor (Ramipril 5 mg), β-blocker (carvedilol 50 mg/day), L-thyroxine 25 μg and oral phenytoin (300 mg/day) for last 2 months.</t>
  </si>
  <si>
    <t>A 45-year-old African-American female presented to the emergency department (ED) of a rural, academic medical center with a three-day history of “sore throat.” The patient rated her pain as a 7/10 and described the pain as a “burning pain and a raw sensation,” which was exacerbated by eating and drinking. She stated that she had tried over-the-counter (OTC) ibuprofen, lozenges, and oral benzocaine throat spray without any improvement in her symptoms. The patient admitted to a past medical history of hypertension, gastroesophageal reflux disease (GERD), depression, and bipolar disorder. However, she denied taking any medications for her medical conditions. She admitted to a one-pack-per-day smoking history and occasional alcohol use, but denied illicit drug use, specifically intravenous drug use (IVDU). The patient informed the practitioners that she had recently moved to the area; therefore she did not have a primary care physician, hence coming to the ED.
A review of her systems was negative for nausea, vomiting, diarrhea, shortness of breath (SOB), pain while taking a breath, cough, chest pain (CP), and skin lesions. She also denied any muscular pain, muscular weakness, or joint pain. The patient also denied any vaginal ulcerations or vaginal discharge. She did, however, admit to fevers and chills, and stated that the highest recorded temperature at home was 39.2°C. Vital signs upon presentation were as follows: temperature 38.1°C; blood pressure 108/73 millimeters of mercury; pulse 108 beats per minute; respiratory rate 16 breaths per minute, and oxygen saturation 99% on room air.
Physical examination revealed an African-American female sitting comfortably on the stretcher in no apparent respiratory distress. The patient appeared non-toxic, and conversation revealed no evidence of hoarse or muffled speech. A focused head, eyes, ears, nose, and throat exam revealed no oropharyngeal masses or uvular deviation, and no submental induration or tenderness were appreciated on examination. A bluish discoloration was appreciated on the tongue, but the patient admitted to using lozenges just prior to examination.
A focused examination of her oropharynx demonstrated mildly dry mucous membranes with confluent plaques and a white, patchy, ulcerative appearance of the uvula, tonsils, tonsillar pillars, hard palate, anterior one-third of the soft palate, and the side of her tongue ( and ).
Given the patient’s pyrexia and symptomology, rapid streptococcal antigen and a mononucleosis spot (Monospot) test were obtained. The results for the Monospot test and rapid group A strep antigen screen were negative. KOH testing was performed on the posterior pharyngeal lesion for a possible fungal etiology and was found to be negative. Given the negative test results and appearance of the lesion, the patient was interviewed again. We specifically inquired about high-risk sexual behavior, IVDU, and using immunosuppressive medication, all of which the patient denied. She was then offered basic lab work consisting of a complete blood count (CBC) with differential and complete metabolic profile (CMP) ().
Based upon those results, a diagnosis was made in the ED, the patient was started on medications, and further laboratory work was ordered to confirm the diagnosis.</t>
  </si>
  <si>
    <t>A 4-year-old boy is brought to the physician by his father because of a 3-day history of generalized rash. The rash is not pruritic. He has no cough. He has had a fever and a sore throat for 4 days. He was born at term and has been healthy except for an episode of tonsillitis 6 months ago treated with erythromycin. His immunizations are up-to-date. His temperature is 38.5°C (101.3°F). Examination shows cervical lymphadenopathy. The tongue is bright red. There is tonsillar erythema without any exudate. A photograph of the rash is shown.</t>
  </si>
  <si>
    <t>A 16 year old female Muslim from the Extreme North of Cameroon with no significant past history was treated for severe malaria using intravenous quinine. Due to refractory nausea and vomiting she was also put on intravenous metoclopramide, 10 mg three times a day. A few minutes after administration of the second dose of metoclopramide, she complained of pain and stiffness of the neck and an inability to keep her tongue in her mouth. On examination, she was conscious and anxious with a blood pressure of 124/78 mmHg, pulse rate of 90 beats/minute, respiratory rate of 20 breaths/minute and temperature of 37.3 °C. Her neck was slightly arched backwards and her tongue was hanging out. There was no accumulation of saliva in her mouth and she could swallow, but with difficulty. There were no signs of respiratory distress. The rest of her examination was unremarkable. A diagnosis of metoclopramide induced acute dystonic reaction was made. She was administered 8 mg of oral chlorpheniramine. Her dystonic symptoms subsided 4 h later, as did the nausea and vomiting. She continued her antimalarial treatment and the metoclopramide was discontinued. She did not have any further dystonic symptoms. She was discharged 2 days later and was advised to avoid taking metoclopramide. Follow-up visit 2 weeks later was unremarkable.</t>
  </si>
  <si>
    <t>The case is of a 69-year-old man with HNPCC (Lynch Syndrome, mutation in exon 15 of hMSH2), with a history of pancolectomy and Ileo-rectal anastomosis in 2004, completion proctectomy and ileostomy for pT1 adenocarcinoma in the rectal remnant in 2012 and nephroureterectomy for pT1 grade 3 transitional cell carcinoma of the left ureter in 2014. In 2016, he received radical external beam radiotherapy for T3aN0M0 prostate adenocarcinoma.
On January 17th, 2018, he underwent a Whipple’s procedure and a small bowel resection for synchronous pT3aN1(1/21) M0 adenocarcinoma of the ampulla and pT3 adenocarcinoma of the duodenum. He was left with a high output stoma. His body mass index (BMI) was 25, he was on anticoagulants for recurrent venous thromboembolism (VTE) and had no other comorbidities.
Surveillance imaging in June 2019 demonstrated metastases to the aortocaval lymph nodes. He received FOLFOX chemotherapy until October 2019 and subsequently remained stable.
On April 4th, 2020, he presented with recurrent bleeding episodes per ileostomy and a 2-day history of fever, lethargy and dry cough. His highest recorded temperature was 37.5 °C, he was not breathless and his oxygen saturation was 99% on air. His CURB-65 score was 3 [Urea 8.8 mmol/l, diastolic blood pressure (BP) 60 mm (Hg) and age &gt; 65], and he was anaemic (haemoglobin 80 g/l), leukopenic (WBC 3.3 × 109/L) and lymphopenic (0.75 × 109/L). His coagulation screen was normal and his blood type was A-positive. He tested positive (cycle threshold [CT] 16.25) for SARS-CoV-2 PCR nasopharyngeal swab (NPS). Computed tomography of the chest/abdomen/pelvis showed peripheral patchy ground-glass appearance, primarily in the right lower lobe of the lung. There was evidence of disease progression with enlarged aortocaval nodes that were now invading the adjacent Roux limb. He received red blood cell transfusions, intravenous fluids and antibiotics and his anticoagulation was withheld. He continued to manifest melena with tachycardia (100/min) and hypotension (BP 96/56 mmHg), and therefore received a further transfusion, tranexamic acid for two days and palliative haemostatic radiotherapy (20 Gy in 5 fractions) to the aortocaval mass. A SARS-CoV-2 PCR NPS on day 24 was positive (CT 34.6), and once his symptoms improved he was discharged.
He was readmitted 3 weeks later with dehydration, reduced stoma output and acute kidney injury. There were no symptoms of COVID-19; however, his NPS was still positive (CT 33.4) for SARS-CoV-2 (Day 54). He improved with supportive treatment and was discharged after five days.
In June 2020, he was seen for short-lived pyrexia. The chest X-ray was normal and no apparent infective cause was found. SARS-CoV-2 PCR (day 63) from NPS was negative at this time. His COVID-19 total antibody level was consistent with the exposure to SARS-CoV-2.</t>
  </si>
  <si>
    <t>A 6-year-old boy is presented to a pediatric clinic by his mother with complaints of fever, malaise, and cough for the past 2 days. He frequently complains of a sore throat and has difficulty eating solid foods. The mother mentions that, initially, the boy’s fever was low-grade and intermittent but later became high grade and continuous. The boy was born at 39 weeks gestation via spontaneous vaginal delivery. He is up to date on all vaccines and is meeting all developmental milestones. The past medical history is noncontributory. The boy takes a multivitamin every day. The mother reports that he does well in school and is helpful around the house. The boy’s vital signs include blood pressure 110/65 mm Hg, heart rate 110/min, respiratory rate 32/min, and temperature 38.3°C (101.0°F). On physical examination, the boy appears uncomfortable and has difficulty breathing. His heart is mildly tachycardic with a regular rhythm and his lungs are clear to auscultation bilaterally. Oropharyngeal examination shows that his palatine tonsils are covered with pus and that there is erythema of the surrounding mucosa.</t>
  </si>
  <si>
    <t>A 28-year-old man presented with severe neck pain mainly on the left side with painful swallowing for 5 days. The patient initially had asked for medical advice at a primary health care facility and was treated with antibiotics and anti-inflammatory drugs, but there was no improvement and the pain was increasing in severity. On detailed history, the patient reported that he had an attack of choking and coughing, while he was eating chicken during dinner one day before the onset of symptoms.
On examination, there was a low-grade fever and tenderness in the left side of the neck, and the pain was exaggerated by swallowing attempts. A telescopic laryngeal examination was performed. Frothy saliva was detected accumulating in the left pyriform fossa. After giving the patient some few sips of water, the examination was repeated. A white linear chicken bone was seen impacted at the left pyriform fossa with a relatively free broad base pointing anteriorly, and the other tapering end was impacted in the posterior wall of the pyriform fossa (). To rule out development of a retropharyngeal abscess, anteroposterior and lateral X-ray views of the neck were performed for the patient. Apart from the chicken bone that was poorly visualized in the lateral X-ray view of the neck, there was no evidence of retropharyngeal abscess formation.
The bone was removed in an office-based setting under guidance of video laryngeal rigid telescopic examination. In this procedure, a video laryngeal examination was carried out using a 70-degree rigid telescope, 3CCD camera, LCD monitor, and a light source. The patient was seated in the upright position with his head supported from the back. Using a cotton swab soaked with Xylocaine 10% and held by a Magill's forceps, the patient's oro- and hypopharynx were adequately anesthetized. The patient was instructed to protrude his tongue and hold it by his hand with a piece of gauze. The telescope was held by the physician's left hand and introduced carefully into the oropharynx. When the foreign body was identified in the left pyriform fossa and clearly visualized on the monitor, it was carefully removed by a curved laryngeal forceps held by the right hand of the physician (). After that, the patient was prescribed oral antibiotics in the form of Amoxycillin-Clavulanic acid (1 gm b.i.d. for 10 days) to control possible infection and an analgesic and anti-inflammatory drug in the form of Diclofenac Sodium (50 mg b.i.d. for 10 days). Then, he was discharged with a scheduled followup appointment after 7 days. On the followup visit, the patient was completely improved with disappearance of the constitutional symptoms, no pain or tenderness on the neck and normal swallowing function.</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</si>
  <si>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t>
  </si>
  <si>
    <t>A 39-year-old male was transferred to our university hospital from a rural general hospital with generalized tonic-clonic seizures. The patient presented high fever, severe headache, and purulent nasal secretions over the last three days but his vital parameters were normal. Apart from his statement that he was a tobacco smoker, no previous medical conditions were reported.
Initially, one week prior to hospitalization, he was diagnosed with inflammation of the paranasal sinusitis by a private otorhinolaryngologist who had prescribed a combined antibacterial medical treatment of amoxicillin/clavulanate potassium and clindamycin. However, five days later, he was referred to the emergency department (ED) of the rural hospital with epileptic seizure. Regarding his medical history, the patient had suffered from sinusitis five years ago but no history of epilepsy was mentioned, not even in his family history.
The CT scan that was performed revealed findings only in the right maxillary, ethmoid, and frontal sinuses but not in the parenchymal brain (Figures , ). Concerning the laboratory results, it was found a leukocytosis of over 20,000 per cubic millimeter of blood, elevated levels of C-reactive protein (CRP) and erythrocyte sedimentation rate (ESR), and mild electrolyte disturbances. Because of high suspicion for meningitis or encephalitis, the patient was transported by ambulance to our university hospital for further investigation and treatment.
Firstly in the neurology department, an intravenous combination of ceftriaxone, clindamycin, and acyclovir was given along with antiepileptics. However, for the following three days, there was no response to the antibiotics. On the contrary, the patient displayed dyspnoea and bradycardia but echocardiography did not demonstrate any pathology. For the dyspnoea, a CT scan of the chest was executed, which revealed pleural effusion and therefore it was decided to modify the antibiotic medication with vancomycin and meropenem.
After 48 hours of treatment, the patient presented disorientation and abnormal behavior. The MRI of the brain that was performed, indicated the presence of a cerebral abscess in the right frontal lobe surrounded by oedema, which caused a slight displacement of the midline (Figure ). In a new CT scan, shadows in the right frontal sinus accompanied by frontal bone thinning in the lower-posterior wall were observed.
A new evaluation was made by the otorhinolaryngologists who decided to proceed operatively. Endoscopically and under general anaesthesia, nasal polyps were detected in the nasal cavity, which were removed with the use of a flexible rhino endoscope. Then anterior ethmoidectomy and middle maxillary antrostomy were done along with drainage of pus from right sinuses. Ten days later, the fever was lower but still high and the leukocytosis was remaining. The patient started having disorientation while his headache was getting worse over days.
Due to the unimproved clinical condition, neurosurgeons considered to proceed more drastically. Specifically, under general anaesthesia, a pterional craniotomy was performed and an open approach of the frontal and right temporal lobe was achieved (Figure ). Thereafter, the brain abscess was found in the right frontal lobe and anterior part of the right temporal lobe. The purulent material and the surrounding abscess capsule were completely removed, with intend to eradicate the infectious sources and to decompress the brain parenchyma by lessening intracranial pressure. In addition, samples were taken from the abscess and sent for microbiological study for antibiotic sensitivity. Pus culture was consistent with alpha-hemolytic streptococcus that was sensitive to the antibiotics.
Subsequently, the patient was referred to the intensive care unit for constant care and close supervision for five days continuing intravenous antibiotics. The fever subsided within 72 hours. Neurological symptoms started resolving after 15 days and the patient was discharged nearly one month after the last operation presenting mild irritability, which was decreased gradually over the next two months. Six months later, an MRI was implemented where no signs of brain abscess were observed (Figure ). At the time of the last follow-up, one year postoperatively, the patient was found to be totally asymptomatic.</t>
  </si>
  <si>
    <t>On Nov 28th, 2020, a 28-year-old man was referred to our emergency department (ED) in Amir Alam Hospital, Tehran, with fever, sore throat, and dysphagia within the previous seven days. The patient had no significant medical history. He received intramuscular penicillin G followed by oral levofloxacin 500 mg/day without improvement before the admission.
His vital signs were noted for a temperature of 39.4°C, pulse rate of 105 beats/min, blood pressure of 110/60 mmHg, and respiratory rate of 18 per minute. Blood oxygen saturation on room air was 97%. He had bilateral tonsillar enlargement, covered by white exudation. Furthermore, bilateral and tender anterior cervical adenopathy was palpable. The abdominal examination revealed splenomegaly without tenderness. Other physical examinations were unremarkable. The result of complete blood count (CBC) showed 15,600/μL leucocytes with 38% polymorphonuclears and 57% lymphocytes. The peripheral blood smear displayed 37% of atypical lymphocytosis without any blast cells. The liver function tests were within normal limits. The erythrocyte sedimentation rate (ESR) was 90 mm/hr, and C-reactive protein (CRP) was 127 mg/L. Polymerase chain reaction (PCR) test of COVID-19 was negative. The blood culture was negative.
The patient was admitted with the diagnosis of infectious mononucleosis (IM). Acute EBV infection was confirmed by the positive IgM viral capsid Ag (VCA Ag). The patient's abdominal sonography showed splenomegaly.
Due to the severity of the patient's dysphagia and the high risk of upper airway obstruction, he received intravenous (IV) dexamethasone 8 mg twice a day. His condition improved partially after three days and was discharged from the hospital with oral prednisolone 30 mg/day.
Two days after discharge, the patient returned with high-grade fever, throat pain worsening, and dysphagia. Pharyngeal examination showed erythema and bilateral tonsillar swelling with whitish exudate. The ESR was 85 mm/hr.
The head and neck computed tomography (CT) scan with IV contrast demonstrated bilateral peritonsillar abscess (PTA) (measuring 23 × 45 mm on the right and 14 × 17 mm on the left side) (Figures and ). A chest and abdominal CT scan was done for ruling out lymphoma, which showed splenic enlargement with a wedge-shaped, low-density defect in the peripheral area of the spleen in favor of splenic infarction (). The results of electrocardiography and transthoracic echocardiography were unremarkable.
Since the patient was treated with various antibiotics before the admission and the history of the first hospitalization, considering resistance organisms such as Fusobacterium necrophorum, IV piperacillin-tazobactam was administered. Also, a bilateral tonsillectomy was performed with no subsequent complications.
The histopathologic examination of the tonsils showed reactive follicular hyperplasia and abscess formation. Despite negative abscess culture results, IV antibiotic therapy was continued for seven days. As the splenic infarction was asymptomatic, it was managed conservatively. The patient was discharged by oral amoxicillin-clavulanic acid with the favorable condition and recommended to perform an abdominal CT scan two weeks later to follow up splenic infarction. The splenic infarction resolved entirely in the following abdominal CT scan ().</t>
  </si>
  <si>
    <t>A previously healthy 32-year-old Egyptian lady presented to the outpatient medical clinic with a 3-month history of right-sided abdominal pain exacerbated by movement and relieved with over-the-counter analgesics. The pain was related to food intake. She described the pain as stabbing in nature and radiating to the back. She denied any history of melena, dysphagia, weight loss, anorexia, nausea, and vomiting as well as history of fever or night sweats. She did not complain of vaginal discharge or menstrual abnormalities.
She is a nonsmoker and denied any personal or family history of venous thromboembolism. Her gynecological history was remarkable for five pregnancies. She had normal vaginal deliveries except for the last one, which required an emergency Cesarean section at 36 weeks and 5 days of gestation due to placenta previa type III. One month after delivery, the patient was started on desogestrel (0.075 mg oral daily) for contraception, which she continued for 2 years. Her menstrual period was irregular, and the last withdrawal bleeding was 2 weeks prior to clinic visit.
During the initial clinic visit, her vital signs were within normal limits (temperature, 36.7°C; heart rate, 78 bpm; blood pressure, 100/66 mmHg). Abdominal examination was significant for a mild tenderness in the right upper quadrant. Bowel sounds were noted.
Initial laboratory findings, including complete blood count, renal parameters, and electrolytes, liver function, lipase, and amylase levels, were within normal limits. Beta-hCG was negative. Initial differentials included cholecystitis, hepatitis, or hepatic abscess. Thrombosis of the portal vein is a possible differential diagnosis; however, in the absence of significant risk factors in the patient's history, further evaluation by ultrasound of the abdomen is required.
Abdominal ultrasound showed multiple hyperechoic focal lesions, the largest measuring 15 × 15 mm in the right hepatic lobe, suggestive of hemangiomas, indicating further evaluation by abdominal gadolinium-enhanced MRI, which confirmed hepatic hemangiomas; additionally, right OVT was suspected. Therefore, pelvic MRI with gadolinium-based contrast was requested, which revealed a prominent right ovarian vein measuring 8 mm in diameter with loss of flow void and persistent central nonenhancement with mild peripheral enhancement, indicating partial thrombosis of the right ovarian vein. Furthermore, the left ovarian vein was patent. Mild pelvic congestion and a small follicular cyst in the right ovary was noted (, ).
Further laboratory investigations were performed to evaluate the underlying cause of the thrombosis, including factor V Leiden mutation, ANA, lupus anticoagulant, anticardiolipin antibody, beta-2 microglobulin, and JAK2 mutation, which were all negative (). Few thrombophilia tests such as anti-thrombin III, Methylenetetrahydrofolate reductase (MTHFR) gene, and protein C were not performed.</t>
  </si>
  <si>
    <t>A 31-year-old female with a past medical history significant for preeclampsia and hypertension, who presented with left-sided neck pain and headache for about a month and worse for one week. She described her neck pain as throbbing, moderate to severe in intensity, worse with right-sided neck movement, and improved with lying on the left side of the neck. She also reported an episode of bilious vomiting prior to the hospital admission. She denied fever, chills, nausea, vomiting, neck stiffness, photophobia, blurring of vision, weakness or sensory loss, joint pain, photosensitivity, oral ulcer, family history of rheumatoid arthritis, systemic lupus erythematosus, or vasculitis. Physical examination was benign, except for mild tenderness to the left side of the neck with palpation, but no redness, swelling, lymphadenopathy, bruit, or decreased was pulsation noted.
Her lab work revealed normal complete blood count with white blood cell count of 7 × 103/µL, hemoglobin/hematocrit of 14.1/41.8 g/dL, platelet count of 241; normal basic metabolic panel; and elevated sedimentation rate (ESR) to 24 (ref: &lt;20 mm/hr) and C-reactive protein (CRP) to 11.8 (ref: &lt;8 mg/L). Neurology was consulted and recommended CT angiogram (CTA) of head and neck that revealed no evidence of dissection or stenosis within bilateral carotids and no stenosis, aneurysm, or arteriovenous malformation in the anterior and posterior cerebral circulation. MRI neck soft tissue revealed hyperintensity and postcontrast enhancement and thickening of walls of the distal left common carotid at the left carotid bifurcation and proximal left internal carotid artery as well as mild thickening and enhancement of the wall of the right common carotid artery near the bifurcation, suggestive of vasculitis as shown in Figure . She was also evaluated by rheumatology. Rheumatological work-up was negative including antinuclear antibody (ANA), cyclic citrullinated peptide (CCP), centromere antibody, double-stranded DNA, histone, topoisomerase 1 (SCL-70), histidyl tRNA synthetase (JO-1), ribonucleoprotein (RNP), smith, Sjögren's-syndrome-related antigen A (SSA), and Sjögren's-syndrome-related antigen B (SSB) autoantibodies. Her immunoglobin levels (IgA, IgM, and IgG) and complement (C3, C4, and total) levels were also normal. Her infectious work-up including hepatitis B, hepatitis C, human immune deficiency virus, Epstein-Barr virus, COVID-19, syphilis serology, blood culture, and respiratory viral panel were also negative. She was started on a high dose of steroids along with trimethoprim-sulfamethoxazole prophylaxis as per rheumatology recommendations. She also had a CT scan of the thorax and abdomen with contrast to assess for vasculitis of other blood vessels, which were negative.
Her neck pain and headache improved slightly during the hospital stay and she was discharged home with a referral to an outpatient rheumatology clinic. There, the patient was diagnosed with TAK with carotidynia and secondary hypertension. The patient’s symptoms were well-controlled with 60 mg of prednisone daily. The patient subsequently transferred care to a local rheumatologist office and was placed on a prednisone taper. Patient was then started on Imuran 100 mg daily for TAK.</t>
  </si>
  <si>
    <t>A boy named D, 15 years old, with a diagnosis of LMA, 5th day of care. At the time of assessment, the main complaint was that of fever for two days. The parents said the peak of body temperature was 38.4°C. Presence of bruises in the right knee and both hands of the child. Hemoglobin (Hb) value: 6.9 gr/dL, platelets: 5000/mm3, hematocrit (Ht): 19.2%, leukocytes: 2740/mm3, ANC: 81/mm3, BP: 107/85 mmHg, HR: 115 x/minute, RR: 20 x/minute, body temperature: 38.0°C, SpO2 98%, BW: 55, 6 kg, BH: 165 cm. There were complaints of nausea. The child had good nutritional status and his hydration status was adequate, with a positive fluid balance and no signs of overload. The child’s rest and sleep statuses were adequate.</t>
  </si>
  <si>
    <t>Cannot calculate without the throat findings on physical exam</t>
  </si>
  <si>
    <t>Free Water Deficit</t>
  </si>
  <si>
    <t>What is the patient's free water deficit in terms of liters? You may take the ideal sodium concentration to be 140 mEq/L.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</si>
  <si>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</si>
  <si>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low density lipoprotein-cholesterol &lt;10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</si>
  <si>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A 14-year-old Syrian girl was referred to our pediatric endocrinology clinic for evaluation of short stature, amenorrhea, and hirsutism. In her medical history, there was no known consanguinity between the parents. She had three healthy sisters without hirsutism and/or clitoromegaly. On physical examination, height was 140.5 cm [Standard deviation score (SDS): -3.5] and weight was 43.4 kg (Body mass index (BMI): 22.1, +0.8 SDS). Blood pressure was normal. She appeared to be of normal intelligence. Target height was 153.5 cm (SDS: -1.0). The patient’s breast development conformed to Tanner stage 1 and her pubic hair to Tanner stage 5. Facial acne, severe hirsutism with systemic skin hyperpigmentation, and clitoromegaly (4x1.5 cm) with a single urogenital orifice (Prader stage 4) were detected. There was no palpable gonad in the inguinal region.
Laboratory findings revealed a LH level of 3.1 mIU/mL (N: 2.1-10.8) and a FSH level of 6.3 mIU/mL (N: 4.5-22). Estradiol level was &lt;20 pg/mL, progesterone 31.9 ng/mL (N: 0.1-1.5), prolactin 12.6 ng/mL (N: 2.7-19.6), free thyroxine (fT4) 0.8 ng/mL (N: 0.6-1.4), and TSH 1.7 uIU/mL (N: 0.3-4.6). Serum sodium level was 138 mmol/L (N: 136-146) and potassium was 4.3 mmol/L (N: 3.5-5.1). Adrenocorticotropic hormone (ACTH) level was 319 pg/mL (N: 4.7-48.8), cortisol 7.8 ug/dL (N: 6.7-22.6), dehydroepiandrosterone-sulfate (DHEA-S) 720.6 µg/dL (N: 35-430), total testosterone 4.4 ng/mL (N: 0.1-0.7), androstenedione 13 ng/mL (N: 0.3-3.3), and 17-OHP level was below the detection limit (&lt;0.05 ng/mL), (N: 0.2-1.3) ().
ACTH1-24 stimulated levels for 17-OHP, cortisol, and DHEA-S were &lt;0.05 ng/mL, 8.03 ug/dL, and 750 ug/dL, respectively. The epiphyses were closed and the bone age was adult level. Pelvic ultrasonography confirmed the presence of a uterus (53x13x22 mm) with bilateral ovaries (2 mL/2.3 mL). Adrenal ultrasonography revealed adrenal hyperplasia. Karyotype was 46,XX.
Surprisingly, initial and stimulated serum 17-OHP levels were very low, while the androgen levels were high. This unexpected result led to suspicion of a high-dose hook effect. The measurement was repeated after 1/10 dilution of serum, and a very high level of basal 17-OHP (115.4 ng/mL) was detected with the same test-enzyme-linked immunosorbent assay (ELISA) (DiaMetra, Segrate, Italy). The assay employs the quantitative sandwich enzyme immunoassay technique.
These findings were in line with a diagnosis of the SV form of 21-OHD, and oral hydrocortisone (15 mg/m2/day) therapy was initiated. Two months later, the serum levels of androgens were still above normal limits () and, therefore, oral hydrocortisone was switched to oral dexamethasone (0.5 mg/day). At the clinical follow-up on this therapy, breast tissue progressed to Tanner stage 4 in three months. Clinical and laboratory findings at follow-up are shown in . After psychological evaluation, vaginoplasty and cliteroplasty were scheduled.
To confirm the diagnosis of 21-OHD, genetic analysis was performed from the DNA of peripheral blood leucocytes of the patient, and a previously known () homozygous missense p.I173N (c.518T&gt;A) mutation in exon 4 of CYP21A2 gene was detected. Genetic analysis could not be performed in the parents due to economic reasons.</t>
  </si>
  <si>
    <t>As reported in the vignette, this patient does not appear to have a free water deficit as her sodium concentration is measured below ideal. If she is hyperglycemic, the measured sodium may be reading inaccurately low, but untreated 21-OHD patients shouldn't be at high risk for hyperglycemia.</t>
  </si>
  <si>
    <t>A 53-year-old man (height, 170 cm; weight, 89 kg) was admitted to the hospital because of a 1-year history of shortness of breath after exercise. The patient was a smoker, had a history of hypertension, and was taking captopril and nimodipine. Breathing was reduced in the left lung. However, neither rhonchus nor moist rales were heard during auscultation. Chest computed tomography revealed a GEB, and the left lung was compressed by about 95% with a right mediastinal shift (). An electrocardiogram showed normal findings, and echocardiography revealed that the heart was located in the right thoracic cavity. The left ventricular diastolic function was decreased, and the left ventricular ejection fraction was 64%. Laboratory tests showed no obvious abnormalities. Arterial blood gas analysis showed the following: pH: 7.43, PaCO2: 41 mmHg, PaO2: 94 mmHg, lactate: 1.4 mmol/L, potassium: 3.6 mmol/L, sodium: 138 mmol/L, calcium: 1.10 mmol/L, FiO2: 21%, and SpO2: 98%.
On the day of surgery, the patient’s electrocardiogram, blood pressure, SpO2, and bispectral index were monitored upon entry into the operating room. A radial artery catheter and right internal jugular venous catheter were placed. The patient’s arterial blood pressure was 175/109 mmHg, heart rate was 90 beats/minute, and SpO2 was 94%. Before anesthesia, 40 µg of dexmedetomidine was infused within 10 minutes. The thoracic surgeon then created a small incision at the intersection of the sixth intercostal space and the left mid-axillary line to puncture the lung bulla and insert an indwelling catheter (14 Ga, 16 cm in length; Arrow International/Teleflex, Wayne, PA, USA) into the GEB to drain it for 15 minutes. The patient was preoxygenated with 100% oxygen at 6 L/minute for 5 minutes. Anesthesia was administered using 100 mg of propofol, 30 µg of sufentanil, and 50 mg of rocuronium. A 37-Fr right double-lumen endotracheal tube was inserted with the help of a visual laryngoscope, and single-lung ventilation was performed after proper alignment had been confirmed by fiberoptic bronchoscopy. The tidal volume was set at 5 to 6 mL/kg, the respiratory rate was 15 to 17 breaths/minute, the positive end-expiratory pressure was set at 5 cmH2O, and the inhalation:expiration ratio was 1:2. Propofol, remifentanil, and sevoflurane were used to maintain anesthesia. The intraoperative bispectral index was maintained at 40 to 50. After resecting the GEB (), one-lung ventilation was switched to two-lung ventilation and the lungs slowly expanded with a low tidal volume until complete lung re-expansion was observed. During the 3-hour surgery, the patient experienced 50 mL of blood loss, was administered 1300 mL of lactated Ringer’s solution, and excreted 500 mL of urine. After the operation, the double-lumen endotracheal tube was replaced with a single-lumen endotracheal tube and the patient was sent to the intensive care unit for monitoring and further treatment. Two hours after entering the intensive care unit, the patient was fully awake and the tracheal tube was smoothly removed. The following day, the patient was transferred to the thoracic surgery ward, where he recovered; he was discharged 12 days later. Postoperative chest computed tomography showed that the lungs were well inflated with no abnormalities ().</t>
  </si>
  <si>
    <t>A 46-year-old man (weight approximately 50 kg) with Crohn's disease from adolescence and short bowel syndrome was admitted to the gastroenterology general ward due to fever. He received total parenteral nutrition and developed a catheter-related bloodstream infection. On the third day of hospitalization, he was transferred to our ICU due to hypotension and multiple organ impairment. On examination, he was alert, and his blood pressure, heart rate, respiratory rate, oxygen saturation, and body temperature were 74/44 mmHg, 130 beats/min, 16 breaths/min, 92% (under ambient air), and 37.5 °C, respectively. Arterial blood gas findings were as follows: pH of 7.44; PaO2 of 75; PaCO2 of 37; HCO3 of 25.1, and lactate of 32 mg/dL. His lactate level was elevated, and he developed septic shock. The WBC count was 13,000/μL, the Hb level was 13.5 g/dL, and the PLT count was 142,000/μL. The BUN level was 40.5 mg/dL, the Cre level was 3.78 mg/dL, the ALT level was 834 U/L, the AST level was 12,743 U/L, the T-bil level was 2.3 mg/dL, the Na level was 130 mEq/L, and the K level 4.8 mEq/L. The CRP and PCT levels were both abnormal at 6.00 mg/dL and 5.24 ng/dL, respectively. Coagulation abnormalities were also present, with an APTT of 55.0 seconds, a PT of only 28.8% of the normal range, FDP of 103.0 μg/mL, a D-dimer level of 52.05 μg/mL, a fibrinogen level of 222.0 mg/dL, and an AT-III level of only 38.7% of the normal range. β-d-glucan was within the normal limit of 4.77 pg/mL. The SOFA score [] was 10 points, and the JAAM DIC diagnostic criteria score [] was 5 points. In the ICU, he received 0.5 g meropenem intravenous every 12 hours, 100 mg micafungin intravenous every 24 hours, recombinant human soluble thrombomodulin, antithrombin gamma, and 200 mg/day of hydrocortisone intravenously; norepinephrine was initiated at approximately 0.15 μg/kg/min. We started CHDF on the first day of ICU and switched to cPED the next day. After one session of cPED, CHDF was reintroduced and terminated on day seven of the ICU. Candida parapsilosis was later detected in his blood culture. The patient was retransferred to the general gastrointestinal ward on the eighth day in a stable condition.</t>
  </si>
  <si>
    <t>A 17-month-old girl was admitted to the hospital with a 5-month history of periodic watery non-bloody diarrhea developed after antibiotic treatment. She also presented body weight loss (2 kg per 3 months) and flatulence, but no abdominal pain. The patient was admitted to the hospital in a poor condition with dehydration symptoms, her abdomen was distended, no peristalsis, but also no mass palpable was observed during the physical examination. On admission to the hospital, the child was feverish (38.5˚C). Serum electrolyte concentration indicated hyponatremia and severe hypokalemia (sodium 129 mmol/l, potassium 1,6 mmol/l). An intravenous potassium solution was used. It was required about 60 mmol of potassium per day to obtain a potassium serum concentration of 3 mmol/l. Because of the massive watery diarrhea and so severe hypokalemia, a VIP-secreting tumor was suspected. The computerized tomography scan (CT) showed a heterogeneous tumor (45 × 45 × 65 mm) with calcifications localized in retroperitoneal right space in front of the aitchbone. In 24-hour urine test, the increase of dopamine (356 µg) and normal value of vanillylmandelic acid (VMA) (1.9 mg) were observed. Serum neuron-specific enolase (NSE) and VIP concentration were above the upper limit of normal (31.61 ng/ml and 222 pmol/l respectively). The ferritin value (53.89 ng/ml) was in the normal range. A bone marrow examination as well as skeletal scintigraphy and metaiodobenzylguanidine (mIBG) scintigraphy did not detect any metastases. The patient underwent surgery, removing the tumor (65 × 43 × 42 mm) and local lymph nodes. The pathology examination revealed an atypical ganglioneuroblastoma (). The first molecular test showed a positive amplification of MYCN and chemotherapy was applied – carboplatin/etoposide, and subsequently cyclophosphamide, vincristine and doxorubicin (CADO). This treatment was completed after molecular verification (negative amplification of MYCN). 2.5 years after surgery patient remains free of disease (mIBG scintigraphy and magnetic resonance (MR) did not indicate the relapse of ganglioneuroblastoma). The VIP serum concentration was also normalized.</t>
  </si>
  <si>
    <t>Can't calculate free water deficit without a patient weight, but this patient with hyponatremia does not appear to have a free water deficit anyway.</t>
  </si>
  <si>
    <t>A previously healthy 7-year-old boy was brought to the emergency department by his mother with complaints such as vomiting, fatigue and colicky abdominal pain associated with diffuse, self-limiting arthralgias, and petechial rash of both legs. His medical history revealed having throat infection one month before admission. Complete blood count was within normal range for his age, as were his serum electrolytes. Blood examinations revealed an elevation of C-reactive protein and revealed both normal white blood cell and platelet counts. Serum IgA, C3 and C4 levels were all within normal limits and a urine examination also showed normal findings. Physical examination revealed mild proteinuria, hypertension and moderate anasarca (periorbital edema, ascites, and lower-extremity pitting edema). No medication and renal biopsy were performed because of the silent findings. However, two weeks later, after the admission for HSP, he complained of polydipsia and polyuria complaints and a physical examination revealed a 10-kg decrease in his baseline weight. There was no parental history of diabetes. In physical examinaTion weight: 16 kg (3rd percentile); height: 115 cm (25–50th percentile); pulse rate: 80/min; respiratory rate: 24/min; blood pressure: 100/60 mmHg; temperature: 36°C, his general state was poor and his consciousness was lethargic. Skin turgor and tonus were also diminished. There were petechial rashes on his abdomen and lower extremities that progressed to nonblanchable macules (Figure ). He also had a fruity breath smell, dry mucous membranes, and tachypnea. Other examinations were normal. Laboratory studies yielded the following values (normal ranges were given in brackets): white blood cell count; 14.200/mm3 (6000–17500) with a normal differential formula; blood urea nitrogen, 9.34 mg/dL (5.7–20.1); serum creatinine, 0.6 mg/dL (0.1–0.9); albumin, 4.2 g/dL (3.5-5); sodium, 127 mmol/L (139–146); potassium, 4.51 mmol/ L (3.5–6.0); phosphorus, 2.8 mg/dL (4.9–7.9); and glucose, 27.83 mmol/L (3.3–5.0). Arterial blood gas values showed a pH of 7.10 (7.35–7.45); and bicarbonate: 8.4 mmol/L (21–28). Urine and serum ketones were positive. Urinalysis showed glycosuria. HbA1c was 11.7% (4.2-6.4). C-peptid level was 0.7 ng/mL (1.1-3.2). Insulin level was 4.28 μIU/mL (1.9-23). Autoantibodies including insulin, islet cell, glutamic acid decarboxylase were negative. Thyroid function tests were normal. Prothrombine time and partial thromboplastin time, immunoglobulin A, complement proteins C3 and C4, anti-DNA, antinuclear antibodies, and ASO levels were normal, as were serological tests for EBV and TORCH. Serum antigliadin and anti-endomysium antibodies were negative for the diagnosis of Celiac disease. Occult blood test in stool, urine and throat cultures were negative. The diagnosis of type 1 DM which presented with diabetic ketoacidosis accompanied by HSP was clinically made. A bolus of normal saline (20 mL/kg) was given intravenously, after which intravenous fluids were continued. Regular insulin via a continuous infusion at 0.1 IU/kg/h was started, and potassium was administered at 1 mEq/kg/day. The patient subsequently recovered and was followed by the Pediatric Diabetes Unit and given continued insulin treatment.</t>
  </si>
  <si>
    <t>A 25-year-old wheelchair bound multiparous woman at 18 weeks of gestation with a history of OI, scoliosis, and dwarfism presented with complaints of abdominal pain, nausea, and vomiting. The patient denied any history of cardiac disease. She did give a history of not being able to be ventilated or intubated during her last caesarean section, culminating in an emergent tracheostomy that was later removed. Based on her medical history and physical exam, she appeared to have a moderate form of OI.
On admission to the ER, no fetal heart tones were noted. CT findings revealed expanding hemoperitoneum from a possible uterine rupture. Initial assessment pointed to hypovolemic shock. On physical exam, the patient was 41 inches tall (3′5′′), weighing 37 kg, with flexed upper extremities and short, bowed legs. Airway examination revealed a short neck with limited neck extension, two-fingerbreadth thyromental distance, small mouth opening, Mallampati class 3, poor dentition and a tracheostomy scar. Her abdomen was grossly gravid with an umbilical hernia and was tender to light palpation. The patient was alert and oriented, in visible pain and distress, while recumbent in the fetal position. Preoperative vitals and pertinent labs were as follows: temperature 97.9°, HR 110 BP 70–100/30–40, RR mid-20 s, and SpO2 99-100% on room air.
WBC 20.9 k/μL, H/H 6.1/19.1, platelets 243 k/μL, sodium 139 mEq/L, potassium 3.4 mEq/L, chloride 109 mEq/L, bicarbonate 10 mEq/L, urea nitrogen 13 mEq/L, creatinine 0.51 mg/dL, glucose 366 mg/dL, calcium 7.1 mg/dL, and lactic acid 5.7 mmol/L were found. The venous blood gas revealed pH 7.1, partial pressure of carbon dioxide 41.3 mmHg, partial pressure of oxygen 38.9 mmHg, base excess −15.3 mmol/L, hemoglobin 4.6 g/dL, and glucose 214 mg/dL.
A right femoral triple lumen catheter was emergently placed in the ER. The patient's hemodynamic status improved with normal saline resuscitation and packed red blood cells (PRBCs).
The patient was transported to the OR for an emergent exploratory laparotomy. On patient sign-in with the anesthesia team, OR nursing staff, and surgical team present, the patient confirmed the procedure written on the consent form, including a possible hysterectomy if it was life-threatening. She emphasized her desire to maintain fertility for future pregnancies if possible.
The anesthetic plan, potential complications, and the Do Not Resuscitate (DNR) status were subsequently addressed to the patient and the anesthesia team. Both the OR nursing staff and surgical staff were present for the discussion. The patient indicated her understanding and gave verbal consent for full resuscitative measures in the perioperative period. American Society for Anesthesiologist (ASA) monitors were placed and a right radial arterial line was inserted in sterile fashion in place of the noninvasive blood pressure cuff to avoid possible bony trauma. An arterial blood gas was immediately obtained.
Fiberoptic intubation was attempted to avoid possible complications from direct laryngoscopy, anticipated difficult airway, and use of succinylcholine. No sedation was given secondary to possible risk of aspiration, hemodynamic instability, and desaturation in the setting of a difficult airway. The airway was topicalized with aerosolized 4% lidocaine and a negative gag reflex was achieved. The initial fiberoptic intubation was attempted unsuccessfully via an Ovassapian airway. There was limited mouth opening, and the mouth was small as well. These features made placement of the Ovassapian airway difficult. The patient had a persistent gag reflex despite additional topicalization through an epidural catheter threaded in the bronchoscope port. A second fiberoptic attempt was made through a slit 22 F nasopharyngeal trumpet placed in the left nostril. The nares were tight and edematous. These features made it difficult to pass the bronchoscope down the correct passage to the nasopharyngeal space. Despite the distorted anatomy, the nasal fiberoptic approach proved successful. A gradual inhalational induction and maintenance with sevoflurane was instituted to avoid severe hypotension.
The patient remained hemodynamically stable throughout the intubation process. A 14 G right external jugular intravenous line was placed. The patient remained normothermic via an upper body Bair Hugger™ and a fluid warmer. The baseline intraoperative arterial blood gas (ABG) revealed pH 7.49, partial pressure of carbon dioxide 19 mmHg, partial pressure of oxygen 144 mmHg, base excess −8.1 mmol/L, lactic acid 4.2, hemoglobin 6.2 g/dL, and glucose 128 mg/dL. Upon initial surgical approach, 2 L of blood was evacuated from the abdomen. Hemostasis was obtained quickly. Aggressive resuscitation instituted at the time included 3 L of crystalloids and 4 U of PRBCs. Further exploration of the abdominal contents confirmed a ruptured uterus with an extra-uterine fetal demise.
The option of hysterectomy was discussed by the obstetricians and gynecologic-oncologists due to the increased risk of morbidity and mortality for this patient. The surgeons were primarily concerned about possible uterine rupture and postpartum hemorrhage in subsequent pregnancies. Secondary concerns regarding this patient included poor prenatal care and failure to obtain anesthesiology consultation prior to admission for delivery. The anesthetic consultation was felt necessary for team-based clinical management planning due to the high-risk nature of this patient's condition. In response to the considerations for hysterectomy while in the operating room, the anesthesiologist advocated for the patient's wishes, reemphasizing her desire to maintain fertility, if possible. The uterus was repaired and conserved. The patient was transported to SICU and was successfully extubated on postoperative day #1 without complications.</t>
  </si>
  <si>
    <t>A 10-year-old girl was admitted to our clinic due to ketoacidosis associated with newly diagnosed type 1 diabetes. Prior to admission, she had suffered from polyuria, polydipsia, and nycturia for about 2 weeks, and presented with fatigue, drowsiness and a lack of appetite for the last two days. Her history did not include any chronic diseases, and she had normal growth and development.
On admission, she was in a serious state, suffering from vomiting and dehydration, and displaying Kussmaul breathing, a respiratory rate of 45 breaths/min and tachycardia. The blood test revealed a blood glucose level of 26.8 mmol/L (482 mg/dl), pH 6.902, base excess (BE) of − 29.3 mmol/L, HbA1c of 12.9%, sodium level of 142 mEq/L, potassium level of 4.11 mEq/L and ketone level of 6.1 mmol/L. The patient was treated according to the recommendations of the International Society of Pediatric and Adolescent Diabetes and the Polish Diabetes Association [, ].
Initially the patient received 500 ml of 0.9% NaCl IV infusion. Next, a continuous IV infusion of short acting insulin was commenced with 2,5 U/ h dose, taking into consideration that the patient weight was 40 kg. IV Insulin infusion was sustained for 51 h with dosages ranging from 1,5 U/h to 4 U/h. Overall the patient received 81,75 units of IV insulin during the first 24 h of treatment. Moreover, potassium was supplemented intravenously accordingly to changes in electrolytes results. Although she remained in a serious condition during the first 24 h of treatment, she stopped vomiting and showed gradual improvement in blood test results, with pH normalization and a decrease in the level of ketones. The glucose level was maintained between 8.3 and 13.9 mmol/L (150–250 mg/dl) with intravenous insulin and glucose infusions. The neurological status was checked hourly, and was reported as stable. An ECG was performed within the first few hours of admission, which did not reveal any crucial abnormalities aside from tachycardia. The patient received 65 units of IV insulin during the second 24 h f treatment. During the whole continuous insulin infusion the patient fluid input was 7850 ml (4750 ml IV, 3100 ml orally) and diuresis was 3400 ml.
The patient’s overall condition improved during the second day of treatment, despite the fact that she was still receiving intravenous insulin. That day irregular heartbeats were noticed on auscultation during the physical examination and on the ECG monitor. A second ECG showed premature ventricular complexes (PVCs; also known as trigeminy) with LBBB (left bundle branch block) morphology and a normal axis (Fig. ). Continuous ECG monitoring was subsequently implemented, and the patient underwent a cardiac consultation. The echocardiogram showed no abnormalities in the structures of the heart and great vessels. The consultant cardiologist confirmed the diagnosis of ventricular arrhythmia (PVCs). The blood results revealed hypokalemia (nadir at 2.9 mmol/L) and hypophosphatemia (nadir at 0.45 mmol/L).
The ECG performed after the first recognition of the patient’s the irregular heart rhythm (Fig. ) showed: sinus rhythm at 100/min, normal cardiac axis, with premature ventricular complexes. Normal PQ interval (0,14 s), normal QRS duration (0,08 s), normal QT interval (0,31 s)and QTc 0,40 QTd 0,04 s. Normal T wave and repolarization. The biochemistry results at that moment were: Na 134 mmol/L Na 134 mmol/l [132–145]; K 3,56 mmol/l [4,1-5,3]; Ca 2,70 mmol/l [2,1-2,6]; Mg 0,83 mmol/l [0,53-1,11]; Phosphate 0,45 mmol/l [1,1-2,0] (assessed for the first time); pH 7,34 [7,35-7,45]; BE-11,5 mmol/l [− 2,0/+ 3,0]; HCO3 14,2 mmol/l [22,5-30,0]. CK level was not determined. The pattern visible in the ECG was not typical of hypokalemia, which is connected with initial T-wave decrease, followed by ST-segment depression, T-wave inversion, PR interval prolongation and increased P-wave amplitude, observed with further decreases in serum potassium levels. Severe hypokalemia may be associated with giant U-waves created by T- and U-wave fusion. Tachyarrhythmia and rarely atrioventricular block may evolve [–]. In our case we did not observe such abnormalities typical to low potassium level in the ECG. Moreover, the ECG was not typical of hypercalcaemia, which causes prolonged PQ interval and shortening of QT interval [, ]. Taking above into consideration we propose possible association between hypophosphatemia and premature ventricular complexes reported in the ECG.
Potassium was supplemented both orally and intravenously. Overall the patient received 123 mEq of potassium during the continuous insulin therapy. As far as phosphorus is concerned, the patient was fed with liquid dairy products that were rich in phosphate, as she was only able to swallow small amounts of non-solid foods due to odynophagia. She was also started on oral phosphate supplementation (phosphate mixture containing 17.8 g Na2HPO4 and 4.88 g NaH2PO4 in 100 ml of distilled water, containing 1.6 mmol of inorganic phosphate per 1 ml). As 1 mmol of inorganic phosphate weighs 31 mg, our patient was receiving 62 mg Pi/kg body weight every 24 h from the phosphate mixture. She continued to present an irregular heart rate, thus a 24-h ECG Holter monitor examination was performed. The results showed 38,000 monomorphic PVCs, 1615 occurrences of ventricular bigeminy, 1230 of ventricular trigeminy and 453 of ventricular quadrigeminy, which comprised 38% of all the heart electrical activity recorded.
The patient was started on intensive subcutaneous insulin regimen at the 3 day of treatment, after the biochemistry results improved. In the beginning she was receiving 15 units of ultra- long acting basal insulin and 27,5 units of rapid acting insulin for meals and correction doses.
The patient’s serum phosphate level normalized over the few next days of treatment (Table ), and ventricular arrhythmia ceased almost completely. Subsequent ECG Holter examination showed 1760 PVCs, 13 episodes of ventricular bigeminy and 79 episodes of ventricular trigeminy. Additionally, we noticed hypocalcaemia after 3 days of phosphate supplementation. Taking into consideration the patient’s severe vitamin D3 deficiency (25(OH)D3 level 9.83 ng/ml), we supplemented both calcium and vitamin D3.
Gradually the patient regained insulin sensivity and entered a partial remission phase. C- peptide level was 0,84 ng/ml.
The patient was discharged in an overall good condition receiving intensive functional insulin therapy. The regimen included 10 units of basal insulin administered once daily in the evening and rapid acting insulin with insulin: carbohydrate ratio set for each meal and also with recommended correction doses.
A cardiac check-up at the outpatient clinic following discharge revealed no signs of cardiac arrhythmia. The patient is currently on an insulin pump therapy regimen, and her growth and development are within the normal range.</t>
  </si>
  <si>
    <t>A 24-year-old Caucasian woman was admitted to the Accident and Emergency Department of our hospital with a sudden episode of nausea, vomiting and collapse, having become acutely unwell whilst at work. There was no past medical history and she was not taking any regular medication. On examination she was of normal body weight (weight 53 kg and body mass index 21 kg/m2), afebrile and her blood pressure was 103/56 with no postural change measured. Although she appeared drowsy and unwell, her systemic examination was unremarkable and no focal abnormalities were found on neurological examination of the central or peripheral nervous system. Initial biochemical analysis revealed sodium 127 mmol/l, potassium 3.2 mmol/l, urea 3.8 mmol/l, creatinine 77 and glucose 4.1 mmol/l. Inflammatory markers (white cell count and C-reactive protein) were normal. A computerised tomography (CT) and magnetic resonance (MR) of the brain demonstrated normal ventricles, no focal lesion or mass effect and normal sagittal sinus flow. Upon lumbar puncture, performed in the lateral decubitus position, an opening pressure of 40 mm of water was documented. Cerebrospinal fluid (CSF) microscopy revealed two white blood cells (WBCs) per mm3, &lt;1 red blood cell (RBC) per mm3 and no organisms. CSF chemistry was unremarkable: protein 0.4 g/l and glucose 3.2 mmol/l. The patient had remained drowsy and she was managed in the Intensive Care Unit with a presumptive diagnosis of acute meningoencephalitis with a secondary syndrome of inappropriate anti-diuretic hormone (SIADH). No measurements of serum or urine osmolality were made. She was treated with antibiotics and acyclovir and was also supported with intravenous fluids and, within 24 hours, had improved such that she was transferred back to the ward.
During subsequent review she admitted to several months of generalised fatigue, sometimes falling asleep at work, and of intermittent headaches. With subsequent neurology specialist input to review the grossly elevated intracranial pressure, accompanied by normal imaging and CSF analysis, the patient was commenced on acetazolamide 250 mg daily for presumed idiopathic intracranial hypertension (IIH). Visual acuity and visual field (Goldman perimetry) testing was unremarkable. On endocrine review, generalised hyperpigmentation with facial melasma were noted and, although she had no buccal pigmentation, she did have marked pigmentation of a recent scar over her left shoulder (Figure ). A short synacthen (250 mcg) test (SST) was performed and demonstrated adrenal insufficiency with basal cortisol at 231 nmol/l, 30 minute cortisol 265 nmol/l and 60 minute at 200 nmol/l. A repeat SST showed basal cortisol at 138 nmol/l and 30 minute cortisol at 159 nmol/l and confirmed adrenal insufficiency. Adrenal antibodies were negative. Her plasma adrenocorticotropic hormone (ACTH) was raised at &gt;278 pmol/l consistent with primary adrenal failure. She was commenced on glucocorticoid (hydrocortisone 10 mg bd) and mineralocorticoid (fludrocortisone 50 mcg) replacement therapy and discharged. On subsequent review two weeks later, she was feeling much better with CSF pressure reduced to 25 mm of water on repeat lumbar puncture. Acetazolamide was discontinued after three months and on subsequent reviews at six and 12 months, she continued to remain well on hydrocortisone and fludrocortisone replacement.</t>
  </si>
  <si>
    <t>We are presenting a case with acute abdomen, i.e. ileum perforation, caused by accidentally ingesting a chicken wishbone.
A fifty-year-old male was presented in the surgical emergency clinic with abdominal pain, nausea, and vomiting. The symptoms had started two days earlier. He used tobacco, but denied having consumed alcohol. The patient's height was 170 cm and his weight was 120 kg. His vital signs were: blood pressure 120/80 mmHg; pulse rate 90 beats/min.; respiration rate 19/min.; body temperature 38.5°C. His past medical history consisted of surgery for a thrombophlebitis in his right arm one year earlier.
Upon physical examination, a distended and diffusely tender abdomen with right lower abdomen rebound was revealed. The patient's skin and mucosa were pale.
The emergent laboratory tests revealed as follow: white blood cells (WBC): 12.6 × 109/liter; serum creatinine: 126 mol/L; blood urea nitrogen: 8.6 mmol/L; blood sugar: 11.6 mmol/L; Na: 141 mmol/L; K: 4.0 mmol/L; Ca++: 1.08 mmol/L; urinalysis: a lot of mucus, 4–6 Leucocytes; some epithelial cells. Plain abdominal radiography showed mechanical obstruction. Urgent abdominal ultrasound revealed mechanical obstruction, dilated small bowels and free liquid in the peritoneal cavity.
Laparotomy was performed in general anesthesia on the day the patient was admitted. Intra operative findings revealed diffuse fibro purulent peritonitis with adhesions between small bowels; and about 40 cm from Bauchini valve the presence of a sharp chicken wishbone perforated the ileum at the ante mesenteric site (Figure ). The wall of that part of the ileum was thick and succulent. The patient was treated after the adhesiolisis with resection of the perforated distal ileum and ileum stoma. The postoperative treatment went well; the wound healed per secundum. Clebsiela spp. was isolated in the stained abdominal liquid and treated with the proper antibiotics. Four months after the first operation and losing 25 kg, the patient underwent reconstruction of bowel continuity, and discharged on the tenth postoperative day with normal bowel movements.
Retrospectively, after the first operation the patient admitted that four days earlier he had rapidly eaten and swallowed several mouthfuls of chicken meat without chewing and accidentally ingested a chicken bone.</t>
  </si>
  <si>
    <t>A 21-year-old Caucasian male was admitted to a hospital (collaborating institution) in Southern Germany in late summer with newly manifested jaundice as well as a seven-day-history of myalgia, retro-orbital headaches, fatigue, recurrent fever, and nausea. Since the beginning of his illness, myalgia — especially in the calf region — intensified, causing the patient an increasing difficulty in walking. He reported an episode of gum bleeding after cleaning his teeth. There was no history of traveling abroad in the last months and no recent contact with animals. Two weeks prior to the onset of his symptoms the patient sustained a minor knee injury resulting in a skin abrasion while bathing in the river Isar close to Munich, Germany.
The patient works as a computer scientist and has no relevant medical history. Weight and height upon admission were recorded to be 90 kg and 189 cm, respectively (BMI = 25.2 kg/m2). Alcohol, nicotine, or drug anamnesis was negative. No medication or allergies were reported.
On examination, the patient appeared tired, but he displayed no neurological abnormalities. Body temperature was 36.8 °C, pulse 90 bpm, blood pressure 114/75 mmHg, respiratory rate 16 bpm, and oxygen saturation 99% while breathing ambient air. The lungs and heart auscultation was unremarkable, the abdomen was soft and non-tender. The skin and scleral inspection revealed jaundice and a slight gum bleeding was observed during the examination of the oral cavity. Upon pressure, tenderness in the thighs and calves was reported.
Abdominal ultrasound upon admission to the hospital revealed hepatosplenomegaly and no signs of intra- or extrahepatic cholestasis. White-cell count was 9.9 G/L (87% neutrophils and 3.5% lymphocytes), platelet count 39 G/L, and hemoglobin 13.3 g/dl. Serum sodium level was 123 mmol/l, potassium 3.15 mmol/l, and creatinine 2.8 mg/dl (248 μmol/l) with glomerular filtration rate of 31 ml/min/1.73m2. C-reactive protein was 15.4 mg/dl, procalcitonin 2.86 ng/ml, and interleukin-6 was 66.4 pg/ml. Aspartate aminotransferase was 92 U/L, alanine aminotransferase 65 U/l, total bilirubin 17.3 mg/dl (with direct bilirubin reaching 14.7 mg/dl), gamma-glutamyltransferase 47 U/l and alkaline phosphatase 108 U/l. Creatine kinase was 1197 U/l, prothrombin time international normalized ratio 1.2, and partial-thromboplastin time 33 s. Urinalysis revealed a pH of 8, 3+ protein (6.3 g protein/12 h), 5–10 leukocytes per high power field, and 0–2 erythrocytes per high power field. An overview of laboratory test results with the corresponding reference ranges is shown in Table .
On day 1 upon admission an empiric intravenous antimicrobial regime with doxycycline (100 mg every 24 h) and ceftriaxone (2 g every 24 h) was initiated while a selection of tests in search for microbial and viral agents was pending. The patient received intravenous fluid and electrolyte replacement. Within 48 h upon admission, hypokalemia (2.32 mmol/l) and hyponatremia (113 mmol/l) worsened significantly without signs of acid-base dysregulation in blood gas analysis. Creatinine increased to 4.37 mg/dl (386 μmol/l), and a polyuria with up to 7.2 L urine output /24 h was documented. The patient was transferred to the intensive care unit (ICU) at the initial collaborating institution and — approximately 48 h later — transferred to the ICU at our university hospital. Starting from day 4 since the initial admission creatinine levels started to decrease, polyuria was in regress and potassium and sodium levels normalized. In addition, platelet count improved and C-reactive protein decreased. The patient remained afebrile. Despite the gradually improving general condition of the patient, serum bilirubin levels were constantly rising starting from day 1 since admission, reaching its maximum on day 4 (54 mg/dl total bilirubin, 39 mg/dl direct bilirubin). Aspartate and alanine aminotransferases, alkaline phosphatase and gamma-glutamyltransferase remained normal or mildly elevated (Table ).
Urine and blood cultures revealed no growth. Screening tests for hepatotropic viruses (hepatitis A, B, C, and E) as well as HIV, Epstein-Barr virus, and cytomegalovirus were negative. Elevated IgG antibodies to herpes simplex virus (HSV 1 and 2) were detected while IgM antibodies remained within the normal range, suggesting an earlier or latent infection with HSV virus. Quantitative serology assays for hantavirus, Chlamydia, Brucella, and Rickettsia (rickettsii/conorii) showed no evidence for infection with these pathogens. Urine test for Legionella antigen was negative. Within normal range were: antinuclear antibodies (ANA), antimitochondrial antibodies (AMA), anti-liver/kidney microsomal antibodies type 1 (anti-LKM-1), anti-soluble liver antigen antibody/liver-pancreas (a-SLA/LP), anti-liver membrane antibodies (LMA), anti-liver specific protein antibodies (LSP), and perinuclear- and cytoplasmic-antineutrophil cytoplasmic antibodies (p-ANCA and c-ANCA) whereby autoimmune hepatitis could be ruled out. Normal levels of serum copper (110 μg/dl, reference range: 70–140 μg/dl) as well as serum ceruloplasmin (0.44 g/l, reference range: 0.2–0.6 g/l) allowed to dismiss Wilson’s disease from diagnostic consideration.
The presumptive diagnosis of icteric leptospirosis was strengthened by detection of antileptospiral IgM antibodies with the use of ELISA in the acute phase serum specimen (38 U/ml, reference range: &lt; 15 U/ml, SERION ELISA classic Leptospira IgG/IgM, Virion Serion, Würzburg, Germany) and confirmed by an accredited PCR method using proprietary primers at the Institute for Medical Microbiology and Hygiene at the University of Regensburg, Germany. The therapy with doxycycline was discontinued (total duration of 3 days) and the regime with ceftriaxone carried on as a targeted monotherapy (total duration of 12 days).
The patient was discharged home after a total of 12 days of hospitalization (3 days at the ICU). The general condition upon discharge was reported as good; fatigue was declining and the remaining symptoms, with the exception of jaundice (total bilirubin 6.2 mg/dl), subsided.
Throughout hospitalization and a 3-month follow-up period, indocyanine green plasma disappearance rates were recorded multiple times. For each measurement, 25 mg of the ICG dye were dissolved in 5 ml of distilled water, and a dose of 22.5 mg (0.25 mg/kg body weight) was injected intravenously. ICG-PDR was determined via non-invasive, transcutaneous pulse dye densitometry with the use of the LiMON device (Pulsion Medical Systems SE, Feldkirchen, Germany). Initial concentration at time “0” was set to be 100% and plasma disappearance rate was calculated as percentage change over time (%/min) []. Normal values for ICG-PDR are considered to be 18–25%/min [, ]. The measured ICG-PDR values, total bilirubin and alanine aminotransferase serum levels are displayed in Fig. .
Initially severely reduced ICG-PDR (2%/min on day 5 upon initial admission) gradually improved within several days to reach almost normal level on day 10 upon initial admission to hospital (17.4%/min). Approximately 7 weeks after initial hospitalization, ICG-PDR was recorded to be within normal range (23.7%/min) and reached 33.4%/min on day 85. While ICG-PDR values rapidly normalized in parallel with clinical improvement, serum bilirubin levels were slowly decreasing (44.4 mg/dl on day 5 and 9.0 mg/dl on day 10 upon hospitalization), and it was only until 7 weeks upon admission that they reached normal levels (Fig. ). Mild elevation of serum alanine aminotransferase was at its peak of 124 U/l on day 12 upon hospitalization (Table ) and reached close to normal levels by week 7 upon admission (Fig. and Additional file ). Within the 3-month follow-up period, fatigue resolved and the patient reported no remaining symptoms.</t>
  </si>
  <si>
    <t>A 40-yr old man (body weight: 73 kg, height: 172 cm) was scheduled for living donor liver transplantation surgery due to acute liver failure. One week ago, he developed grade 1 hepatic encephalopathy. In the preoperative evaluation, electrocardiography and echocardiography were within normal range. Chest X-ray showed mild pleural effusion on both lungs. His laboratory examination showed Hb 9.9 g/dl, platelet count 107 × 109/L, prothrombin time 2.2 international normalized ratio, fibrinogen 82 mg/dl, antithrombin III 12%, sodium 135 mmol/L, potassium 3.0 mmol/L, creatinine 1.1 mg/dl, glucose 144 mg/dl, albumin 3.0 g/dl, total bilirubin 23.1 mg/dl, and ammonia 82 µmol/L. Her Child-Pugh and Model for End-Stage Liver Disease scores were 12 and 28, respectively.
Upon arrival at the operating room, his mental state was alert. His systolic/diastolic arterial blood pressure and heart rate were 132/68 mmHg and 98 beats/min, respectively. After establishing institutional standard monitoring, an ultrasound ONSD measurement was done by a physician well-trained in ocular ultrasonography. His ONSD just before anesthesia induction was 4.8 mm (). The bispectral index and suppression ratio were 98 and 0, respectively, and right and left regional cerebral oxygen saturations were 43 and 44%, respectively.
General anesthesia was induced and maintained by the standard protocol at our institute. His lungs were ventilated with a tidal volume of 8-10 ml/kg at a respiratory rate of 10 breaths/min (PaCO2, 35-40 mmHg). Intraoperative hemodynamics and laboratory data were shown . He experienced severe hypotension (systolic/diastolic arterial blood pressure: 62/48 mmHg) and bradycardia (56 beats/min) after graft reperfusion, and was treated with epinephrine (20 µg), after which systolic/diastolic arterial blood pressure (122/72 mmHg) and heart rate (92 beats/min) rapidly recovered to within the normal limit. His ONSD was dilated at 5.7 mm to 5 min after reperfusion (), and hyperventilation was performed with a tidal volume of 12 ml/kg at a respiratory rate of 13 breaths/min (PaCO2, 28 mmHg). His ONSD decreased to 5.1 mm at 30 min after reperfusion (), and ventilation was adjusted to maintain normocarbia until the end of surgery. He was moved to the surgical intensive care unit after surgery, and then transferred to a general ward without any complications on the seventh postoperative day.</t>
  </si>
  <si>
    <t>We present a case of a 51-year-old Bangladeshi male with a past medical history of uncontrolled diabetes mellites (DM) (last glycated hemoglobin (HBA1c) 13.4%) who was on oral hypoglycemic medication (metformin/sitagliptin). He came to the emergency department with a one-month history of productive cough, shortness of breath, which was associated with fever and night sweating. He reported an 8 kg weight loss in the last month. He denied any other complaints like hemoptysis. He works as a private house driver. He denied any contact with a patient with PTB.
On examination, he was spiking high-grade fever with a temperature of 39.2°C; tachypneic with a respiratory rate of 30 and tachycardic with a heart rate ranging between 120-130. His blood pressure was within normal limits. The patient was cachectic. Neck examination was unremarkable. Chest examinations showed decreased air entry in the left side in all lung zone with coarse crackles and dull percussion notes. The rest of the physical examination was unremarkable.
His laboratory findings on admission showed mild leukocytosis and anemia with white blood cells (WBCs) level of 11.8 x10^3/uL and Hb level of 11.4 mg/dL. platelet count with normal range. Other labs showed moderate hyponatremia with sodium level 124 mmol/L with CRP of high with value 140 mg/L. Renal and liver function tests were unremarkable.
Chest radiography showed evidence of heterogeneous opacity involving the whole left lung suggestive of consolidation and evidence of a cavitary lesion in the left upper zone (Figure ).
His sputum smear for acid-fast bacilli (AFB) and polymerase chain reaction (PCR) was positive for Mycobacterium tuberculosis and was started on anti-tuberculous therapy (ATT). His HIV test was negative.
After 24 hours, the patient was still complaining of shortness of breath. Further assessment showed that he still had tachycardia. The further blood test showed raised troponin-T and pro-B-type natriuretic peptide (pro-BNP) with values of 24 ng/L and 5,634 pg/mL, respectively. The thyroid function test was normal. His electrocardiogram (ECG) showed sinus tachycardia with S1Q3T3 (Figure ).
Repeated physical examination revealed new mild right leg swelling, which was not present on the initial assessment. His Doppler ultrasound showed evidence of acute DVT from the distal posterior tibial vein (PTV) up to proximal superficial femoral vein (SFV) with areas of partial and no flow (Figure ).
Chest CT pulmonary angiogram (CTPA) showed saddle embolism extending to both pulmonary arteries and their major divisions (Figure ). Echocardiogram showed normal global systolic LV function (ejection fraction (EF) 52%), moderate-severely dilated right ventricle (RV), and severely reduced RV function associated with septal motion suggestive of RV pressure overload. His right atrium is moderately dilated, and the pulmonary artery pressure is severely increased. The patient was moved to a high dependency unit and was given thrombolysis therapy (alteplase) as per the local protocol. He showed significant improvement in his clinical condition with improvement in his heart rate and shortness of breath.
He was started with anticoagulation as per the local protocol with enoxaparin and warfarin. The plan is to follow the local isolation protocol for PTB and optimize his international normalized ratio (INR) within the therapeutic range.</t>
  </si>
  <si>
    <t>A 52-year-old woman with hypertension presents to your clinic complaining of swelling in the front of her neck that has been increasing in size for the last six months. She also endorses a recent decrease in weight of 10 lbs in the last month, which she attributes to her new diet, as well as hot flashes that have been interfering with her sleep. She says that she sometimes feels anxious about losing her new job, but denies headaches, palpitations, tremors, or abdominal symptoms. Her temperature is 98°F (36.7°C), pulse is 88/min, blood pressure is 142/82 mmHg, respirations are 12/min, and oxygen saturation is 100% on room air. On physical exam, there is a palpable, non-tender nodule at the anterior aspect of her neck, which moves upon swallowing. No cervical adenopathy is appreciated.
Routine labs and thyroid function tests were performed with the following findings:
Serum:
Na+: 142 mEq/L
K+: 4.1 mEq/L
Cl-: 88 mEq/L
HCO3-: 24 mEq/L
Blood urea nitrogen: 11 mg/dL
Creatinine: 1.2 mg/dL
Thyroid stimulating hormone: 3.0 mIU/L
Free T4: 1.0 ng/dL
Hemoglobin: 13.5 g/dL
Leukocyte count: 6,000/mm^3
Platelet count: 250,000/mm^3
A fine-needle aspiration (FNA) of the mass is shown in Figure A.</t>
  </si>
  <si>
    <t>A 44-year-old woman with 5-year history of Basedow’s disease had a total thyroidectomy. She had no past and family history and had no drug allergy. She was diagnosed as Basedow’s disease at 39 years old and after then she started taking 30 mg of thiamazole (MMI). In physical examination, she had no remarkable symptom such as palpitation, general fatigue and insomnia and did not have a goiter. Her height and body weight were 158.0 cm and 63.6 kg. Her vital signs were: heart rate 112 beats/min, blood pressure 132/86 mmHg. Laboratory data were as follows: white blood cell count, 4580 /μL (neutrophil 57.7%); red blood cell count, 476 × 104 /μL; hemoglobin, 12.7 g/dL; platelet, 26.5 × 104 /μL; Na, 142 mmol/L; K, 5.2 mmol/L. Renal and liver function was within normal range (creatinine (CRE), 0.38 mg/dL; blood urea nitrogen (BUN), asparate aminotransferase (AST), 25 U/L; alanine transaminase (ALT), 26 U/L; alkaline phosphatase (ALP), 231 U/L; γ-glutamyltranspeptidase (γ-GTP), 17 U/L; lactate dehydrogenase (LDH), 174 U/L). Thyroid-associated data were as follows: thyroid-stimulating hormone (TSH), &lt; 0.010 μIU/mL; free triiodothyronine (FT3), 19.05 pg/mL; free thyroxine (FT4) 4.88 ng/dL; TRAb, 10.6 IU/L (electro chemiluminescence immunoassay (ECLIA), SRL Inc., Tokyo); TPOAb, 216.9 IU/mL (ECLIA, SRL Inc., Tokyo); TgAb antibody, 428.9 IU/mL (ECLIA, SRL Inc., Tokyo). Ultrasound examination revealed that the thyroid gland was hypervascular although it was not enlarged (Fig. ). Based on such findings, we finally diagnosed her as Basedow’s disease. Two weeks after starting MMI therapy, she had liver dysfunction (AST, 420 U/L; ALT, 368 U/L; ALP, 565 U/L; γ-GTP, 178 U/L; LDH, 337 U/L), and we changed the treatment of MMI to 300 mg of propylthiouracil (PTU) although her thyroid hormone levels were decreased (TSH, &lt; 0.010 μIU/mL; FT3, 7.2 4 pg/mL; F T4 1.97 ng/dL). After then, her liver function was improved, and we tapered PTU. About 2 years later, her thyroid hormone levels were within normal range with 50 mg of PTU every other day, and her TRAb became negative. After then, we stopped PTU therapy.
About 1.5 years later, she had low grade fever and palpitation and visited our office again. Her body weight was 70.9 kg. Her vital signs were: heart rate 116 beats/min, blood pressure 140/98 mmHg. Laboratory data were as follows: white blood cell count, 3710 /μL (neutrophil 58.3%); red blood cell count, 535 × 104 /μL; hemoglobin, 12.2 g/dL; platelet, 22.4 × 104 /μL; Na, 142 mmol/L; K, 4.2 mmol/L. Renal and liver function was within normal range (CRE, 0.52 mg/dL; BUN 9 mg/dL; AST, 25 U/L; ALT, 17 U/L; ALP, 218 U/L; γ-GTP, 19 U/L; LDH, 206 U/L). Thyroid-associated data were as follows: TSH, &lt; 0.010 μIU/mL; FT3, 5.22 pg/mL; FT4, 1.85 ng/dL; TRAb, 4.6 IU/L; TPOAb, 147.4 IU/mL; TgAb, 591.2 IU/mL. Ultrasound examination revealed that the thyroid gland was not hypervascular compared to that at the onset of Basedow’s disease (Fig. ). Based on such findings, we finally diagnosed her as the relapse of Basedow’s disease. We started again 300 mg of PTU and tapered PTU dose. About 4 months later, her thyroid hormone levels became within normal range by taking 50 mg of PTU every other day. During the PTU therapy, her WBC levels were slightly lower and CRP levels were slightly higher, although she had no symptom in the whole body including in skin. We checked various autoimmune antibodies. Anti-double stranded DNA IgG antibody, anti-SS-A/Ro antibody and anti-SS-B/La antibody were all negative. However, anti-nuclear antibody (ANA), myeloperoxidase-anti-neutrophil cytoplasmic antibody (MPO-ANCA) and proteinase3-anti-neutrophil cytoplasmic antibody (PR3-ANCA) were all positive (ANA, 37.8 (+); MPO-ANCA, 35.0 U/mL; PR3-ANCA, 36.9 U/mL).
We performed a total thyroidectomy. Table shows laboratory data before a total thyroidectomy in this subject taking 50 mg of PTU every other day. In general, the thyroid gland in subjects with Basedow’s disease shows diffuse goiter due to chronic stimulation. However, her thyroid was flat and atrophic although diffuse hyperplasia of the thyroid gland was observed in histopathological macroscopic findings (Fig. ). Furthermore, hyperplasia of the thyroid gland was shown in part and hyperplastic thyroid follicles with papillary infoldings was observed in histopathological microscopic examination. Tall follicular cells with papillae usually lacked fibrovascular cores and peripheral scalloping was present (Fig. ). On the other hand, a part of the thyroid area showed a dense lymphoplasmacytic infiltrate, accompanied by follicles containing germinal centers. In addition, a destroyed pattern of lymphoid follicle was observed (Fig. ).
One year later, thyroid-associated autoimmune antibodies were all decreased (TRAb, 2.2 IU/L; TSAb, 130% (enzyme immunoassay, SRL Inc., Tokyo); TPOAb, 98. 3 IU/mL; TgAb, 151.0 IU/mL), and 2 years later thyroid-associated autoimmune antibodies were further improved (TRAb, 1.1 IU/L; TSAb, 90%; TPOAb, 24.0 IU/mL; TgAb, 12.8 IU/mL). White blood cell count became within normal range (about 5000–7000 /μL (neutrophil 58–68%) and CRP level became almost normal (0.15–0.20 mg/dL).</t>
  </si>
  <si>
    <t>A 28-year-old man was admitted to our hospital because of reduced livido and increased fatigability. He had been in good health until 1 year earlier, when he noticed reduced livido. Four months before admission, he noticed frequent headaches, thirst, polydipsia, and polyuria. Because he was voiding urine every hour, he visited his family doctor. Magnetic resonance imaging (MRI) revealed a suprasellar mass, and he was thus referred to our hospital for further evaluation and treatment. Although polydipsia and polyuria had been gradually relieved by the time of admission, he became aware of increased fatigability.
At the time of admission, he was 176 cm tall and weighed 72 kg. His temperature was 37.6°C, pulse rate was 60/min, and blood pressure was 110/60 mmHg. No goiter or enlargement of lymph nodes was noted. Axillar and pubic hair were lost and there was palpable erythematous rush on his forehead (). The remainder of the physical examination was unremarkable.
Laboratory results revealed the following results: blood urea nitrogen 9.6 mg/dL, creatinine 0.79 mg/dL, serum sodium 141 mEq/l, potassium 4.0 mEq/l, chloride 100 mEq/l, calcium 9.4 mg/dL, phosphate 3.7 mg/dL, fasting plasma glucose 80 mg/dL, and C-reactive protein 0.07 mg/dL. Endocrinologic data revealed a mild decrease in free T4 level (0.6 ng/dL) with normal thyroid-stimulating hormone (TSH) level (0.9106 μU/mL) and decreased cortisol (4.7 μg/mL), adrenocorticotropic hormone (ACTH; 6 pg/mL), luteinizing hormone (LH; 0.2 mIU/mL), follicle stimulating hormone (FSH; 1.3 mIU/mL), and testosterone (0.05 ng/mL) levels. Urinary cortisol was undetectable. Plasma osmolality was 288 mOsm/kgH2O, with a urinary osmolality of 239 mOsm/kgH2O, and arginine vasopressin (AVP) was undetectable (&lt;0.15 pg/mL). Urinary output was from 1.5 to 2.2 L/day.
His clinical course and laboratory findings led us to suspect CDI with anterior pituitary dysfunction. We thus performed hormonal provocative tests. The patient was given an infusion of 5% saline at a rate of 0.05 mL/kg for 120 min. Although plasma AVP was undetectable before and after administration of hypertonic saline, urine osmolality (391 mOsm/kgH2O) increased above the plasma levels (296 mOsm/kgH2O) (). Hormonal provocative tests revealed that growth hormone (GH) response to GH-releasing hormone was normal, TSH response to TSH-releasing hormone was low and blunted, and FSH and LH response to LH-releasing hormone were low and blunted (). Although ACTH response to corticotrophin-releasing hormone (CRH) was normal, cortisol response to CRH was low (maximum 13.0 μg/mL). Cortisol response to rapid ACTH stimulation test was low (maximum 15.9 μg/mL). Results of these hormonal tests were compatible with the diagnosis of CDI with partial GC deficiency.
MRI revealed enhancing lesion centrally in the pituitary stalk, which spread continuously to the bottom of the third ventricle, and the high intensity of the posterior lobe was lost, compatible with the diagnosis of CDI (). Considering the patient's age, we first suspected of neurohypophysial germinoma. However, this was unlikely because cerebrospinal fluid was negative for malignant cells, and β-human chorionic gonadotropin (HCG) levels were normal. Next, we suspected sarcoidosis because chest X-ray revealed hilar enlargement. A biopsy from the skin of the forehead was performed, which revealed noncaseating granuloma composed of epithelioid cells (). Multinucleated giant cells were also present. Thus, the diagnosis of sarcoidosis was made.
While waiting for histologic confirmation of biopsy results, hydrocortisone replacement was begun with a dose of 20 mg daily. Soon after the replacement therapy was begun, moderate polyuria (3.5–4.0 liters daily) occurred (). After the diagnosis of sarcoidosis was confirmed, he was treated with 40 mg of prednisolone and his general condition improved. The hypertonic saline test was repeated while he was taking 40 mg of prednisolone. Plasma AVP was undetectable during the hypertonic saline test and urine osmolality was consistently below plasma levels, which was compatible with a diagnosis of CDI (). He was treated with 1-desamino-8-D-arginine vasopressin (dDAVP).
MRI following prednisolone therapy revealed a reduction in the size of the affected lesion. However, his pituitary function remained unchanged, and he is currently being treated with prednisolone, levothyroxine natrium, HCG, and dDAVP.</t>
  </si>
  <si>
    <t>A 99-year-old female (height 1.60 m; weight 45 kg, ASA III) was admitted to our hospital and underwent major abdominal surgery (sigmoid colon carcinoma resection with colorectal anastomosis) under general anesthesia, and the surgery duration was about 220 minutes. Her medical history revealed mild degree heart failure, chronic normocytic anemia, gastritis, and allergy for NSAIDs and penicillin antibiotics.
Her preoperative laboratory tests: hemoglobin 8.8 mg·dL−1, hematocrit 30.9%, leukocytes 11,500 mm−3 without deviation, platelets 453,000 mm−3, sodium 131 mg·dL−1, potassium 4 mg·dL−1, magnesium 0.58 mg·dL−1, creatinine 0.5 mg·dL−1, and total calcium 8.24 mg·dL−1.
In the preoperative room we prepared our patient by antibiotics prophylaxis: ciprofloxacin 2 gm; metronidazole 500 mg and an antiemetic agent; ondansetron 4 mg.
Our patient was monitored by pulse oximetry, expiratory capnography, invasive and noninvasive blood pressure, electrocardiogram, bispectral index (BIS), neuromuscular transmission (TOF Guard), and diuresis.
A peripheral venous access (20 G) was established in upper right limb, and also a central venous access was done immediately after the induction phase as it was needed for postoperative chemotherapy afterwards.
We induced our anesthesia by oxygen, propofol 50 mg, fentanil 100 mcg, and rocuronium bromide 30 mg, and then we proceeded to a rapid sequence endotracheal intubation (tube diameter was 6.5 mm),
The maintenance of the anesthesia was achieved by continuous infusion of remifentanil in a dose of 0.2 mcg/kg/min, rocuronium bromide 10 mg, xenon 60–65%, and O2 35–40%, the fluid replacement was calculated depending on her diuresis, plasma fluid, intraoperative blood loss, and anemia, and she was refunded by ringer lactate 1500 mL, Nacl 0.9% 1000 mL, fresh plasma fluids 1000 mL, and packed red cells 500 mL.
A closed-circuit anesthesia machine (Felix Dual, Taema) was used for xenon gas delivery. The ventilation parameters were the following: “pressure-cycled mechanical ventilation with inhalation pressure indexes of 19 cm H2O, respiratory frequency 12 incursions per minute, PEEP 5 cm H2O, FiO2 35–40%, and inspiratory/expiratory time ratio 1 : 2, and the exhaled tidal volume was around 380 mL.”
Blood gas analysis was performed twice: 30 minutes after the start and 30 minutes before the end of surgery.
We registered electrolyte disorders, and they were resolved by administration of KCL 40 mEq and Ca++ gluconate in dose of 1 g·10 m−1 (Tables and ).
After 5 minutes from the end of the surgery we noticed our patient starting a voluntary respiratory activity with a high BIS level, so we decided to proceed for the emergence phase and extubation reversing the neuromuscular blocking by sugammadex in a dose of 100 mg [] with careful monitoring for her cardiovascular and respiratory functions. Both modified Aldrete score and BIS values were recorded ().
After 13 minutes we got the complete recovery of our patient, she was awake without any confusion state, delirium, or cognitive dysfunction, also she had excellent and stabile both hemodynamic and respiratory functions, postoperative pain control was achieved by continuous intravenous infusion of morphine (5 mg over 24 h), and she was transferred to ICU for close monitoring.</t>
  </si>
  <si>
    <t>A 50-year-old man is brought to the emergency department by his wife because of lethargy and confusion for the past 24 hours. He has also had a productive cough for the past year and has had a 10-kg (22-lb) weight loss over the past 6 months. He has a history of multiple sclerosis and has not had an acute exacerbation in over 10 years. For the past 30 years, he has smoked 2 packs of cigarettes daily. He drinks 2 beers every day after work. His temperature is 37.0°C (98.6°F), pulse is 90/min, blood pressure is 130/90 mm Hg, and respirations are 22/min. On examination, the patient appears lethargic and cannot state his name or his location. Physical examination reveals scattered wheezing bilaterally. Deep tendon reflexes cannot be elicited. Laboratory studies show:
Serum
Na+ 115 mEq/L
K+ 4.5 mEq/L
HCO3- 22 mEq/L
Glucose 70 mg/dL
Blood urea nitrogen 8 mg/dL
Urine osmolality 450 mOsmol/kg H2O
Urine sodium 70 mEq/L
An x-ray of the chest reveals a central lung mass.</t>
  </si>
  <si>
    <t>Anion Gap</t>
  </si>
  <si>
    <t>What is the patient's anion gap in terms of mEq/L?</t>
  </si>
  <si>
    <t>A 24-year-old female with a history of HIV/AIDS, nonischemic cardiomyopathy, and methamphetamine and marijuana abuse presented with acute onset lower extremity pain. The patient reported to have snorted methamphetamine overnight and woke up with severe lower extremity pain as well as inability to move. Surgical history was significant for excision of sublingual glands. Family history: mother was HIV positive; both mother and father had significant history of substance abuse. She drank one to two alcoholic drinks per week and was an everyday smoker, between 1/4 pack and 1/2 pack per day. Her vital signs were significant for tachycardia, tachypnea, and hypotension. Lower extremity examination was positive for tender lower extremities with no palpable dorsalis pedis, posterior tibial, and popliteal pulses bilaterally. Initial lab tests were significant for lactic acidosis, acute kidney injury, EKG with nonspecific ST-T wave changes (), elevated troponin, 1.08 ng/ml, peaked at 3.5 ng/ml and urine drug screen was positive for methamphetamine and marijuana. Hemoglobin 11.9 gm/dl, white blood cells 10.4, platelets 178, sodium 139 mmol/liter, potassium 4.1 mmol/liter, chloride 104 mmol/liter, bicarbonate 20 mmol/liter, BUN 11 mg/dl, creatinine 1.3 mg/liter, blood glucose 141 mg/dl, AST 68 units/liter, ALT 41 units/liter, total bilirubin 0.9 grams/dl, alkaline phosphatase 107 IU/liter, and INR 1.8. Arterial and venous duplex of the lower extremities revealed no blood flow. CT angiogram showed large segment aortic occlusion (4 cm) just beyond the renal arteries and partial occlusive thrombus in the superior mesenteric artery with early ischemia (Figures and ). There were also multiple areas of bilateral renal infarcts left greater than right with the main renal arteries patent bilaterally. Transthoracic echocardiogram showed an echo dense mass, 2.4 cm × 2.8 cm, 1.2 cm × 2.0 cm in size, in the left ventricle with defined margins that are distinct from the endocardium seen throughout systole and diastole, consistent with left ventricular thrombus (Figures –). Ejection fraction was estimated to be 15 %, with increased wall thickness and grade 3 diastolic dysfunction. There was mild to moderate mitral and tricuspid regurgitation with normal valve structure. CT head was obtained due to an altered mental status which was negative for acute bleeding. The patient became profoundly hypotensive which was likely due to cardiogenic shock despite being on maximum vasopressors. She developed limb ischemia due to compartment syndrome requiring fasciotomy. Interventional radiology and vascular surgery were consulted, surgical thrombectomy was done. The patient's status worsened developing rhabdomyolysis, shock liver, and acute kidney injury with severe metabolic acidosis. She could not tolerate continuous renal replacement therapy. The patient had an episode of ventricular fibrillation and expired after three days of being hospitalized.</t>
  </si>
  <si>
    <t>A 38-year-old man with a self-reported long-term history of standard cannabinoid use and K2 (a synthetic cannabis) presented to the emergency room with a 2-week history of nausea, vomiting, and severe abdominal pain. He smoked 3-4 times a day, occasionally up to 10 rolls a day with his last K2 use being the night before admission. He denied any other illicit drug use. He reported having similar episodes of nausea and vomiting in the past, which lasted 2-3 days and terminated without medical intervention. Past medical history was significant for nonulcer dyspepsia for which he took nonprescription antacids.
On physical examination, he was afebrile with temperature of 36.8°C, pulse of 89/min, a respiratory rate of 16/min, a blood pressure of 115/73 mmHg, and oxygen saturation of 98% while breathing ambient air. He appeared to be uncomfortable and was curled up in bed holding his abdomen. He was alert, active, and oriented to time, place, and person. He exhibited no nystagmus and had a nonfocal neurological exam. His abdomen was soft but exhibited tenderness in the epigastric and periumbilical regions with decreased bowel sounds but no rebound tenderness or guarding. He noted relief only with hot showering and, on follow-up, would often refuse to come out of the shower to meet the physicians.
Laboratory studies showed mild leukocytosis with a WBC count of 14 × 109/L (normal: 4–11 × 109/L). Serum electrolyte testing revealed a sodium of 123 mmol/L (normal: 135–153 mmol/L), potassium of 3.4 mmol/L (normal: 3.5–5.3 mmol/L), chloride of 74 mmol/L (normal: 98–109 mmol/L), and bicarbonate of 21 mmol/L (normal: 24–31 mol/L). Blood urea nitrogen was 160 mg/dL (normal: 5–26 mg/dL) and creatinine was 4.78 mg/dL (normal: 0.5–1.5 mg/dL). No baseline studies were available for comparison. Amylase, lipase, and liver function tests were normal. Plain abdominal imaging did not reveal any obstruction. Esophagogastroduodenoscopy (EGD) showed mild gastritis with unrevealing histology and microbiology. Conventional urine drug screen, which does not test for synthetic cannabinoids, was negative. His urinalysis was normal except for the presence of hyaline casts. His fractional excretion of sodium (FeNa) was 0.4 and urine sodium level was 10 mmol/L (normal: 10–60 mmol/L). Renal ultrasound was normal. Based on proposed diagnostic criteria for CHS, his self-reported synthetic cannabis use, and cyclic vomiting with negative organic evaluation, diagnosis of Cannabinoid Hyperemesis Syndrome with prerenal acute kidney injury was made. He was given intravenous fluids for his hypovolemia. Ondansetron was given for his nausea and vomiting, which offered no relief. His leukocytosis, nausea, and renal failure completely resolved 72 hours after admission; at that time his serum creatinine was 1.1 mg/dL. He was doing well and stayed off the K2 at outpatient follow-up 2 weeks later.</t>
  </si>
  <si>
    <t>A 58-year-old white man was referred to the outpatient nephrology office by his gastroenterologist because of microscopic hematuria and proteinuria in the setting of an evolving purpuric rash. The rash had progressed proximally from both feet to his thighs, upper extremities and abdomen over the past two weeks. He complained of nausea, and vomiting for one day but denied hematemesis, melanotic stools, or arthralgia. His significant comorbidities included hypertension, untreated hepatitis C, and alcohol abuse. He took no medications.
On physical examination blood pressure was 105/62 mmHg, pulse was 84 beats/minute and regular, and temperature 37.7°C. The skin showed nontender, palpable purpuric lesions involving both upper and lower extremities and the abdominal wall. Lungs were clear to auscultation and the cardiovascular exam was unremarkable. On abdominal examination no organomegaly was appreciated. There was no pedal edema.
Laboratory tests revealed a white blood cell count of 13.1 × 10³/mcL, hemoglobin 14.7 g/dL, hematocrit 42.9%, and platelet count of 234 × 10³/mcL. Serum chemistry showed sodium 136 mEq/L, potassium 4.2 mEq/L, chloride 101 mEq/L, bicarbonate 24 mEq/L, blood urea nitrogen (BUN) 34 mg/dL and serum creatinine 2.0 mg/dL. Liver function tests revealed a total bilirubin of 1.3 mg/dL, direct bilirubin 0.5 mg/dL, ALT 75 units/L, AST 93 units/L, alkaline phosphatase 75 units/L, total protein 7.6 g/dL and albumin 3.7 g/dL. Hepatitis B core antibody, hepatitis B surface antibody and hepatitis C antibody were all positive. Urinalysis demonstrated trace hematuria and proteinuria. He was sent to the emergency room for further evaluation.
On admission the patient was started on intravenous fluids and additional tests were obtained. Antinuclear antibody (ANA) and serum complements (C3 and C4) were normal and antineutrophil cytoplasmic antibody (ANCA) and cryoglobulins were negative. The serum creatinine improved to 0.75 mg/dL on hydration alone. Two days later he complained of diffuse abdominal pain and dark stool followed by hematochezia. He remained afebrile with a blood pressure of 120/50 mmHg. On physical examination he had significant right upper abdominal quadrant and epigastric tenderness. Esophagogastroduodenoscopy (EGD) was performed that failed to reveal a lesion that could account for his symptoms. A biopsy of the stomach mucosa demonstrated mild chronic inflammation. Computerized tomography (CT) scan of the abdomen was next performed and showed marked thickening of the terminal ileum (). Abdominal pain intensified, and the patient became tachycardic and tachypneic with a leukocytosis of 23 × 10³/mcL, with deteriorating renal function (BUN 54 mg/dL, serum creatinine of 2.0 mg/dL) and evolving acidosis (bicarbonate 17 mEq/L). An emergency exploratory laparotomy was performed which revealed gangrenous bowel from the beginning of the ileum to the transverse colon. Small bowel resection (90 cm of ileum) and right hemicolectomy (including appendix which was involved) with end jejunostomy were performed.
Histopathologic examination of the resected intestinal tissue demonstrated an extensive necrotizing vasculitis with IgA deposition characteristic of HSP (). Of particular note was the very widespread (perhaps 50%) involvement of medium sized vessels, particularly arteries, with extensive necrosis and secondary ischemic injury to the intestines. Small arteries, arterioles, and venules were also involved. Heavy granular IgA deposition was seen with no staining for IgG or IgM. Lesser amounts of C3 paralleled the IgA deposition.
Intravenous methylprednisolone 1 g daily for three days was administered and then 30 mg every 12 hours. Postoperatively he continued to have an elevated white blood cell count and persistent fever, but his renal function improved. A repeat CT scan of the abdomen revealed persistent small bowel wall thickening. A second exploratory laparotomy was performed, but no additional ischemic bowel was identified. The patient was continued on broad-spectrum antibiotics and maintained on a ventilator due to respiratory failure. Eight days after the second laparotomy he developed severe lactic acidosis, right upper abdominal quadrant tenderness jaundice and worsening renal function. Ultrasound of the right upper quadrant showed findings compatible with portal vein thrombosis and cholelithiasis. Repeat CT scan of the abdomen showed increased ascites with intraperitoneal hemorrhage. Hemodialysis was initiated due to worsening oliguric acute kidney injury. His condition continued to deteriorate, and he died one day later, a total of 27 days after admission.</t>
  </si>
  <si>
    <t>Response based on the initial labs. Insufficient lab results provided to calculate at other timepoints.</t>
  </si>
  <si>
    <t>A 36-year-old man is brought to the emergency department by a neighbor with signs of altered mental status. He was found 6 hours ago stumbling through his neighbor's bushes and yelling obscenities. The neighbor helped him home, but found him again 1 hour later slumped over on his driveway in a puddle of vomit. He is oriented to self, but not to place or time. His vitals are as follows: temperature, 36.9°C (98.5°F); pulse, 82/min; respirations, 28/min; and blood pressure, 122/80 mm Hg. Cardiopulmonary examination indicates no abnormalities. He is unable to cooperate for a neurological examination. Physical examination reveals muscle spasms involving his arms and jaw. Laboratory studies show:
Na+ 140 mEq/L
K+ 5.5 mEq/L
CI- 101 mEq/L
HCO3- 9 mEq/L
Urea nitrogen 28 mg/dL
Creatinine 2.3 mg/dL
Glucose 75 mg/dL
Calcium 7.2 mg/dL
Osmolality 320 mOsm/kg
The calculated serum osmolality is 294 mOsm/kg. The arterial blood gas shows a pH of 7.25 and a lactate level of 3.2 mmol/L. Urine examination shows oxalate crystals and the absence of ketones.</t>
  </si>
  <si>
    <t>The patient was a 20-year-old previously healthy woman. She was a university student. Her height and body weight were 168.1 cm and 52.2 kg, respectively. She ingested bamboo salt (about 150 grams ) in a day for the purpose of digestion and weight reduction. After that, she had more than ten episodes of vomiting and diarrhea for 2-3 hours. On arrival at our emergency department, vital signs were blood pressure of 128/81mmHg, heart rate of 75 beat/min, respiration rate of 20/min, and body temperature of 37.3℃. Her consciousness was clear but she complained of generalized weakness. The complete blood counts showed hemoglobin 11.3 g/dL, WBC 10,000 cells/µL, and platelet 196,000/µL. The results of her blood chemistry were as follows: Aspartate transaminase 11 IU/L, Alanine transaminase 9 IU/L, total protein 6.4 g/dL, albumin 4.5 g/dL, blood urea nitrogen 5.2mg/dL, and creatinine 0.57mg/dL. Serum osmolarity was 348mosm/kg. Serum sodium, potassium and chloride were 174mEql/L, 3.6mEq/L and 135mEq/L respectively. Urine sodium, potassium, chloride and osmolarity were 440mEq/L, 125.7 mEq/L, 314mEq/L and 841mosm/kg, respectively. On arterial blood gas analysis, pH was 7.32, PaCO2 36mmHg, bicarbonate 18.5mEq/L, PaO2 93mmHg and O2 saturation 97%. On the 1st day, total input and urine output was 3,700ml and 2,100ml, respectively. Her symptoms such as nausea, vomiting and diarrhea improved rapidly with 0.45% saline infusion and supportive care. On the 2nd day, her serum sodium concentration dropped to 152 mEq/L and urine output was 2,200ml/day. On the 3rd day, serum sodium concentration returned to normal range (). She recovered completely without any sequelae in 3 days.</t>
  </si>
  <si>
    <t>A 26-day-old girl was referred for evaluation of renal failure. She was born at 38+5 weeks' gestational age with a birth weight of 3,200 g. She was well until two days before admission when she developed generalized tonic clonic seizure. At a local clinic, hypocalcemia, hyperkalemia and azotemia were detected and she was referred to us. On admission, generalized edema was noted. Her external genitalia were normal female. Laboratory findings showed: hemoglobin, 9.8 g/dL; cholesterol, 120 mg/dL; total serum protein, 3.7 g/dL; serum albumin, 1.5 g/dL; BUN, 75 mg/dL; serum creatinine, 4.1 mg/dL; total calcium, 5.9 mg/dL; phosphorus, 12.7 mg/dL; sodium, 136 mEq/L; potassium, 5.5 mEq/L; chloride, 113 mEq/L; tCO2 7.8 mEq/L. Albuminuria and hematuria were detected. An ultrasonogram revealed enlarged kidneys with increased parenchymal echogenicity and poor corticomedullary differentiation. A renal biopsy was performed at the age of 29 days and light microscopy showed small glomeruli with various degrees of mesangial sclerosis (). The tubules were dilated with regenerative activity. Her karyotype was 46 XX. Analysis of the sequence of WT1 exon 9 revealed the presence of a heterozygous G to T base substitution, converting 396Asp to 396Tyr, and a heterozygous 395 Ser (TCC) &gt; Ser (TCA) polymorphism (). Both parents showed normal sequence at these sites. Peritoneal dialysis was commenced with a temporary shift to hemodiafiltration because of dialysate leakage at the exit site. Sustained hypertension (120/80 mmHg) responded to an angiotensin-converting enzyme inhibitor. She was maintained on total parenteral nutrition due to uncontrolled chylothorax that resulted from internal jugular vein catheterization, and the patient died at the age of six months due to multiple serious infections and failure to thrive. Autopsy was not performed.</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</si>
  <si>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CO2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</si>
  <si>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A 47-year-old African American man came to the emergency department with complaints of 4 days of severe, colicky back pain with some radiation to the flanks, associated with nausea and vomiting and a noticeable decrease in urination. He denied any history of trauma, stones, dysuria, frequency, hesitancy, rash, constipation, diarrhea, fever, or previous similar pain. He denied any unusual food or sick contact. He denied taking any medications for the past 18 months, including nonsteroidal anti-inflammatory drugs (NSAIDs), acetaminophen, and antacids. He denied smoking, alcohol, and drugs although it had been noted in the chart that he had a positive urinary toxicology screen in the past for cocaine. Although he had a history of hypertension, diabetes, and hyperlipidemia diagnosed 3 years previously during a brief hospital stay, he was not taking any of the recommended prescription medications. Family history was positive for premature atherosclerosis, yet negative for autoimmune diseases and tuberculosis. On physical examination, his vital signs included blood pressure of 235/125 mm Hg, pulse 90 beats/min, respiratory rate 20/min, temperature 37°C, O2 saturation 96% on room air. He was awake and alert, had clear lungs, a regular heart rate with no murmurs, gallops, or rubs, a soft abdomen with normal bowels sounds, bilateral costophrenic tenderness to percussion, a normal prostate, and neurologic examination.
Creatinine was 10.48 mg/dL, up from his previous level of 1.15 mg/dL at his previous visit 3 years prior. Blood urea nitrogen 63 mg/dL, Na 134 mEq/L, K 4.4 mEq/L, Cl 100 mEq/L, CO2 22 mEq/L, glucose 151 mg/dL, Ca 9.4 mg/dL, PO4 6.1 mg/dL, Mg 2.1 mg/dL, hemoglobin 15 g/dL, hematocrit 45%, white blood cells (WBC) of 9100 with neutrophils 75%, lymphocytes 12.5%, and eosinophils 0.9%, platelets of 167 000. His troponin was 0.02 ng/mL, CK-MB 2.6 ng/mL, BNP 53 pg/mL, amylase 70 U/L, lipase 69 U/L, international normalized ratio 1.1, prothrombin time 13 seconds, partial thromboplastin time 31 seconds, HbA1c 6.6%, aspartate transaminotransferase (AST) 25 IU/L, alanine aminotransferase (ALT) 20 IU/L, albumin 3.8 g/dL, total protein 7.3 g/dL, bilirubin 1.4 mg/dL, alkaline phosphatase 39 IU/L, C-reactive protein 25 mg/L. Urine toxicology screen was positive for cocaine. Urinalysis showed 2+ blood, no red blood cells, no WBCs, including no eosinophils by special stain, no casts, no albumin, negative for nitrates, negative leukocyte esterase and negative for bacteria, trace ketone, pH 5.5, and specific gravity 1.015. No pigmented granular casts. His hepatitis panel: C-ANCA (cytoplasmic–antineutrophil cytoplasm antibodies) Ag, P-ANCA (perinuclear–antineutrophil cytoplasm antibodies), anti–glomerular basement membrane Ag, anti-myeloperoxidase, antinuclear antibody and Helicobacter pylori IgA were all negative. Creatine phosphokinase was 127 mg/dL and his serum electrophoresis was normal. C3 was 119 mg/dL and C4 was 88.5 mg/dL (both normal). Anti-proteinase 3 (PR-3) antibodies were positive.
His chest and abdominal radiographs were normal, and computed tomography of the abdomen and pelvis without contrast showed no urinary obstruction. Transthoracic echocardiogram showed normal wall motion and ejection fraction. Electrocardiography showed nonspecific T-wave abnormalities, which were unchanged since 2010.
The patient’s blood pressure was initially controlled with intravenous labetalol and hydralazine. Over the first 3 days of admission, his urinary output decreased from 700 cm3/d to less than 400 cm3/d and his creatinine rose to 13.6 mg/dL. Nephrology was consulted early and after ruling out acute toxic nephropathy, urinary obstruction, and acute rhabdomyolsis, it was suspected, based on his initial positive toxicology screen for cocaine that he may have cocaine-induced interstitial nephritis and a renal biopsy was performed (see below). Indeed, on further questioning, the patient admitted to smoking crack cocaine. It was confirmed with the patient and his spouse that the cocaine was not mixed or combined with any other substance. At that point (day 4) the patient was started on intravenous methylprednisolone at 125 mg every 6 hours as well as daily or every other day hemodialysis for a total of 6 sessions. The methylprednisolone was tapered to 80 mg every 6 hours after 3 days and then changed to oral prednisone, which was furthered tapered over the next 12 days. The steroid was used roughly day 4 of admission, and 7 days after symptoms had started, it is hard to tag a response to the steroid separately as the patient was started on both hemodialysis and steroid at the same time after biopsy of kidney confirmed the diagnosis; nevertheless, we were able to see stable improvement on creatinine on days 8 and 9, with improvement of urine output (roughly 1000-1500 cm3/d). The patient stabilized with his creatinine at 3.54 mg/dL before being discharged home and follow-up 8 weeks later showed a normal creatinine.
Renal biopsy () showed normocellular glomeruli, interstitial atrophy, and fibrosis with tubular loss of 10% to 20%. There were foci of interstitial inflammation composed of lymphocytes, plasma cells, eosinophils, and edema with areas of severe arterioarterosclerosis. No immune complexes were detected.</t>
  </si>
  <si>
    <t>We present a case of 19-year-old male patient with no significant past medical history who presented with cough, greenish sputum, severe nausea, vomiting, and diarrhea for four days. It was associated with subconjunctival hemorrhage which prompted him to seek for emergent care. The patient reported sore throat for three weeks prior which was treated with over-the-counter cold medications. Initial vitals reported a temperature of 98.6°F, heart rate 82 beats per minute, blood pressure 156/85 mmHg, and respiratory rate 20 per minute. On physical exam, the oropharynx did not show erythema or exudates, no palpable lymphadenopathy. Chest and abdominal exams were benign. Labs showed white cell count 12,800/uL, hemoglobin 14.1 g/dL, and platelet 154,000/uL, sodium 133 mmol/L, potassium 4.5 mmol/L, chloride 97 mmol/L, bicarb 19 mmol/L, blood urea nitrogen (BUN) 95 mg/dL, creatinine 8.9 mg/dL, calcium 9.1 mg/dL, and liver function tests were normal. Urine analysis showed amber color urine, specific gravity &gt;1.030, pH 5, protein &gt;300 mg/dL, negative glucose, large blood, trace ketones, moderate bilirubin, negative nitrite, negative leukocytes, white blood cell (WBC) 10–25/HPF, red blood cell (RBC) 10–25/HPF, hyaline cast 10–25/LPF, and granular cast 0–2/LPF. Estimated 24-hour urinary protein excretion was 0.6 g/day. He was admitted and given volume resuscitation and broadly covered with antibiotics by his primary service. Nephrology was consulted in view of acute renal failure, proteinuria, and hematuria. Initial differential diagnoses of his acute kidney injury included PSGN, severe dehydration, IgA nephropathy, and vasculitis. Rapid strep A screening and throat swab culture were negative. C3 and C4 complements were &lt;40 and &lt;8 mg/dL, respectively. Total complement level was &lt;10 U/mL. Anti-DNASE B antibody titer was 770 U/mL, and anti-streptolysin O titer was 285 IU/mL. Autoimmune workup was negative except antinuclear antibody titer of 1:160, and positive cryoglobulin with low cryoprecipitate. Computed tomography (CT) abdomen and pelvis without contrast showed small bilateral pleural effusions, no renal masses or obstruction as well as normal appearing ureters and bladder. With supportive measures, creatinine improved initially, but blood urea nitrogen got worse. On day three of admission, he developed pulmonary congestion and diuresis was tried without success. He subsequently developed uremic symptoms. Intermittent hemodialysis was started as supportive therapy for PSGN, volume overload, and uremic symptoms. In spite of aggressive conservative therapy, he continued to be hypoxemic with persistent bilateral pulmonary infiltrates. It was suspected that he had sequelae of pulmonary-renal syndrome despite negative serology. Thus, he underwent bronchoscopy and bronchoalveolar lavage which ruled out alveolar hemorrhage. He also underwent renal biopsy on day 22 of hospitalization. Renal biopsy identified acute tubular injury, enlarged glomeruli, endocapillary proliferation, neutrophils on light microscopy (Figure ), granular staining in capillary loops for C3 on direct immunofluorescence (Figure ), and subepithelial hump-like immune deposits on electron microscopy (Figure ). He had no evidence of tubular atrophy or interstitial fibrosis. The biopsy findings were consistent with PSGN. He was intubated for acute hypoxemic respiratory failure, and intravenous pulse dose steroids were initiated. He received three days of 1 g intravenous methylprednisolone followed by 500 mg daily for six days. The serum creatinine rapidly came down with daily improvement in urine output without further dialysis requirements. The trend of serum creatinine in relation to hemodialysis and steroids therapy is demonstrated in Figure . He was discharged with 20 days tapering course of oral prednisone. On the day of discharge, his serum creatinine was 1 mg/dL. On follow-up, renal function remained to be normal. He no longer required supplemental oxygen, and prednisone was tapered off. The degree of proteinuria and hypertension also improved significantly.</t>
  </si>
  <si>
    <t>A 54-year-old female with a medical history of hypertension, hepatitis C, and cirrhosis presented with nausea, vomiting and dysphagia of 1-day duration following surveillance esophagogastroduodenoscopy (EGD) and banding from an outside hospital. She reported that her symptoms started immediately post-procedure and that she continued to have multiple episodes of mostly clear vomit with streaks of blood. She also reported throat, chest, and epigastric pain and was unable to eat anything since the procedure due to her symptoms.
Her past medical history included hypertension, hepatitis C, cirrhosis, gastroesophageal reflux disease, variceal hemorrhage, gall stones and Graves disease. She was on propranolol, lactulose, alprazolam and amlodipine at home. Social history was significant for heavy alcohol use for over 30 years, which she quit following an episode of variceal bleeding. She had no episodes of recurrent gastrointestinal bleeding since her last EGD and banding. On physical examination, she was an ill-appearing female, had dry oral mucosa, tachycardic, had epigastric and RUQ tenderness with negative Murphy's sign, and no rebound or guarding. During the interview, she vomited small amounts of non-bloody white material several times.
On presentation, her laboratory tests were as follows: WBC 13.1, Hb/Hct 14/39.7, platelets 260; Na 152, K 3.6, Cl 112, CO2 22, BUN 30, Cr 0.87, glc 146; lipase 93, Alk Phos 113, AST/ALT 48/75, lactic acid 2.0 and drug screen was positive for propofol.
The patient was admitted for dehydration due to nausea and vomiting. She was started on IV fluids, anti-emetics, pain control and kept NPO (nothing by mouth). Her dyselectrolytemia improved following hydration and her diet was advanced on the following day. She could not tolerate oral intake and reported worsening dysphagia, nausea and vomiting. Over the course of next 2 days, the patient continued to have worsening dysphagia with no relief from anti-emetics. A barium swallow was administered which showed a complete obstruction of the distal esophagus (). The differential for obstruction was thought to be either from local edema from the banding procedure, impacted food or a hematoma from the procedure. An EGD was performed; the scope was advanced to 34 cm to the level of obstruction and it was noted to have a band with entrapped varix in the center of the lumen surrounded by fibrotic material closing off the rest of the lumen (). Several attempts were made with biopsy forceps to reopen the lumen that resulted in a small amount of bleeding and the scope was removed at this point. Conservative management of the patient continued, i.e., NPO with intravenous hydration and pain control. Her symptoms improved over the course of the next 3–4 days and she started tolerating diet advancement and was subsequently discharged.
She presented the next day with a recurrence of similar symptoms, i.e., dysphagia, abdominal pain and vomiting. A repeat barium swallow showed patency of the esophagus with a parallel channel that retained contrast much later than the initial swallow, suggestive of an esophageal tear with an intramural dissection of 6 cm to the level of gastro-esophageal junction ().
The patient was kept NPO with peripheral parenteral nutrition and close monitoring for possible esopheageal perforation. Over the course of the next several days, the diet was carefully advanced with inputs from gastroenterologist and surgical consultants. After 5 days, the patient reported much improvement in her symptoms and was able to tolerate a full diet for the first time.
A repeat barium swallow was obtained prior to discharge that showed no obstruction or dissection. A small stricture was noted at the proximal margin at the origin of the prior dissection (). She was discharged with subsequent follow-up appointment at the GI clinic.</t>
  </si>
  <si>
    <t>A 37-year-old woman with a history of bulimia nervosa and depression ingested approximately seventy 20 mg fluoxetine capsules and 4–5 cans of beer in a self-professed suicide attempt. Shortly thereafter, she telephoned a friend who activated the EMS system. The patient’s prescribed medications were fluoxetine 20 mg daily and buspirone 15 mg twice daily. The patient stated that she had taken her buspirone only as directed, with the last dose on the morning of the fluoxetine overdose, about six hours earlier. She specifically denied ingesting any additional buspirone or any other medications. She admitted to “purging” herself daily for the last week. Other than some orthopedic surgical procedures, she denied any other significant past medical history, including seizures.
The paramedics arrived approximately 90 minutes post-ingestion and found the patient to be awake, alert, sitting up, and emotionally upset. The initial blood pressure was 142/palp and cardiac monitoring showed a sinus tachycardia at 120/minute. In the emergency department (ED) her vital signs were: temperature 37.2°C, pulse 91/min, blood pressure 132/72 mmHg, respirations 20/min, O2 saturation 99% on room air. The emergency physician noted the patient to be alert and oriented, but with slurred speech and slow verbal response time. The patient had a non-focal neurologic exam without tremor, rigidity, or hyperreflexia, and the remainder of the physical examination was without noted abnormalities. The patient was given 50 g of activated charcoal, and blood and urine samples were obtained for baseline values and for quantitative serum acetaminophen and salicylate measurements. Serum chemistries showed sodium 138 mmol/L, potassium 4.2 mmol/L, chloride 105 mmol/L, bicarbonate 23 mmol/L, BUN 11 mg/dL, creatinine 0.6 mg/dL, glucose 81 mg/dL, salicylate 3.9 mg/dL, acetaminophen &lt;1μg/mL, and ethanol 48 mg/dL. A qualitative urine pregnancy test was negative. An electrocardiogram revealed a normal sinus rhythm of 97 beats per minute with normal intervals (QRS 88 msec, QTc 461 msec).
Approximately three hours after the ingestion, the patient cried out and then experienced a generalized tonic-clonic seizure lasting 30 seconds witnessed by the ED personnel. The seizure resolved spontaneously, and the patient had a post-ictal period lasting five minutes. The patient received an intravenous loading dose of phenobarbital (620 mg [10mg/kg]) and was then transported without incident to a regional toxicology referral center.
On arrival to the intensive care unit, the patient was somnolent but easily arousable. Vital signs were: temperature 36.9°C, pulse 82/min, blood pressure 112/78 mmHg, respirations 24/min. A repeat physical examination was unremarkable including the neurologic exam. Additional laboratory data obtained upon admission included serum creatinine kinase (140 IU/L), calcium (8.8 mg/dL), and a comprehensive urine drug screen (which combines the enzyme-multiplied immunoassay technique, thin layer chromatography, and gas chromatography/mass spectroscopy to detect over 1500 drugs and metabolites) that showed the presence of only phenobarbital, fluoxetine, ethanol, and caffeine. The laboratory verified that buspirone can be detected by this analysis. Quantitative serum levels of fluoxetine, norfluoxetine, and buspirone were ordered on admission. The fluoxetine level six hours after the ingestion was 922 ng/mL (therapeutic = 50–480 ng/mL) and the norfluoxetine level was 379 ng/mL (therapeutic = 50–450 ng/mL). The quantitative buspirone level could not be determined due to laboratory handling error. The patient was observed overnight without any further seizure activity or other unusual events. The psychiatry consultation and liaison service evaluated the patient the following morning and arranged for outpatient therapy. The patient was then discharged home in stable condition.</t>
  </si>
  <si>
    <t>A 57-year-old African American male with past medical history of coronary artery disease, systolic heart failure, alcohol abuse, and stage-IV sarcoidosis on long-term oral prednisone at 10 mg daily for over two years presented with massive hematemesis and melena that started the night before his arrival to the Emergency Department. Upon physical examination, the patient appeared pale and was noted to have tachycardia, hypotension, and hematochezia. He denied any recent alcohol intake, chest pain, abdominal pain, and abdominal or rectal trauma. Vital signs consisted of a blood pressure of 84/33 mmHg, heart rate of 118 bpm, room air saturation of 92%, and temperature of 98.8 degrees Fahrenheit (37.1 degrees Celsius). He was admitted to the medical ICU for hypovolemic shock secondary to massive bleeding that required immediate endotracheal intubation for airway protection. An initial blood work showed a hemoglobin count of 13.9 g/dL, white blood cell count of 18.7 K/UL, platelet count of 159 K/UL, sodium of 140 mmol/L, potassium of 3.8 mmol/L, chloride of 101 mmol/L, bicarbonate below 10 mmol/L, calcium of 2.2 mmol/L, albumin of 2.7 g/dL, CRP of 233 mg/L, ESR of 36 mm/hr, BUN of 17 mg/dL (6.07 mmol/L), creatinine of 1.5 mg/dL (132.6 Umol/L), lactic acid of 17.0 mmol/L, BNP of 1140.63 pg/ml, total bilirubin of 0.4 mg/dL, troponins of 0.020 ng/mL, and CK-MB of 408 ng/mL. Resuscitation was initiated with administration of isotonic solutions, blood transfusions, and initiation of vasoactive medications, and pantoprazole drip was provided. An initial urgent endoscopy revealed a bleeding Dieulafoy lesion, which was immediately clipped. Acute kidney injury was addressed with aggressive fluid resuscitation as evident by increase in BUN of 33 mg/dL (11.78 mmol/L) and creatinine of 2.9 mg/dL (256.33 Umol/L). CT scan of abdomen performed to rule out ischemic colitis in the setting of progressive abdominal distention showed a diffuse pericolonic inflammation most pronounced at the rectosigmoid colon. Repeat endoscopy showed multiple ulcerated lesions of the gastric mucosa () with a biopsy that revealed necrotic debris with acute leukocytic exudate and numerous variably sized, 90-degree angulated fungal hyphae favoring mucormycosis (). Intravenous liposomal amphotericin-B (5 mg/kg/day at 60 kg weight) was started at a dose of 300 mg daily. Due to deterioration of renal function on the second day, treatment was switched to oral suspension of posaconazole at a dose of 400 mg twice a day for a total of 6 days (of note, no levels of posaconazole were drawn during hospital course). Repeat CT scan of the abdomen showed mild-to-moderate hydroureter with hydronephrosis and bladder wall thickening Figures and . Cystoscopy showed distorted anatomy of bladder lumen with multiple mounds of tissues all throughout the bladder most notable in the trigone with failure to locate ureteral orifices. Random biopsies taken from the bladder tissue also showed necrotic debris with active inflammatory and numerous variably sized angulated fungal hyphae consistent with Mucorales species. Once bladder biopsy confirmed Mucor spp, treatment was switched from posaconazole to intravenous isavuconazonium sulfate at a dose of 372 mg every eight hours for 48 hours as loading dose and then to an oral dose of 372 mg daily. Unfortunately, no sensitivity of the isolate to the newer triazoles was available. Surgical approach was considered; however, given patient's frail state and multiple comorbidities, such approach was deferred. Hydronephrosis significantly improved after placement of bilateral nephrostomy tubes. In addition, continuous bladder irrigation with amphotericin-B was given for localized bladder infection for a total of 5 days. A three-way Foley catheter was inserted for continuous amphotericin-B bladder irrigation where 200 ml of medication was administered via catheter; then, the catheter was clamped for 90 minutes and drained to gravity every six hours. After three weeks of systemic treatment with antifungals, a third endoscopy showed only inflammatory changes with a pathologic report, in which mucormycosis was no longer appreciated. His kidney function improved and remained stable after clamping and removal of his nephrostomy tubes. The patient completed 6 months of therapy with 372 mg of oral isavuconazonium sulfate per day. He is currently at home with resolution of his symptoms and no clinical evidence of relapse after 12 months since completion of his treatment.</t>
  </si>
  <si>
    <t>Anion gap is in the range of 30 - 39, but cannot be precisely calculated because a precise bicarbonate is not available (only reported as &lt;10)</t>
  </si>
  <si>
    <t>A 57-year-old Chinese male with a past medical history significant for hypertension, hyperlipidemia, and moderate mitral regurgitation secondary to mitral valve prolapse presented with a 3-week history of progressive hemoptysis and worsening dyspnea. The symptoms started insidiously and progressed to a point where his exercise tolerance was reduced to a few steps. He was a plumber by profession and a lifetime nonsmoker. He denied wheezing, fever, night sweats, chest pain, and weight loss. He had no history of hemoptysis or bleeding from any other body sites. He did not use any medications and denied recent travel or sick contacts. On physical examination, he appeared to be in moderate respiratory distress, tachycardia, and tachypnea. His vital signs were blood pressure of 146/80 mmHg, heart rate of 116/min, respiratory rate of 34/min, temperature of 99.1 F, and saturating at 96% on 3 liters of oxygen by nasal cannula. He was oriented to time place and person and was found to be using his accessory muscles of respiration. His chest examination was notable for coarse crackles on the right side without any wheezing. His cardiac examination revealed tachycardia with a 3/6 pansystolic murmur best heard over the mitral area. The rest of his physical examination was unremarkable. His extremities were perfusing well and no peripheral edema was noted. His labs were notable for leukocytosis with neutrophilia (WBC: 12.7 k/mm3; neutrophils: 84%; eosinophils &lt; 1%), his electrolytes were within normal range, and renal function was deranged with elevated blood urea nitrogen (BUN) and creatinine (Na: 143 mEq/L; K: 4.6 mEq/L; Cl: 107 mEq/L; HCO3: 23 mEq/L; BUN: 40 mg/dL; creatinine: 1.5 mg/dL). His liver function tests (LFTs) were notable for elevated liver enzymes (AST: 48 U/L; ALT: 127 U/L). His arterial blood gas (ABG) was notable for a pH of 7.44, pCO2 of 31 mmHg, and a pO2 of 84 mmHg. His chest X-ray (CXR) showed right sided fluffy infiltrates (). He was admitted to the medical floor and started on ceftriaxone and azithromycin for presumed community acquired pneumonia. However, his respiratory status deteriorated and he was transferred to the Cardiac Intensive Care Unit where he was started on noninvasive mechanical ventilation (inspiratory pressure of 15 mmHg, expiratory pressure of 8 mmHg at 100% oxygen supplementation). An ABG showed a pH of 7.13, pCO2 of 64 mmHg, and a pO2 of 68 mmHg indicative of acute respiratory acidosis. His respiratory condition continued to deteriorate and he was intubated and mechanically ventilated with a positive end expiratory pressure (PEEP) of 5 mmHg and 50% oxygen supplementation. The patient's CXR revealed infiltrates which were more dense and confluent (). His labs were significant for up-trending leukocytosis (15 k/mm3). The patient's blood and urine cultures were negative. Tests for legionella, mycoplasma, HIV, and influenza were also negative. Autoimmune and vasculitis panels [antinuclear antibody (ANA), antineutrophil cytoplasmic antibodies (ANCA), and antiglomerular basement membrane antibody (GBM)] tests were negative. An ABG after commencing mechanical ventilation showed a pH of 7.44, pCO2 of 31 mmHg, and a pO2 of 81 mmHg. Computed tomography (CT) of his chest confirmed the presence of dense infiltrates predominantly located in the right upper and middle lobes (Figures and ). Transthoracic echocardiogram showed an ejection fraction (EF) of 70%, mildly dilated left atrium, significant prolapse of the posterior mitral leaflet, and moderate tricuspid regurgitation. Right heart catheterization showed a pulmonary artery pressure of 56/23/35 mmHg (systolic/diastolic/mean); pulmonary capillary wedge pressure (PCWP) of 22 mmHg, right atrial pressure of 4 mmHg, RV: 53/6 mmHg (systolic/diastolic); cardiac Index (by thermo dilution) of 2.1 liters/min/m2, and a pulmonary artery resistance of 9 wood units. Bronchoscopy revealed fresh blood in all the lobes with no obvious source and no endobronchial lesions. Sequential lavage from the right middle lobe was not progressively bloodier and hence less consistent with diffuse alveolar hemorrhage. Bronchoalveolar lavage was negative for cytology, acid fast bacillus (AFB), fungal stain, and pneumocystis carinii pneumonia (PCP). Thoracentesis yielded 150 cc of serous fluid with a pH of 7.6, LDH of 80 U/L, protein of 0.9 g/dL, glucose of 120 mg/dL, cell count with a differential of 55% of neutrophils, lymphocytes of 25%, and mesothelial cells of 10%. This was consistent with a transudative pleural effusion. The cytology and culture results of the fluid from thoracentesis were also negative. A transesophageal echocardiogram (TEE) showed thickening and elongation of the anterior leaflet of the mitral valve consistent with myxomatous degeneration, up to 1 cm in thickness at the margin of the anterior leaflet, prolapse of posterior leaflet into left atrium, aneurysm measuring 1 × 1.6 cm2 and perforation into left atrium and severe mitral regurgitation but no vegetations. The patient continued to have increased oxygen requirements and persistent hemoptysis and eventually underwent an emergent mitral valve repair. Perioperative TEE revealed hypertrophied right and left ventricles, normal right and left ventricular function with EF of 55%, mild anteroseptal wall hypokinesis, prolapse of the posterior mitral leaflet with a flail P3 segment, and severe mitral regurgitation with systolic flow reversal in right upper pulmonary vein (Figures and ). A final diagnosis of alveolar hemorrhage secondary to severe acute mitral regurgitation from myxomatous degeneration of mitral valve was made. Notably, his hemoglobin had decreased from 14.5 gm/dL to 11.7 gm/dL. Postoperative TEE did not show any evidence of mitral valve regurgitation (). A repeat bronchoscopy 3 days after the mitral valve repair showed clearing of the alveolar hemorrhage (Figures , , and ). The patient rapidly recovered thereafter as was reflected in his CXR ().</t>
  </si>
  <si>
    <t>A 68-year-old man presents to the emergency department with a chief complaint of cough and fever. The patient states that he has been feeling progressively worse these past few days and decided to come into the emergency department when he felt short of breath and febrile. Prior to his symptoms he was at a barbecue. He has a medical history of obesity, asthma, diabetes, and heart disease. He states that he had a recent surgery for his "heart problems." His current medications include albuterol, salmeterol, insulin, metformin, warfarin, aspirin, and ibuprofen. He lives in a nursing home where he is well taken care of. Physical exam is significant for pulmonary crackles and a cardiac murmur. A chest radiograph is ordered as seen in Figure A. Laboratory results are shown:
Serum:
Na+: 139 mEq/L
Cl-: 100 mEq/L
K+: 4.7 mEq/L
HCO3-: 23 mEq/L
BUN: 20 mg/dL
Glucose: 145 mg/dL
Creatinine: 1.3 mg/dL
Ca2+: 10.1 mg/dL
AST: 11 U/L
ALT: 11 U/L
Hemoglobin: 11.1 g/dL
Hematocrit: 38%
Leukocyte count: 15,000/mm^3 with normal differential
Platelet count: 255,000/mm^3
INR: 2.9
A peripheral smear is ordered and is seen in Figure B. The patient is started on IV ceftriaxone.</t>
  </si>
  <si>
    <t>A 63-year-old man presents to the emergency department with periorbital swelling. He states that he was gardening, came inside, looked in the mirror, and then noticed his eyelids were swollen. He denies pain, pruritus, or visual disturbances. He states that he was drinking “a lot of water" to prevent dehydration, because it was hot outside this morning. His medical history is significant for rheumatoid arthritis. He takes methotrexate and acetaminophen as needed. The patient’s temperature is 98°F (36.7°C), blood pressure is 168/108 mmHg, and pulse is 75/min. Physical examination is notable for periorbital edema, hepatomegaly, and bilateral 1+ pitting lower extremity edema. Labs and a urinalysis are obtained, as shown below:
Leukocyte count: 11,000/mm^3
Hemoglobin: 14 g/dL
Serum:
Na: 138 mEq/L
K+: 4.3 mEq/L
Cl-: 104 mEq/L
HCO3-: 25 mEq/L
Urea nitrogen: 26 mg/dL
Creatinine: 1.4 mg/dL
Glucose: 85 mg/dL
Aspartate aminotransferase (AST, GOT): 15 U/L
Alanine aminotransferase (ALT, GPT): 19 U/L
Albumin: 2.0 g/dL
Urine:
Protein: 150 mg/dL
Creatinine: 35 mg/dL
An abdominal ultrasound reveals an enlarged liver with heterogeneous echogenicity and enlarged kidneys with increased echogenicity in the renal parenchyma. A biopsy of the kidney is obtained.</t>
  </si>
  <si>
    <t>Fractional Excretion of Sodium (FENa)</t>
  </si>
  <si>
    <t>What is the patient's Fractional Excretion of Sodium (FENa)? Please return your answer as a percentage value.</t>
  </si>
  <si>
    <t>A 25-year-old White male with no prior available laboratory tests and no significant past medical or psychiatric history presented to the emergency room complaining of abdominal pain, nausea, vomiting, weight loss, profound fatigue associated with polyuria, and dehydration. He had a positive family history of type 1 diabetes from his mother. During physical examination, he was alert, afebrile, with blood pressure of 126/84 mmHg, pulse rate of 107, respiratory rate 18, with dry mucous membranes and reduced skin turgor.
His lab tests were notable for plasma glucose 479 mg/dL with large amounts of serum and urine ketones, pH 7.15, anion gap 36, lactic acid 2.7 mmol/L, calculated serum osmolality 288 mOsm/L, serum sodium 129 mEq/L, potassium 3.2 mEq/L, bicarbonate 9 mmol/L, chloride 84 mEq/L, calcium 9.4 mg/dL, phosphorous 2.6 mg/dL, magnesium 1.3 mg/dL, HbA1C 14.4%, urine glucose &gt; 1000 mg/dL and urine toxicology negative. Electrocardiogram demonstrated sinus tachycardia and prolonged QT interval (Figure ). He was diagnosed with DKA and was admitted to the intensive care unit.
Intravenous insulin was started after magnesium, potassium, and phosphorus replacement. Intravenous insulin was stopped, or dosage reduced several times due to the severity of hypokalemia. A total of 400-450 mEq per day of potassium chloride was administered intravenously and orally during the first three days. Also, total magnesium sulfate 6-8 g was given daily for three days. In the first four days, his daily urine output ranged from 5.5 to 6.5 L. This was repleted with oral and intravenous fluids. Hyperglycemia, ketonemia and anion gap metabolic acidosis resolved after four days.
On day 5, his clinical condition improved, and acidosis resolved. His biochemical tests showed metabolic alkalosis with bicarbonate level of 38 mmol/L, and the patient remained alkalotic without any signs of dehydration. He had no vomiting and did not receive sodium bicarbonate or diuretics throughout hospitalization. He was not on any other medications.
Furthermore, despite aggressive repletion of potassium and magnesium, the patient remained hypokalemic and hypomagnesemic. He required 40-80 mEq of potassium chloride and 1 g of oral magnesium daily after acidosis and polyuria resolved to bring the serum potassium and magnesium concentrations to the normal level.
On day 8, while the patient was being discharged from the hospital, his urinary electrolytes and serum electrolytes were checked. The lab results showed potassium 4.5 mEq/L, magnesium 1.5 mg/dL, calcium 9.2 mg/dL, bicarbonate 33 mg/dL, and serum creatinine 0.6 mg/dL. The urine random studies revealed sodium 32 mEq/L, chloride 54 mEq/L, potassium 79 mEq/L, magnesium 8.5 mg/dL, calcium 6.5 mg/dL, phosphorus 48.8 mg/dL and creatinine 60.3 mg/dL.
In this case, the management of ketoacidosis required high doses of intravenous potassium chloride to obtain normal serum potassium levels. After the management of DKA, the patient showed continued hypokalemia and hypomagnesemia with a new metabolic alkalosis while urine chloride was more than 40 mEq/L.
He was discharged with Levemir® insulin, lispro insulin, oral magnesium gluconate and potassium chloride. He was also advised to go to the nephrology clinic for follow-up.
Seven weeks after discharge, his repeated random urine study revealed sodium 69 mEq/L, chloride 125 mEq/L, potassium 79 mEq/L, magnesium 13.8 mg/dL, calcium 3.5 mg/dL, phosphorus 23.8 mg/dL and creatinine 162 mg/dL. Unfortunately, there were no serum electrolytes obtained since hospitalization.</t>
  </si>
  <si>
    <t>A 73-year-old Asian woman presented with progressive general weakness after switching to a different antihypertensive regimen at a local hospital 1 month before. She had been diagnosed with hypertension 20 years previously and diabetes mellitus 10 years later, for which she was taking oral medications consisting of olmesartan medoxomil 40mg qd, aspirin 100mg qd, vildagliptin 50mg qd and atorvastatin 10mg qd; the antihypertensive agent was changed to olmesartan/hydrochlorothiazide 20/12.5 mg qd 1 month before presentation.
On arrival, the patient's vital signs were stable, and physical, neurological and radiological examinations were within normal limits with the exception of a decrease in skin turgor. Initial laboratory results were as follows: WBC 6,160/mm3, Hb 12.3 g/dL, Hct 35.6%, and Platelet 302,000/mm3; Na 115 mmol/L, K 3.9 mmol/L, Cl 83 mmol/L, uric acid 10.0 mg/dL, BUN 15 mg/dL, creatinine 0.5 mg/dL, and serum osmolality 247 mOsm/kg H2O; and urine creatinine 65 mg/dL, urine urea nitrogen 620 mg/dL, urine Na 74 mmol/L, and urine osmolarity 596 mOsm/kg H2O. The patient's blood sugar was 118 mg/dL, and the HbA1c level was 7.6%. Thyroid function test and rapid ACTH stimulation test results were within normal range.
Initial blood tests revealed the presence of hyponatremia with a Na level of 115 mmol/L; blood sugar was 118 mg/dL with serum and urine osmolality at 247 mOsm/kg H2O and 596 mOsm/kg H2O, respectively, upon which the possibility of hyperglycemia-induced pseudohyponatremia and hyponatremia caused by polydipsia was ruled out. The hypovolemic state and a high urine sodium concentration of 74 mmol/L implied the presence of sodium loss through the kidneys. Endocrine test results revealed no evidence of hypoaldosteronism. The absence of recent vomiting led to the diagnosis of drug-induced hyponatremia.
We initiated treatment for hyponatremia with alteration of the current antihypertensive regimen to olmesartan medoxomil 40 mg qd, in addition to a continuous intravenous infusion of 0.9% NaCl. On the following day, the patient's laboratory test results improved to Na 125 mmol/L, serum osmolality 270 mOsm/kg H2O, urine osmolality 352 mOsm/kg H2O, and urine Na 39 mmol/L. On the second day of admission, 0.9% NaCl infusion was discontinued as we continued observation of the patient. By simply adjusting the antihypertensive regimen, the serum Na level improved substantially to 135 mmol/L, while the patient's blood pressure continued to be under control at 120/80 mmHg. The patient's symptoms improved remarkably, and she was discharged.</t>
  </si>
  <si>
    <t>A 69-year-old male was admitted due to quadriparesis via the emergency room (ER). He had multiple comorbidities: old pulmonary tuberculosis, alcoholic liver cirrhosis, diabetes mellitus, and hypertension. His medications included spironolactone, glimepiride, metformin, amlodipine, and telmisartan. Two weeks earlier, however, he was diagnosed with pulmonary aspergillosis and paroxysmal atrial fibrillation at the outpatient department (OPD). A pulmonologist and a cardiologist prescribed oral voriconazole (200 mg twice a day) and dronedarone (400 mg twice a day), respectively. At this time, serum sodium was 135 mmol/L, potassium was 5.5 mmol/L, and creatinine was 0.91 mg/dL. shows the chest radiographic findings.
At admission, the patient's blood pressure was 124/52 mmHg, and no focal neurologic deficit was noted on physical examination. Serum sodium was 133 mmol/L, potassium was 8.0 mmol/L, calcium was 9.3 mg/dL, phosphorus was 4.7 mg/dL, and creatinine was 1.57 mg/dL. Electrocardiography (ECG) showed atrial fibrillation and left bundle branch block (). The severe hyperkalemia appeared to be caused by spironolactone and telmisartan coadministration, and these offending agents were discontinued. In addition, hyperkalemia was antagonized by intravenous calcium gluconate and was corrected by administration of intravenous insulin lispro and calcium polystyrene sulfonate. His proteinuria was persistent, reaching 1,131 mg/d in a 24 h urine collection. Urinalysis showed a specific gravity of 1.007, pH 5.0, albumin 1+, red blood cells 5–9/high power field (HPF), and white blood cells 3-4/HPF. Because monoclonal gammopathy was suggested from serum and urine protein electrophoresis, a kidney biopsy was performed. Light microscopic examination revealed two global scleroses among 17 glomeruli sampled and showed marked mesangial expansion with mesangial hypercellularity and global thickening of the glomerular capillary walls. Immunofluorescence revealed lambda light chain-restricted glomerular mesangial and linear capillary loop staining (). Electron microscopic evaluation showed vague, fine granular, amorphous deposits in the mesangium and along the peripheral capillary walls. These pathologic findings were compatible with light chain deposition disease. The immunofixation test revealed that heavy and light chains were IgG and λ, respectively. However, no osteolytic lesions were found, and the bone marrow was normocellular. Thus, he was discharged without specific treatment while maintaining voriconazole.
Nine days later, the patient was readmitted because of gait disturbance and dysarthria. Brain imaging revealed no acute lesion. Bradyarrhythmia was noted (), and acute hemodialysis was undertaken to treat both hypercalcemia (11.7 mg/dL) and hyperkalemia (7.5 mmol/L). Urine sodium was 127 mmol/L, potassium was 19 mmol/L, chloride was 125 mmol/L, creatinine was 36 mg/dL, and osmolality was 372 mOsm/kg H2O. The transtubular potassium gradient (TTKG) was calculated to be 2.02, and arterial blood gas analysis showed a pH of 7.354, pCO2 38.5 mmHg, pO2 110 mmHg, and HCO3− 20.9 mmol/L. Results of the following endocrine tests were unremarkable: plasma renin activity, serum aldosterone concentration, intact-PTH, and stimulated cortisol. Vitamin D levels were low, and PTH-related peptide was undetectable. We considered the possibility of voriconazole-induced hyperkalemia; therefore, voriconazole was discontinued. Because the follow-up ECG showed the atrial fibrillation was resolved, dronedarone was discontinued. At discharge, his serum sodium was 135 mmol/L, potassium was 4.1 mmol/L, calcium was 9.5 mg/dL, phosphorus was 3.7 mg/dL, protein was 7.5 g/dL, albumin was 3.1 g/dL, and creatinine was 0.69 mg/dL.
Approximately one month later, the patient was readmitted because of massive hemoptysis and required bronchial artery embolization. The pulmonologist prescribed itraconazole to treat pulmonary aspergillosis. One week later, however, itraconazole was switched to a reduced dose (100 mg twice a day) of voriconazole. In the meantime, antihypertensives were switched to manidipine and propranolol.
Sixteen days after voriconazole had been resumed, serum potassium had increased to 5.7 mmol/L, and one day later, the patient again visited the ER because of chest tightness. His serum sodium was 130 mmol/L, potassium was 8.0 mmol/L, calcium was 8.9 mg/dL, phosphorus was 5.8 mg/dL, and creatinine was 1.63 mg/dL. An ECG suggested complete atrioventricular block (), and he recovered normal sinus rhythm after acute hemodialysis (). Once again, voriconazole was replaced with itraconazole (200 mg once a day). Manidipine was discontinued because of the potential drug interaction between azole antifungals and calcium channel blockers. Plasma renin activity and serum aldosterone were 0.26 (normal, 0.32–1.84) ng/mL/h and 3.0 (normal, 4.2–20.9) ng/dL, respectively. No further electrolyte disturbances were noted during the admission for three weeks, and his final follow-up laboratory findings were: serum sodium 136 mmol/L, potassium 4.4 mmol/L, calcium 9.6 mg/dL, phosphorus 4.4 mg/dL, and creatinine 0.85 mg/dL.</t>
  </si>
  <si>
    <t>Cannot calculate accurately, because urine electrolyte testing is only reported from different days than serum electrolyte testing.</t>
  </si>
  <si>
    <t>A 26-year-old man was admitted with known hypokalemia. He reported a 3-year history of nausea, vomiting, and diffuse muscle weakness. He complained of nausea and epigastric fullness in the absence of any identifiable organic gastrointestinal pathology, and his symptoms were known to subside after self-induced vomiting. Although he reported a normal appetite, he was known to vomit frequently, particularly after a large meal. He had been diagnosed with hypokalemia and had been treated with potassium supplements at a previous hospital. However, because of persistent nausea and vomiting, he was transferred to our hospital for evaluation of hypokalemia. His medical and family histories were unremarkable, and he did not report the use of medications such as diuretics and/or herbal medication. Physical examination upon admission showed he was 175 cm tall and weighed 44.5 kg, which indicated a weight loss from his previous weight of 58 kg over the previous 2 years. His body mass index was 14.53 kg/m2. Blood pressure was 100/60mmHg, pulse rate was 67/min, respiratory rate was 20/min, and his body temperature was 37.0℃.
Initial serum electrolyte testing showed the following: sodium 133 mEq/L, potassium 2.6 mEq/L, chloride 72 mEq/L, and total carbon dioxide 50mEq/L. Calcium/phosphorus were 11.2/4.1mg/dL, blood urea nitrogen/creatinine were 21.9/1.98mg/dL, the estimated glomerular filtration rate was 43.6mL/min/1.73m2, serum magnesium was 2.0mg/dL, blood glucose was 93mg/dL, and hemoglobin was 12.0 g/dL. Total cholesterol was 285mg/dL, serum protein/albumin were 8.1/5.3 g/dL. Thyroid and adrenal function tests, as well as serum renin and aldosterone levels were all within reference range. Arterial blood gas analysis showed pH 7.557, partial pressure of carbon dioxide was 65.8mmHg, and bicarbonate was 58.5 mEq/L. Urinary levels of sodium/potassium/chloride (Na/K/Cl) were 95/73.2/47mEq/L, respectively, his urinary creatinine measured 111.12mg/dL, and the trans-tubular potassium gradient was 17. Urinalysis showed the following findings: blood -, albumin ±, glucose -, and ketones -. Upper endoscopy and abdominal computed tomography showed no abnormalities. The SLC12A3 gene mutation test for Gitelman syndrome was observed to be negative. He was diagnosed with chloride-responsive metabolic alkalosis with kidney failure and treated with saline hydration, potassium supplementation, and spironolactone. Serum potassium increased to 3.0mEq/L; however, his nausea and vomiting persisted.
A renal biopsy was performed for the evaluation of renal dysfunction. Microscopically, interstitial mononuclear cell infiltration was identified. Renal tubular epithelial cells showed mild nuclear variation with conspicuous nucleoli and cytoplasmic vacuolization, indicating regenerative changes after acute tubular necrosis. Several foci of dystrophic calcification were identified among the tubular epithelial cells. A few shrunken glomeruli were observed suggesting ischemic damage; however, most glomeruli revealed no definitive abnormalities such as mesangial cell proliferation, segmental sclerosis, and/or deposition of immune complexes (). The patient showed an improvement in his gastrointestinal symptoms after treatment with mirtazapine. His serum potassium level increased to 3.5–4.4mEq/L and to date, he has been following-up at the outpatient clinic without any clinical signs and symptoms.</t>
  </si>
  <si>
    <t>A 61-year-old male with a past medical history of advanced stage COPD, heart failure with reduced ejection fraction, was admitted to the medical ICU with acute on chronic hypercapnic respiratory failure secondary to exacerbation of his chronic obstructive pulmonary disease requiring ventilatory support. He was treated with steroids and azithromycin. His kidney function stayed stable with average urine output of around 2 liters per 24 hours for the first 7 days of hospitalization. On the eighth day of hospitalization, he developed abrupt onset polyuria with an increase in urine output from 70-80 cc/hr. to 200-225 cc/hr., totaling approximately 5.4 L over the next 24 hr. Urine osmolality was 193 mOsm/kg H2O, while his random urine sodium also increased from 23 to 179 mmol per liter urine.
The cause was not immediately apparent. His medications included aspirin, albuterol, isosorbide mononitrate, amiodarone, lisinopril, and metoprolol. CT scan of the head was negative for any intracranial processes ruling out a pituitary lesion as the cause of central DI. The patient was not on any medication known to cause nephrogenic DI and serum electrolytes were within normal limits. The patient was euvolemic and had normal serum glucose, BUN, and other organic acid levels ruling out osmotic diuresis as the cause of polyuria. Renal ultrasound was negative for any obstruction. Pertinent labs included BUN 16 mg/dL, creatinine 0.65 mg/dL, glucose 130 mg/dL, sodium 134 mmol/L, potassium 3.6 mmol/L, and calcium 8.8 mg/dL. Urine electrolytes were sodium 179 mmol/L, potassium 14 mmol/L, chloride 25 mmol/L, creatinine 37 mg/dL, and lithium level &lt;0.1 mmol/L.
A thorough chart review identified that the patient had received dexmedetomidine due to worsening delirium at a rate of 0.2 mcg/kg/hr for a brief period, immediately before the abrupt onset of polyuria. No other instigating cause was identified; we suspected central DI secondary to dexmedetomidine. A DDAVP stimulation test was planned as a therapeutic challenge for central DI, but 48 hours after the cessation of dexmedetomidine, the urine output spontaneously decreased to 50-100 cc/hr and urine osmolality increased to 306 mOsm/kgH2O so the test was not done. His serum osmolality also normalized after that. The patient was not rechallenged with dexmedetomidine. At no time did the patient develop hypernatremia due to strict replacement of carefully calculated water losses.
In the light of extensive negative workup and temporal relationship of polyuria with dexmedetomidine infusion and resolution of the polyuria with drug abstinence, we concluded that the polyuria was secondary to transient central Diabetes Insipidus secondary to dexmedetomidine infusion. The Naranjo Score for dexmedetomidine induced polyuria for this patient was 8, thereby putting the medication in the probable likelihood of causing the adverse reaction of polyuria [].</t>
  </si>
  <si>
    <t>LDL Calculated</t>
  </si>
  <si>
    <t>What is the patient's LDL cholestrol concentration? Please outuput your answer in terms of mg/dL.</t>
  </si>
  <si>
    <t>History of the presenting complaint
The patient was a 34-year-old male immigrant to the US from Asia who was admitted to the medical floor of a community hospital for the management of his medical problems. He had experienced a recurrent history of anxiety and mild somatic symptoms for the past five years. He reported sleeping difficulties, panic attacks, ruminative worries, muscle tension, body weakness, and chest discomfort. The patient had a prior psychiatric history and hospitalization for anxiety and depression. He had been admitted for anxiety and depression in a free-standing health facility five years ago and had been treated with medications. He had been prescribed sertraline and quetiapine but had self-discontinued because of tolerability issues. He had continued to be anxious with mild somatic symptoms. The patient denied any manic or psychotic symptoms or any neurological symptoms. The patient also denied any suicidal or homicidal ideations. He had no history of substance use or alcohol intake. He had a family history of anxiety disorder, described as an obsessive-compulsive disorder in his mother. In 2019, he had consulted a physician who had performed an extensive medical workup. All test results were unremarkable; he was reassured and his symptoms improved. During the two to three weeks prior to the current presentation, his anxiety and somatic symptoms had recurred and had subsequently worsened. He was then admitted for further investigation.
Examination
The mental status examination revealed a young man who was neat and well-groomed. He was cooperative, calm, and made appropriate eye contact. His speech was normal. He described his mood as anxious and his affect was constricted. His thought process was normal and linear. There was no suicidal or homicidal ideation. No delusions or hallucinations were reported. He was awake, alert, and oriented to time, place, people, and events. His judgment and insight were fair.
Investigation
He underwent a 12-lead electrocardiogram, which showed a ventricular rate of 80 beats/minute (reference range: 60-100 beats/minute), atrial rate of 80 beats/minute (reference range: 60-100 beats/minute), PR interval of 148 milliseconds (reference range: 120-200 milliseconds), QRS duration of 94 milliseconds (reference range: 80-100 milliseconds), QT interval of 350 milliseconds (reference range: 360-430 milliseconds), and QTC calculation (Bazett) of 403 milliseconds (reference range: ≤440 milliseconds) with normal sinus rhythm.
Other medical workups done revealed thyroid-stimulating hormone of 2.398 uIU/mL (reference range: 0.35-5.5 uIU/mL), hemoglobin A1c of 5.6% (reference range: &lt;5.7%), and urinalysis showing no ketones or proteins. Lipid profile showed cholesterol of 182 milligrams per deciliter (reference range: &lt;200 milligrams per deciliter), high-density lipoprotein of 39 milligrams per deciliter (reference range: &lt;40 milligrams per deciliter), low-density lipoproteins of 103.8 milligrams per deciliter (reference range: &lt;100 milligrams per deciliter), and a slightly elevated triglyceride of 196 milligrams per deciliter (reference range: &lt;150 milligrams per deciliter). His basic metabolic panel was as follows: sodium of 140 millimoles per liter (reference range: 136-145 millimoles per liter), potassium of 4.1 millimoles per liter (reference range: 3.6-5.2 millimoles per liter), chloride of 104 millimoles per liter (reference range: 98-106 millimoles per liter), glucose of 93 milligrams per deciliter (reference range: 70-100 milligrams per deciliter), calcium of 9.3 milligrams per deciliter (reference range: 8.5-10.5 milligrams per deciliter), phosphorus of 4.0 milligrams per deciliter (reference range: 3.4-4.5 milligrams per deciliter), blood urea nitrogen of 9 milligrams per deciliter (reference range: 7-20 milligrams per deciliter), and creatinine of 1.0 milligrams per deciliter (reference range: 0.84-1.21 milligrams per deciliter). His complete blood count revealed a hematocrit of 48.9% (reference range: 38.3-48.6%), mean corpuscular volume of 84.7 femtoliters (reference range: 80-96 femtoliters), and red cell distribution width of 12.5% (reference range: 11.8-14.5%). All of these results were unremarkable. Also, an MRI of the brain without contrast was unremarkable. His vitamin B12 was unremarkable as well: 337 picograms per milliliter (reference range: 160-950 picograms per milliliter).
Both the hospitalist and cardiologist cleared him for any medical issues. Despite this reassurance, he got very upset and booked a flight to his home country to have a second opinion to validate his illness.</t>
  </si>
  <si>
    <t>A 57-year-old man sought medical attention at our hospital after experiencing progressive limb weakness and sensory abnormalities for six weeks. The patient had developed nephrotic syndrome three years earlier. The results of his renal biopsy suggested the presence of PLA2R-associated MN and fulfilled the criteria for stage 3 MN, but immunotherapy had not yet been administered. Results of the initial physical examination at admission indicated symmetric limb weakness with Grade V- muscle strength in all four limbs; strength was impaired in both proximal and distal muscles in the upper and lower limbs, poor stability and accuracy in the finger-to-nose and heel-to-knee-to-shin test, loss of tendon reflexes, decreased proprioception, and decreased distal superficial sensation in a glove and stocking pattern. The patient required mobility aids for walking. Neuroelectrophysiological results were as follows: motor distal latency prolongation ≥50% above the upper limit of normal values (ULN) in the bilateral peroneus and right medianus; reduction of motor conduction velocity ≥30% below the lower limit of normal values (LLN) in the bilateral medianus, right musculocutaneous nerve, femoral nerve, and left peroneus; motor conduction block, ≥30% reduction of the proximal relative to distal negative peak compound muscle action potential (CMAP) amplitude in the bilateral medianus, right ulnaris, and left peroneus; sensory conduction abnormalities (prolonged distal latency or reduced sensory nerve action potential [SNAP] amplitude or slowed conduction velocity outside of normal limits) in the medianus, ulnaris, radial nerve, peroneus supers, and suralis. This was mainly manifested in the distal lower limbs (), which fulfilled the electrophysiological diagnostic criteria for CIDP developed by the Federation of European Neuroscience Societies/Peripheral Nerve Society (1). Results of the routine cerebrospinal fluid (CSF) biochemical analysis were as follows: chloride, 132.2 mmol/L; glucose, 3.00 mmol/L; protein, 1.65 g/L; and total cell count, 7/uL (nucleated cell count: 7/uL). Other biochemical test results were as follows: serum albumin, 29.8 g/L; triglycerides, 1.09 mmol/L; total cholesterol, 4.75 mmol/L; high-density lipoprotein, 1.03 mmol/L; and low-density lipoprotein, 2.85 mmol/L. The serum PLA2R antibody titer measured by ELISA was 23.75 RU/mL (negative: &lt;14.00 RU/mL). Abnormalities were not found in the anti-NMDAR, anti-AMPAR1, anti-AMPAR2, anti-LGI1, anti-CASPR-2, and anti-GABABR antibodies in CSF. Tests for paraneoplastic antibodies (Hu, Yo, Ri, CV2/CRMP5, Ma1, Ma2, SOX1, Tr, Zic4, GAD65, PKCγ) and anti-ganglioside antibodies (GM1, GM2, GM3, GM4, GD1a, GD1b, GD2, GD3, GT1a, GT1b, GQ1b) in the serum were negative. Abnormalities were not found in complement and immunoglobulin levels and monoclonal immunoglobulins were not detected on immunofixation electrophoresis. Lung CT revealed the presence of interstitial pneumonia ( show pre-treatment CT scans, shows the post-treatment scan). No obvious abnormalities were observed in the cervical and lumbar spine MRI results.</t>
  </si>
  <si>
    <t>A thirty-eight year-old male patient, diagnosed as having Klinefelter syndrome (47, XXY) during the sterility test, was admitted to our hospital's emergency room with symptoms of acute chest pain and dyspnea that developed one hour prior to admission (). On arrival at the emergency room, his blood pressure, pulse and respiration were 90/60 mm Hg, 130/minute and 24/minute, respectively. His body temperature was 36.8℃ and he was clearly conscious. On auscultation of the chest, crackles were heard in both lower lungs. Heart sounds showed rapid pulse and no murmur. Interstitial pulmonary edema and cardiomegaly were observed from his chest X-ray, while his electrocardiography revealed findings of ST-depression in the V 3, V 4 and V 5 areas. The peripheral blood test revealed WBC 14100/uL, Hb 14.0 g/dL and platelet 465000/uL. Serobiochemical studies showed blood urea nitrogen 14.6 mg/dL, creatinine 1.2 mg/dL and hyperlipidemia was shown with total cholesterol of 210 mg/dL, triglyceride 97 mg/dL, high density lipoprotein 37 mg/dL and low density lipoprotein 177mg/dL. An immunochemical serologic test revealed a finding of inflammation with high sensitivity C-reactive protein 2.56 mg/dL. CK, creatine kinase-MB and troponin-I were all negative, while the level of D-dimer was measured to be high at 5408 ng/mL. The results of arterial blood gas analysis while the patient was on O2 mask 5 L (approximately FiO2 0.4) showed hypoxemia with pH 7.24, PCO2 28 mm Hg, PO2 62 mm Hg, bicarbonate 27 mmol/L and O2 saturation of 90%. Increased right ventricular size, decreased right ventricular function and D-shaped left ventricle were observed in the echocardiography. With a suspicion of possible pulmonary thromboembolism, contrast enhanced chest computed tomography was carried out, which revealed multiple thromboembolism in the main, lobar, segmental and subsegmental pulmonary arteries of both lungs (). The patient's O2 saturation dropped to 90-91% even with an O2 mask of 7 L (approximately FiO2 0.6). Owing to observations of persistent hypotension of 80/40 mm Hg despite hemodynamic support, thrombolytic therapy (Actilyse®-alteplase: 100 mg over 2 hours) was performed. Lower extremity vascular computed tomography was carried out to find the origin of venous thromboembolism. This revealed deep vein thrombosis (DVT) in the distal portion of the left popliteal vein (). The patient underwent anticoagulation therapy with low molecular weight heparin (Clexane®-enoxaparin: 60 mg subcutaneously every 12 hours for 7 days) and warfarin. Having observed venous thromboembolism at a young age, a screening test for immunologic diseases was carried out to make the differential diagnosis of antiphospholipid antibody syndrome. The findings of complement levels (C3, C4), antinuclear antibody (ANA), antibody to anti-double-stranded DNA, anticardiolipin antibody of immunoglobulin (Ig) M and IgG, as well as lupus anticoagulant and venereal disease research laboratory test were all negative. The follow-up chest computed tomography performed ten (10) days after hospital admission did not show pulmonary thromboembolism. After the patient was discharged from the hospital, he was put on warfarin for anticoagulation therapy and followed up on an outpatient basis.</t>
  </si>
  <si>
    <t>A previously healthy, 39-year-old woman was admitted to our hospital with generalized edema lasting 1 month and with sudden-onset pain in her right lower leg, particularly when walking. On admission, her general appearance was acutely ill and generally edematous. A physical examination revealed that her blood pressure was 120/80 mmHg, her heart rate was 90/min, her respiratory rate was 22/min, and her body temperature was 36.5℃. Her breathing sounds were clear, and her heartbeat was regular without murmur. A subsequent examination of her lower limbs showed asymmetric bilateral pretibial pitting edema predominantly in the left lower limb. In contrast, the right lower limb was less edematous and had very weak popliteal and pedal pulses. Delayed capillary refilling was also found in the right toes. The Homan's sign was negative.
Serum laboratory findings at admission were as follows: white blood cell count of 5,300/mm3, hematocrit of 39.5% with hemoglobin of 13.1 g/dl, and platelet count of 286,000/mm3. The serum sodium concentration was 141 mEq/L, the potassium concentration was 4.1 mEq/L, the chloride concentration was 104 mEq/L, and total CO2 was 28 mEq/L. The blood urea nitrogen concentration was 12.1 mg/dl, the creatinine concentration was 0.86 mg/dl, the serum total protein concentration was 4.3 g/dl, the albumin concentration was 2.2 g/dl, the total cholesterol concentration was 349.4 mg/dl, the low-density lipoprotein cholesterol concentration was 214.4 mg/dl, the high-density lipoprotein cholesterol concentration was 111 mg/dl, and the triglyceride concentration was 120.1 mg/dl. The results of liver function tests were normal. The coagulation profile showed an activated partial thromboplastin time of 32.0 s, prothrombin time of 9.7 s, anti-thrombin III value of 82% (70-120%), protein C activity of 143% (70-130%), and protein S activity of 65% (58.7-119.2%). The anti-nuclear antibody titer was less than 1:40, the anti-double-stranded DNA titer was 30.9 IU/ml, the C3 level was 158 mg/dl, and the C4 level was 19 mg/dl. Anti-cardiolipin immunoglobulin G, anti-cardiolipin immunoglobulin M, and lupus anticoagulant were all negative. Urinalysis revealed 3+ proteinuria (spot urine protein-to-creatinine ratio was 10.9 g/g creatinine; spot urine albumin-to-creatinine ratio was 7,406.2 mg/g creatinine) and trace hematuria (1-3 red blood cells/high-power field). To investigate the etiology of nephrotic syndrome, an urgent renal biopsy was performed.
Thereafter, although she had no risk factors for thrombosis such as immobilization, heart failure, atrial fibrillation, morbid obesity, or a recent orthopedic or gynecologic surgery, to rule out arterial thrombosis of the right lower extremity, lower extremity computed tomography (CT) angiography was performed. The CT imaging revealed that the right superficial femoral artery was occluded and there was no identifiable proximal source of thromboembolism in other large arteries (). On the basis of these CT angiographic findings, right lower extremity angiography was performed, which revealed a total occlusion of the right superficial femoral artery (). For the treatment of this condition, balloon dilatation was initially tried at the distal superficial femoral artery but failed. Hence, thrombectomy was performed with the Fogarty balloon catheter and the thrombi were successfully aspirated. After the interventional treatment, a good distal arterial flow was reestablished (). Thereafter, warfarin (5 mg/day) as an anticoagulant and corticosteroid treatments were initiated.
Subsequent transthoracic and transesophageal echocardiographic studies showed no evidence of intracardiac thrombus, vegetation, or other structural abnormalities including patent foramen ovale. Quantitation of proteinuria was confirmed by using a 24-hour urine collection that showed 10.2 g/day of protein excretion and 7.8 g/day of albumin excretion, respectively. Afterwards, with administration of warfarin and corticosteroid, the patient had nearly completely recovered from the edema and claudication and was discharged. The renal pathologic results were consistent with minimal change disease ( and ). Two months after discharge, her urine protein-to-creatinine ratio decreased to less than 0.1 g/g creatinine, her serum albumin level was maintained at 4.1 g/dl, and she had no further symptoms or signs of arterial thrombosis.</t>
  </si>
  <si>
    <t>A 50-year-old postmenopausal woman was admitted to the hospital because of cresendo angina.
She was well except for tuberculous pleurisy experienced seven years earlier, when the onset of chronic stable angina pectoris took place, which, since then, responded to nitroglycerin. During the year or two before her admission, the angina became more frequent and occurred on minimal exertion. Pain radiating to both shoulders and upper arms frequently accompanied the angina episodes.
After admission, the angina was controlled by bed rest and intensive medical treatment with beta blocking and calcium channel blocking drugs and sublingual nitrates. There was no history of hypertention, cigarette smoking, use of alcohol, or birth control pills.
Upon admission, her temperature was 36.9°C, pulse per minute and respiration 16 per minute. The blood pressure was 130/90 mmHg.
On examination, the patient appeared acutely ill. However, the head and neck were normal; the jugular vein was not distended. The lungs were clear. The heart sounds were regular; no murmurs or pericardial friction rub was heard. The abdomen was normal; no organ or mass was palpated. There was no peripheral edema, clubbing or cyanosis. Neurologic examination was negative.
The urine was normal. The hematocrit was 37%; the white-cell count was 9,900 per cubic millimeter with 61% neutrophils, 6% band form, 35% lymphocytes and 2% basophils. The platelet count was 304,000 per cubic millimeter. The prothrombin time was 10.3 seconds with 100% of control; the bleeding time was 2.00 minutes; the clotting time was 7.00 minutes. The SGOT was 15 u, the LDH 120 u and the CPK 41 u per liter. The total cholesterol was 250 mg, the triglyceride 99 mg, and the HDL-cholesterol 59 mg per deciliter. The serologic test for VDRL was negative.
The electrocardiogram was normal at rest and showed slight depression of the ST segments and inverted T waves in Leads I, aVL and V4 through V6 during the angina episodes (). A chest X-ray showed that the lungs were clear and the heart size was normal; the pulmonary vascular pattern was normal.
A cardiac catheterization was performed through the right femoral vein and artery. The pulmonary artery pressure was 50/20 mmHg and PCWP 20 mmHg; the aortic pressure was 165/85 mmHg and the LVEDP 15 mmHg; the cardiac output using the Fick oxygen method and the ejection fraction were 7.831 liter perminute and 0.75, respectively.
On left coronary angiography, a profound decrease in distal coronary pressure after coronary engagement with angina and the appearance of ST-T wave changes in monitoring, the electrocardiogram were noticed ().
There was no abnormalities on the left coronary angiography on the routine LAO and RAO projection. But a shallow LAO projection with a mild craniocaudal tilt of the left coronary angiography demonstrated a critical stenosis of the left main coronary ostium (). There were no abnormalities on the right coronary angiography.
The patient underwent coronary bypass graft surgery and has been doing well without occurrence of angina since the surgery.</t>
  </si>
  <si>
    <t>The patient is now 20 years old; she is the second child of healthy non-consanguineous parents. There was no family history of liver disease, diabetes, or hypercholesterolemia. Since birth, her general health had been good; however, hepatomegaly was noticed during a routine health care visit and therefore, at 5 years of age, the patient was referred to our hospital. At that time, her height was 100.6 cm (-2.0 SD as compared to a normal Japanese girl) and her weight was 14.1 kg (-1.8 SD as compared to a normal Japanese girl) (BMI= 14.1 kg/m2). A physical examination revealed hepatomegaly with moderate elevation of serum transaminases. Jaundice and splenomegaly were absent. She was admitted for further evaluation . Laboratory findings revealed liver dysfunction and hypercholesterolemia (AST 211 IU/L, ALT 321 IU/L, lactate dehydrogenase 914 IU/L , alkaline phosphatase 971 IU/L, leucine aminopeptidase 272 IU/L, ?-glutamyl transpeptidase 10 IU/L, total cholesterol 207 mg/dL, HDL-cholesterol 45 mg/dL, triglyceride 142 mg/dL, and total bile acid 5.5 mg/L). Serum anti-nuclear antibody, anti-smooth muscle antibody, and anti-DNA antibody were negative. Her fasting blood glucose was 91 mg/dL and within the normal range. Glucosuria was detected; however, an oral glucose tolerance test (OGTT) showed normal glucose levels and insulin responses (). Abdominal computed tomography (CT) revealed hepatomegaly with diffuse low density and no mass, suggesting fatty liver change. Ultrasonography and CT demonstrated no abnormalities in other organs. It was suspected that the patient had some degree of liver disease, and a liver biopsy was performed. Biopsy specimens showed vacuolar degeneration of individual hepatocytes and macrovesicular steatosis (). Hepatitis, drug-induced disease, and congenital metabolic diseases were excluded, and the origin of the liver disease remained unknown. As the cause of liver disease was not determined, we treated the patient for hypercholesterolemia with ethyl icosapentate, which is not hepatotoxic (). Post-treatment, her serum cholesterol level had decreased to almost within the normal range. Regarding hepatic dysfunction, the patient’s serum transaminase levels were reduced but continued to fluctuate at the upper end of the normal range. A CT scan showed improvement of fatty change in the liver. When the patients was 9 years of age, it was noticed during a routine laboratory evaluation that she had elevated HbA1c (7.3%) and she was reevaluated for diabetes. At this time, her height was 127.4 cm and her body weight was 25.7 kg (these measurements correspond to -1.0 SD for a normal Japanese girl). BMI was calculated as 15.9 kg/m2. The second OGTT showed reductions in both glucose tolerance and insulinogenic index (). The peak level of serum C-peptide after glucagon stimulation remained normal (3.9 ng/mL, normal range &gt;2.0 ng/mL). Islet cell antibodies (ICAs) and glutamic acid decarboxylase (GAD) antibody were not detected in the serum. At this time, she was suspected to have MODY3 because of liver disease and negative auto-antibodies. It has been reported that sulphonylureas are effective in the treatment of patients with MODY3 (); however, the use of sulphonylureas in children is not approved by the health insurance authorities in Japan. Since the patient had a reduced insulinogenic index, insulin treatment in a total daily dose of 9 units prior to each meal was initiated. Since that time, the patient’s diabetes has been under good control and her liver dysfunction has been normalized. She is now 20 years old, and her total daily insulin requirement has increased to 36 units, while her HbA1c levels range from 6.5% to 7%. We could not obtain patient and parental consent for a second biopsy.
Because the clinical course led to a probable diagnosis of MODY, we analyzed HNF1A, 4A and -1B by polymerase chain reaction and direct sequencing, according to a previous report (). Sequence analysis of HNF1A identified a heterozygous mutation at the consensus splice donor site of intron 9, which has been previously reported in a MODY3 family (). Neither of the patient’s parents had this base change, indicating that the mutation occurred de novo. However, we could not perform an analysis of somatic mutations of HNF1A in liver tissue, which was previously biopsied, because we did not have access to the samples.</t>
  </si>
  <si>
    <t>A 28 year old Caucasian woman was brought to our emergency department with a five hour history of progressive impairment in consciousness and slurred speech. Her past history was unremarkable, and she neither smoked nor drank alcohol. Her older brother said that she took no medications and she did not use illicit drugs as far as he knew. No history of head trauma was obtained. At the time of admission, her blood pressure was 140/70 mmHg with a pulse rate of 90 beats/minute, respiratory rate of 12 cycles/minute, and a temperature 37.1°C. Our patient was stuporous and there were no lateralizing signs or neck stiffness. Both planter reflexes were down. Our patient underwent a battery of investigations with the following results: hemoglobin 13.6 g/L; total white cell count 9100/mL3; platelets 270,000/mL3; mean corpuscular volume 84fL; mean corpuscular hemoglobin concentration 33 g/dL; erythrocyte sedimentation rate 19 mm/hour; blood urea 35 mg/dL; serum creatinine 0.9 mg/dL; serum sodium 139 mEq/L; serum potassium 4.1 mEq/L; serum calcium 8.9 mg/dL; serum total bilirubin 0.8 mg/dL; aspartate transaminase 21 u/L; alanine transaminase 19 u/L; alkaline phosphatase 190 u/L; serum total protein 7.3 g/dL; serum albumin 4.4 g/dL; thyroid stimulating hormone 2.9 u/L; serum total triiodothyronine 1.3 nmol/L; serum total thyroxin 89 nmol/L; serum total cholesterol 177 mg/dL; serum triglyceride 100 mg/dL; low density lipoprotein cholesterol 128 mg/dL; very low density lipoprotein cholesterol 20 mg/dl; high density lipoprotein cholesterol 38 mg/dl; prothrombin time 12 seconds; activated partial thromboplastin time 31 seconds; a serum Venereal Disease Research Laboratory test was negative; and general urine examination and microscopy were unremarkable. Blood and urinary screening for cocaine, opioids and amphetamines was negative. A 12 lead electrocardiogram (ECG) was normal. A non contrast brain computed tomography (CT) scan showed bilateral hypodensities in her corpus striatum (Figure ). In addition, there was a small hyper dense area at the anterior part of her right globus pallidus. The physician suspected encephalitis, and managed our patient accordingly. He ordered serology for toxoplasma and human immunodeficiency virus, and a lumber puncture was done: all of these tests turned out to be negative. At day four of admission, our patient became comatose, and our neurology department was consulted. The Glasgow coma scale was 3/15, no neck stiffness was detected, and both planter reflexes were up. On day five, a brain magnetic resonance imaging (MRI) scan with gadolinium revealed hemorrhagic infarctions involving both basal ganglia (Figure ). Brain magnetic resonance angiography and magnetic resonance venography (MRV) were normal. Serum anti nuclear and rheumatoid factors as well as anti phospholipid antibodies were negative. Transthoracic and transesophageal echocardiographic examinations were normal, as was the carotid Doppler study.
Our patient was managed as ischemic stroke with secondary hemorrhagic transformation. Anti hypertensives and a statin were prescribed. Anti platelets and anticoagulation were not given. Gradually over a period of three weeks, our patient's consciousness improved to a degree of mild drowsiness. As for her language assessment, comprehension was intact but there was no speech output; she uttered few sounds, however, but no comprehensible words. She had generalized rigidity and hypokinesia. No abnormal movements were found and dystonic posturing was absent.</t>
  </si>
  <si>
    <t>A 68-year-old Caucasian man was referred to our cardiology clinic in February 2008 for further evaluation of a conspicuous new heart murmur. The patient did not have any cardiac complaints and did not suffer from angina pectoris or dyspnoea. The patient had advanced gonarthrosis of the left knee, advanced degeneration of the cervical spine and advanced bilateral omarthrosis. His medical history included kidney stone surgery (1988), diagnosis of ochronosis based on a biopsy of the knee joint (1995), total hip replacement (1997), Miller-Galante II prosthesis of the right knee (1997), periosteal rupture of the left Achilles tendon with transosseous re-fixation (1999), ventral corporectomy at C4 and discectomy at C3/C4 and C4/C5 after cervical spinal canal stenosis with myelopathy at C3-C5, and ventral and dorsal osteochondrosis (2001). Family history revealed that his brother also had ochronosis. The patient was not on any medication.
On physical examination, the patient was found to be in a moderately reduced general condition and in a regular nutritional status. His body mass index was 25.8 kg/m2. He had a blood pressure of 130/80 mmHg bilaterally and a pulse rate of 80 beats/min. Dyspnoea, cyanosis and liver skin spots were not observed. Bluish-black pigmentations were found on several parts of the sclera (Figure ). The patient's pupils were of average width and showed prompt response to light. No arcus lipoides, no goitre and no superior vena cava syndrome were noticed. His thorax and chest expansion were symmetrical. Breath sounds were vesicular and percussion resonant, with no crepitations or evidence of a pleural effusion. His heart beat was regular with a grade 2/6 diastolic murmur at the apex and a grade 2/6 systolic murmur over the mitral and tricuspid valves. His abdomen was soft and non-tender to palpation, liver and spleen were not enlarged, and there was no costo-vertebral-angular tenderness. Unilateral oedema on the left ankle was observed. Also, the left foot pulse was absent, while normal central and peripheral pulses were symmetrically palpable.
Results of the patient's laboratory examination showed 252 mg/dl total cholesterol, 84 mg/dl triglycerides, 66 mg/dl high-density lipoprotein and 72 mg/dl low-density lipoprotein. Inflammatory markers were not elevated and anti-streptolysin O (ASO) titre was not raised. The patient's urine turned brownish black when left standing for some time.
An electrocardiogram (ECG) test showed a sinus rhythm of 72 beats/min with left axis deviation (-57 degrees). The patient's depolarisation and repolarisation phases were normal. During an exercise ECG using a treadmill set up to 125 watts workload, his blood pressure increased from 160/90 mmHg to 160/100 mmHg and his pulse rate from 68 to 158 beats/min. When the exercise ECG was stopped at the point of exhaustion, no angina pectoris, dyspnoea, significant ST segment depression or profound dysrhythmia were observed. His blood pressure and pulse rate normalised within 3 minutes of recovery.
An echocardiogram revealed that the patient's left atrium was normal in size while his left ventricle was slightly dilated (Figure ). The pumping function of the left heart was normal - there was no evidence of hypertrophy - and the aortic valve had three cusps. A Doppler echocardiogram showed a minor to moderate aortic insufficiency, a combined mitral valve defect with an opening size of 1.6 cm2 with mild to moderate regurgitation, and a mild tricuspid regurgitation. No pericardial effusion was detected. The patient's right heart was normal in size without any signs of stasis.
A histopathological analysis of the patient revealed brownish deposits between the collagen fibre bundles of a knee joint biopsy sample. The pigment was found both extracellularly and intracellularly. The appearance of the pigment was variable, being coarse, like haemosiderin and fine, like granules. Iron staining was negative and no inflammatory or post-inflammatory changes were observed. Taken together, the patient's histopathology was characteristic for ochronosis.
Based on cardiac investigations, an alkaptonuria-associated degenerative valve defect with aortic, mitral and tricuspid valve insufficiency was diagnosed. The decision for using conservative therapy was reached and the patient was treated with an angiotensin-converting enzyme (ACE) inhibitor (2.5 mg/day ramipril).
At follow-up examinations in April and November 2008, the patient presented in a stable condition. However, in February 2009, the patient was hospitalised because of cardiac decompensation.</t>
  </si>
  <si>
    <t>A 25-year-old female nurse was referred to our diabetes outpatient clinic with poorly controlled type 2 diabetes, obesity and elevated LFTs. Her general practitioner had initiated treatment with metformin (1,000 mg twice-daily) and simvastatin (40 mg once-daily), but compliance was limited. At her first visit to our outpatient clinic her body weight was 90 kg and her body mass index 32.6 kg/m2. She was asymptomatic and clinical examination, fundus photography, filament testing and albumin/creatinine ratio revealed no signs of complications related to type 2 diabetes. Blood samples showed a glycated hemoglobin A1c (HbA1c) of 8.9% (74 mmol/mol) and a fasting plasma glucose of 7.3 mmol/l. LFTs showed an alanine aminotransferase (ALT) of 196 U/l (reference range 10–45 U/l), an aspartate aminotransferase (AST) of 132 U/l (reference range 15–35 U/l) and an alkaline phosphatase (ALP) of 127 U/l (reference range 35–105 U/l). Lipids were elevated: total cholesterol 4.5 mmol/l, high-density lipoprotein 0.84 mmol/l, low-density lipoprotein 2.4 mmol/l and triglycerides 2.86 mmol/l. Bilirubin, international normalized ratio and albumin were within normal ranges. The patient had no history of alcohol abuse nor did she take any herbal drug. Abdominal ultrasound revealed increased echogenicity and poor visualization of the intrahepatic vessel walls, suggesting diffuse hepatic steatosis.
Statins were discontinued and the patient was strongly encouraged to be compliant with her metformin treatment (1,000 mg twice-daily). In addition neutral protamine Hagedorn insulin was initiated. The daily dose of basal insulin was gradually increased to 30 IU once daily.
After 8 weeks on metformin and insulin, HbA1c had markedly improved to 6.3%, but LFTs except for ALP remained elevated (ALT 133 U/l, AST 76 U/l, ALP 69 U/l). The patient was then scheduled for a liver biopsy, which showed hepatic fat infiltration involving more than 66% of hepatocytes, ballooned hepatocytes, lobular inflammation as well as pericellular and periportal fibrosis. The histological diagnosis was NASH with a NAFLD activity score of 5 (score range 0–8) and a fibrosis score of 2 (score range 0–4) (fig. ). Treatment with subcutaneous injections of the GLP-1R agonist liraglutide was initiated. The initial dose was 0.6 mg once daily subcutaneously. The dose was increased with weekly increments of 0.6–1.8 mg once daily during the following weeks. Liraglutide was well tolerated with no side effects such as nausea or vomiting. Insulin was gradually reduced and discontinued after 7 weeks.
After 46 weeks of treatment with liraglutide, total weight loss was 16 kg, LFTs were in the lower normal range (ALT 29 U/l, AST 25 U/l, ALP 67 U/l), glycemic control was excellent (HbA1c 5.6%) and the lipid profile was normalized without statin treatment. Repeat abdominal ultrasound showed diminished echogenicity, suggesting an overall reduction in steatosis. A repeated liver biopsy confirmed decreased hepatic fat infiltration (involving 40–50% of hepatocytes), no ballooned hepatocytes and only distinct lobular inflammation (fig. ). The histology was no longer consistent with NASH, but pericellular and periportal fibrosis were still present (NAFLD activity score 3, fibrosis score 2).
To investigate the expression of hepatic GLP-1Rs in the present case, the baseline and the post-treatment liver biopsy were compared to liver tissue from another patient with type 2 diabetes but without steatosis, using quantitative polymerase chain reaction. No biopsies showed expression of GLP-1Rs.</t>
  </si>
  <si>
    <t>A 36-year-old man presented to the emergency room with dyspnea of New York Heart Association functional class III/IV and fatigue. The patient had a 1-year-history of chief complaints of weakness of all four extremities, weight gain and bilateral lower extremity edema. For two months prior to admission, the patient had a progressive worsening of bilateral lower extremity edema. On physical examination, the patient had body mass index (BMI) 28.6 kg/m2 and vital signs such as blood pressure 130/90 mmHg, pulse rate 90 beats/min, respiratory rate 20 breaths/min and O2 saturation 96% in room air. In addition, the patient had pale and dry skin. Heart rate was regular and systolic murmur was heard at the apex. Breath sounds were decreased with inspiratory crackles on bilateral lung bases. The patient also had bilateral presence of non-pitting edema of the foot and ankle. On chest X-ray, the patient had cardiomegaly with perihilar congestion and blunting of both costophrenic angles. These findings are suggestive of pleural effusion (). On electrocardiographic findings, the patient had normal sinus rhythm with low voltage of limb leads, interventricular conduction delay and non-specific ST-segment and T-wave changes (). On clinical laboratory examinations, the patient showed elevated serum levels of N-terminal pro-brain natriuretic peptide (5026 pg/mL) and normal range of cardiac enzymes. Renal functions were normal with blood urea nitrogen of 14.8 mg/dL and creatinine of 1.2 mg/dL. Lipid panel showed total cholesterol 231 mg/dL, triglyceride 188 mg/dL, high-density lipoprotein cholesterol 34 mg/dL and low-density lipoprotein cholesterol 88 mg/dL. Liver function test showed elevated serum levels of transaminases with total bilirubin 1.34 mg/dL, aspartate transaminase 402 IU/L, alanine transaminase 340 IU/L and alkaline phosphatase 44 IU/L. On complete blood counts, the patient had white blood cell counts 9260/mm3 with 56% neutrophils, hemoglobin 10.8 g/dL and platelets 190000/mm3. Serum electrolytes showed [Na+] = 120 meq/L, suggesting hyponatremia, and [K+] = 4.3 meq/L. Serum creatinine kinase was elevated (2738 U/L). On echocardiography, the patient had a dilated left ventricular cavity with a diastolic dimension of 6.1 cm, a decreased global systolic function with an ejection fraction of 16% and functional mitral regurgitation of moderate grade (). The patient had a ratio of transmitral early peak velocity (E) to septal mitral annulus velocity (E') of 13. The patient was started on loop diuretic therapy using furosemide and angiotensin converting enzyme (ACE) inhibitor (enalapril) for heart failure. On day 2, the patient underwent thyroid function test. This showed that the patient had elevated serum levels of thyroid stimulating hormone (100 µIU/mL) (reference range: 0.5-5 µIU/mL), decreased serum levels of T3 (60 ng/dL) (reference range: 80-180 ng/dL) and decreased serum levels of free T4 (0.054 ng/dL) (reference range: 0.7-1.9 ng/dL). Furthermore, the patient underwent additional tests to reveal the cause of hypothyroidism. This showed that the patient was positive for thyroglobulin antibody but negative for anti-microsomal one. On thyroid ultrasonography, the patient had an atrophic thyroid gland with hypoechoic parenchyma with two small nodules of 5 mm and 8 mm in size in the right lobe. On Tc 99-mm radionuclide thyroid scan, there was an increased uptake in the above two small nodules. On fine-needle aspiration biopsy of the nodules, the patient had adenomatous hyperplasia on lymphocytic thyroiditis background (). These findings were suggestive of Hashimoto's thyroiditis accompanied by atrophic autoimmune thyroiditis. Based on these findings, the patient was started on thyroid hormone replacement with thyroxine. Thyroxine dose was titrated up to 50 µg/day after two weeks and then up to 100 µg/day. This was followed by the adjustment of thyroxine dose based on thyroid functions. At a 1-year follow-up, the patient had a gradual decrease in the enlarged left ventricular chamber and a normalization of the decreased left ventricular systolic functions (). Furthermore, the patient also had a normalization of clinical laboratory findings such as transaminases and creatinine kinase. Follow-up echocardiography findings are shown in . Three months after the treatment, the patient had a decrease in the BMI to 23.4 kg/m2. The patient discontinued use of loop diuretics (furosemide) but continued use of ACE inhibitor (enalapril), β-blockers (bisoprolol) and thyroid hormone replacement therapy.</t>
  </si>
  <si>
    <t>A 37-year-old male presented with progressive swelling of feet and facial puffiness for 6 months. On physical examination, he had mild pallor, moderate pedal edema and cloudy cornea with a peripheral arcus in both eyes [].
Laboratory investigations revealed hemoglobin of 8 g/dL with “target” erythrocytes in peripheral blood film examination; serum haptoglobin of 64 mg/dl (normal range: 70–200 mg/dl), total cholesterol 215 mg/dl, high-density lipoprotein cholesterol (HDL-C) 10 mg/dl, and triglycerides 385 mg/dl. Renal biopsy showed glomerulomegaly with mild mesangial expansion and foam cell infiltration in mesangium and glomerular basement membrane (GBM) []. Tubules also showed foamy changes with focal tubular atrophy, and interstitium showed the presence of foam cells.
In view of the clinical profile, characteristic dyslipidemia (high triglyceride, very low HDL) and histological changes, serum LCAT deficiency were suspected. Plasma LCAT activity was determined at Pacific Biomarkers, Seattle, USA. The cholesterol esterification rate was undetectable indicating complete lack of LCAT in plasma. Clinical evaluation of family members revealed corneal opacities and dyslipidemia in patient's mother and his younger sister. However, there was no renal, hematological or other systemic involvement in both of them. Genetic testing of the proband and serum LCAT activity of the other affected members could not be done due to financial constraints. Based on the clinical manifestations, the proband was diagnosed to have classic FLD while his mother and sister were diagnosed to have FED.</t>
  </si>
  <si>
    <t>An 18-year-old girl presented with long-term diarrhea and enterocutaneous fistula. She was diagnosed with celiac disease 4 years ago, because of nonbloody low volume, yellow colored diarrhea with tenesmus occurring 3-4 times a day. She was given the appropriate diet for celiac disease.
Three months before admission, she developed pain and swelling in the left lower quadrant of the abdomen and erythema of the same area.
She underwent surgery with probable diagnosis of abscess or inguinal hernia, but she had no clinical documents of the results of the surgery. 45 days later, a fistula was formed at the site of surgery which had fecaloid secretions.
She also had primary amenorrhea and a history of hypothyroidism.
On examination, she had a marfanoid habitus, a tall stature, and increased joint laxity. Blood pressure was 90/60 mmHg.
Bumpy lip/neuromas were found on the distal part of the tongue as well as on the conjunctiva of both eyes ().
Thyroid examination revealed multinodular goiter with a large nodule (4 ∗ 1.5 cm in diameter) in the right lobe of the thyroid gland with lymphadenopathy (). Physical examination was otherwise normal.
Laboratory data was as follows:24 hrs urine metanephrine: 192 mcg/24 hr (normal: &lt;350), 24 hrs urine normetanephrine: 93 mcg/24 hr (normal: &lt;600), Hb: 13,1, WBC: 16600, Plt: 533 ∗103, ESR: 22, serum albumin: 4,4 g/dL (3,5–5), cholesterol: 145 mg/dL, HDL: 51 mg/dL, TG: 175 mg/dL, iron: 71, TIBC: 406, 24 hrs urine calcium: 66 μg/dL, antiendomysial antibody: 0.1, BUN: 7, Cr: 0,7, Anti-TPO: 14,3, LFT: NL, antitTG IgA: 1,4 (−), calcitonin: &gt;2000 (with normal limit up to 140), CEA: 3689 (with normal limit up to 37).
In consultation with endocrinologists, MEN2B was suggested due to the thyroid nodule, cervical lymphadenopathy, marfanoid appearance, mucosal neuromas, and gastrointestinal tract abnormalities.
Barium Enema revealed diverticulosis of sigmoid colon ().
Colonoscopy revealed hypervascular areas with several fistulae orifices in the sigmoid colon.
Thyroid ultrasound revealed multinodular goiter, one large nodule, and cervical lymphadenopathy.
EUS revealed several calcified lesions in the liver and multiple round hyperechoic lesions in the liver suggesting metastasis of MTC.
Abdominal CT scan revealed abscess formation in the site of previous surgery. Multiple calcified and noncalcified lesions were seen in the liver, suggestive of metastasis ().
Small bowel transition was normal.
Ophthalmologic consultant reported sclerotic neuropathy and large corneal nerves.
Fine needle aspiration of the thyroid nodule reported medullary thyroid carcinoma. Both lobes were involved; capsular invasion and lymphatic vessel invasion were noted. IHC staining was performed on the blocks; the results were as follows:TTF1: negative in tumor cells, calcitonin: positive in tumor cells, chromogranin: positive in tumor cells, synaptophysin: positive in tumor cells.
Genetic investigation: exon 16/RET mutation at codon 918. The patient has the following nucleotide changes: heterozygote T2307G in exon 13 which causes no AA change (Leu769leu), heterozygote T2753A in exon 16 which causes Met918Thr.
Change number 1 is a polymorphism in RET gene. Mutation in exon 16 is a common mutation that is found in 95% of MEN2B patients.
She went under total thyroidectomy and excision of the left anterior cervical lymphatic chain.
One week later, she was admitted again for the right lymphatic chain excision. She still had fecaloid secretions. One week after that, she was operated for the fistula and sigmoidectomy and appendectomy were performed.</t>
  </si>
  <si>
    <t>The patient is a 13-year-old, previously healthy, nonobese female with no past
medical history who presented to a school-based cholesterol and diabetes screening.
Her height and weight were 155 cm and 39.5 kg, respectively, and her body mass index
was at the 20th percentile for age and sex. Her vital signs were within normal
limits, her blood pressure was not elevated, and she was well-appearing. Her
screening lipid panel was within normal limits (cholesterol 125 mg/dL, high-density
lipoprotein 49 mg/dL, low-density lipoprotein 63 mg/dL, and triglycerides 68 mg/dL).
Point-of-care screening HgbA1C was significant for a value of 8.5% with a repeat
value of 8.7%. The endocrinology team was consulted by phone and the patient denied
symptoms of weight loss, polydipsia, polyuria, nocturia, and polyphagia; however, a
strong family history of diabetes was reported ().
In the setting of a new diagnosis of diabetes, she was referred to the Cincinnati
Children’s Hospital Medical Center Emergency Department for further evaluation and
management. On evaluation in the emergency department additional laboratory studies
were sent to confirm the diagnosis of diabetes and evaluate its etiology. Laboratory
studies included a repeat serum HgbA1C, electrolytes, urinalysis, and an islet cell
autoantibody screen. Additionally, routine new-onset diabetes screening laboratory
tests, which included a thyroid stimulating hormone, immunoglobulin A (IgA), and
tissue transglutaminase IgA, were also sent. On laboratory evaluation, she had no
evidence of acidosis or urine ketones and a random serum glucose was within normal
limits (111 mg/dL) but with glycosuria. In the setting of a normal random serum
glucose and absence of acidosis in a well-appearing patient, she was discharged home
with the plan for close endocrine follow-up.
The repeat serum HgbA1C resulted after the patient was discharged and was elevated at
10.3% and her islet cell autoantibody screen and all other screening labs returned
as negative. On telephone follow-up, the patient remained asymptomatic and a family
history obtained was significant for diabetes spanning 4 generations (see for pedigree). To
further confirm a diagnosis of new-onset diabetes an oral glucose tolerance test was
performed. Fasting glucose (89 mg/dL) and insulin (3.8 µIU/mL) were both within
normal limits. However, her oral glucose tolerance test results were consistent with
the diagnosis of diabetes, with glucose elevation to 313 mg/dL at 2 hours. In the
setting of new-onset diabetes, a negative islet cell autoantibody screen and a
family history of autosomal dominant diabetes, a diagnosis of MODY was suspected.
Confirmatory gene sequencing was sent and revealed a heterozygous mutation in HNF4A
gene designated c.200G&gt;A (p.Arg67Gln) consistent with MODY1. This variant has
been reported previously. Ophthalmic examination and renal function laboratory tests
were both within normal limits. To date, the patient’s glycemic control has been
successfully maintained to reduce microvascular comorbidities with glipizide and
diet without the need of intensive insulin therapy.</t>
  </si>
  <si>
    <t>A 35-year-old male was diagnosed with dyslipidemia (total serum cholesterol = 195 mg/dL, serum triglyceride = 171 mg/dL, serum low-density lipoprotein cholesterol = 152 mg/dL, and serum high-density lipoprotein cholesterol = 24 mg/dL). Patient, a nonsmoker, nonalcoholic, did not suffer from any other illness and was not taking any medication. He was prescribed a fixed dose combination of atorvastatin and ezetimibe (10 mg each), once a day along with the lifestyle modification in the form of brisk walking for 30–40 min a day.
Two months after initiation of therapy and exercise, the patient presented with moderate to severe pain in both legs. History revealed that he had fleeting pain in back, chest, shoulder, and arms 5 days preceding the leg pain. The patient initially attributed the pain to exercise and had stopped going for the walks. However, the pain worsened, causing episodes of nocturnal awakening. Clinical examination did not reveal any abnormality. Laboratory investigations revealed high serum CPK (1991 U/L, normal = 39–308 U/L) and low serum Vitamin D (7.19 ng/mL; normal = 20–100 ng/mL) levels. Other laboratory parameters including blood count, erythrocyte sedimentation rate, blood urea nitrogen, serum lactate dehydrogenase, serum creatinine, serum electrolytes, serum Vitamin B12, and electrocardiogram were normal. Assessment for antinuclear antibody was negative.
Atorvastatin-ezetimibe combination was discontinued. Patient was treated with oral diclofenac (50 mg twice daily for 3 days), Vitamin D (50,000 IU once a week for 8 weeks), and calcium carbonate (500 mg twice daily for 8 weeks). Myalgia subsided in 3–4 days. Two weeks later, serum CPK level was 342 U/L.
Upon resolution of symptoms, patient resumed physical activity of similar intensity. Atorvastatin-ezetimibe therapy was not re-introduced. Three months after resuming physical activity, the patient did not complain of myalgia and serum CPK level was normal (155 U/L).
The adverse event was “probably” related to atorvastatin-ezetimibe combination, as assessed by WHO-UMC scale and Naranjo's score (7).[] The adverse event was moderately severe (i.e. level 3) as assessed by Modified Hartwig and Siegel Scale.[]</t>
  </si>
  <si>
    <t>A 27-year-old Mexican man was admitted to our hospital after he was found in a deep stupor. He had no previous history of disease and did not smoke or take alcohol or illicit drugs. On admission, his vital signs were normal (blood pressure 125/70 mmHg, breath rate 18/minute, heart rate 78/minute, axillary temperature 37.2°C). On neurologic examination, we found ptosis, arreflectic mydriasis and exophthalmos of the right eye, suggesting that the right oculomotor nerve was affected. The left eye opened to the Foix maneuver with normal pupil reflexes. We further found symmetric facial responses and withdrawal of both arms and legs to painful stimuli. All brainstem reflexes were patent and Hoffman-Trömner and Babinski reflexes were negative on both sides. All blood tests were normal and illicit drug and toxic profiles were negative. The laboratory test results were as follows: complete blood cell count: hemoglobin 15.3, platelets 371; cholesterol profile: cholesterol 177 mg/dl, triglycerides 296, high-density lipoprotein (HDL) 35 mg/dl, low-density lipoprotein 83 mg/dl, ratio of cholesterol to HDL 5.1; anti-beta-2 glycoprotein I antibodies, anticardiolipin (immunoglobin G and M), activated partial thromboplastin time, Venereal Disease Research Laboratory, Factor V Leiden, activated protein C and S tests were all negative.
An urgent neuroimaging protocol for stroke including magnetic resonance imaging (MRI) and magnetic resonance image angiography (angio-MRI) was carried out. Axial and coronal trace diffusion-weighted images obtained 20 hours after the onset of symptoms showed bilateral areas of high signal intensity compatible with thalamic infarcts restricted to both paramedian thalamic territories and right periaqueductal gray matter (Figure ). The posterior circulation was patent on the angio-MRI, including the tip of the basilar artery and both posterior cerebral arteries. Further evaluation with an aim of defining the etiology of the stroke revealed a patent foramen ovale on transesophageal echocardiography with spontaneous passage of contrast bubbles from the right auricle to the left cavities. Clot formation was found in the wall of the right auricle.
The state of consciousness spontaneously resolved during the third week after the ictus, although fluctuant periods of somnolence and obtundation continued. Administration of modafinil (100 mg twice a day) markedly improved his state of alertness, evidencing important neuropsychologic impairment with hyperphagia, anosognosia and emotional lability with depressive symptoms. There was improvement in the right third cranial nerve function with adequate eye opening and orthophoric condition, although bilateral limitation in vertical gaze movement was persistent. The patient was discharged after two weeks of hospitalization and was being followed up by our outpatient clinic at the time of writing. He began medical treatment with oral anticoagulation and was referred to a national cardiology center for treatment of his congenital cardiopathy. No other embolic events have occurred while there is a pending procedure of percutaneous closure using an Amplatzer device.</t>
  </si>
  <si>
    <t>A 32-year-old non-smoker, hypertensive male presented with angina on efforts of 2 months duration. A clinical examination was unremarkable. Electrocardiogram showed left ventricular hypertrophy without any ST and T changes. 2-D echocardiography showed no regional wall abnormality, left ventricular ejection fraction 0.60, and a concentric left ventricular hypertrophy. Exercise treadmill test with Bruce protocol showed a significant down-sloping ST depression in leads III, aVF, and V4-V6, at 10 Metabolic Equivalent of Task (METS) of exercise. An exercise stress thallium-201 single photon emission computed tomography (SPECT) showed reversible perfusion defect in septum of left ventricle []. His routine blood biochemistry was normal. Fasting lipid levels were-total cholesterol 145 mg%, low-density lipoprotein 89mg%, high-density lipoprotein 37 mg%, and triglycerides 95 mg%. A coronary angiography revealed myocardial bridging of mid part of LAD [Figures and ]. Left circumflex and right coronary arteries were normal. He was put on atenolol 50 mg/day and had a favorable clinical outcome and continues to be followed.</t>
  </si>
  <si>
    <t>A 24-year-old male presented with severe throbbing pain extending from the distal half of his left thigh to his left foot. The pain initially began four years prior, was mild, and was triggered by walking one-half to one mile. The pain progressed and is now triggered by walking one block and relieved by several minutes of rest. He delayed medical evaluation, because he believed he was having muscle cramps. He denied any history of chest pain, palpitations, shortness of breath, lower extremity swelling, skin discoloration, trauma, or prenatal/birth complications. He had no personal or family history of hypertension, hyperlipidemia, diabetes mellitus, deep vein thrombosis, hypercoagulability, malignant neoplasms, or autoimmune disorders. The family history was also negative for PAD and myocardial infarction. He was taking no medications at the time of evaluation. He does not consume alcohol and has never smoked cigarettes or used illicit drugs.
Physical examination revealed a heart rate of 72 beats per minute, left brachial blood pressure of 114/74 mmHg, and body mass index of 25.1 kg/m2. Lower extremities showed no pigment changes, edema, tenderness, and had full range of motion. The right femoral, popliteal, and posterior tibial pulses were palpable 2+. The left femoral artery was palpable 1+. The left popliteal, posterior tibial, and bilateral dorsalis pedis pulses were nonpalpable. The left popliteal and posterior tibial arteries had a weak, biphasic Doppler signal and the bilateral dorsalis pedis arteries had no appreciable Doppler signal. No carotid or abdominal bruits were noted, and the remainder of the physical exam was unremarkable. Laboratory values were within the normal range: total cholesterol 161 mg/dL, high-density lipoprotein 58 mg/dL, triglycerides 52 mg/dL, low-density lipoprotein 90 mg/dL, hemoglobin (Hb) 16.1 g/dL, platelet 218,000/uL, creatinine 0.79 mg/dL, glucose 80 mg/dL, HbA1c 5.2%, prothrombin time 12.8 seconds, and international normalized ratio 1.0. Left ABI was 0.76 at rest and 0.40 after five minutes of exercise. Arterial duplex demonstrated biphasic waveforms from the left common and profunda femoris arteries with no stenosis. The left superficial femoral artery had bi/monophasic waveforms with &gt;75% stenosis at the proximal thigh. The popliteal and tibial arteries had bi/monophasic flow without stenosis. A computed tomography (CT) angiogram with contrast and bilateral lower extremity runoff demonstrated normal arteries of the abdomen and right lower extremity (Figure -C). The left common femoral artery was significantly smaller than the right but otherwise normal. The left proximal to mid superficial femoral artery was severely diseased with extensive calcifications causing near-complete occlusion with distal reconstitution (Figure -C). The left proximal profunda femoris artery was completely occluded with lack of flow for the first 45 mm with distal reconstitution (Figure -F). The left popliteal, tibial, peroneal, and dorsalis pedis arteries were normal with excellent runoff. There were no signs of embryological abnormalities.
Surgical exploration confirmed that the left common femoral artery was diminutive but soft with a palpable pulse. The origin of the profunda femoris artery was obstructed with a smooth, hard lesion (Figure ), which was removed with local endarterectomy and confirmed by pathology as a calcified plaque. The distal profunda femoris was followed and was found to be extensively full of the calcified plaque with no back bleeding, so a profundaplasty or complete profundal bypass was decided against, and a bovine pericardial patch was placed. Next, the left great saphenous vein was harvested and used for a left femoral to left above-knee popliteal artery bypass. A 2+ palpable pulse was noted in both the graft and the left above-knee popliteal artery. A 1+ weak pulse was noted at the left posterior tibial artery. The patient recovered excellently, beginning to walk in the unit by the next morning, and was discharged later that evening. Doppler on follow-up two weeks later demonstrated continued patency of the bypass graft and improvement in symptoms. His consent was obtained for publication of this report.</t>
  </si>
  <si>
    <t>A 35-year-old woman was transferred to the emergency room with acute onset chest pain radiating to the neck. She was a teacher of mathematics and her symptoms initially developed during a lecture. She had no past medical history of collagen tissue disease or blunt trauma to the chest, was not on any medication and had a family history of hypercholesterolemia. She reported no autoimmune disease, was not pregnant or in the early post-partum period, nor did she take an oral contraceptive pill or report any history of drug abuse. She was also not menstruating at time of admission. Risk factors for coronary artery disease were not found. At presentation, her blood pressure was 116/70 mm Hg and her heart rate was 75 beats/min. Her physical examination results were within normal limits without murmurs, rubs or gallops. There were no manifestations of connective tissue disease and the hematologic, renal parameters were normal. The initial electrocardiogram showed nonspecific T wave inversion in leads III, aVF () and the initial chest X-ray was normal without cardiomegaly or pulmonary edema. Cardiac enzymes were elevated with initial serum troponin T of 0.07 mcg/L (normal &lt;0.014 mcg/L), creatinine kinase (CK) of 138 U/L (normal &lt;215 U/L) and CK-MB of 8.49 mcg/L (normal &lt;3.77 mcg/L). The total cholesterol, triglyceride, high density lipoprotein-cholesterol and low density lipoprotein-cholesterol results were 162 mg/dL (139-230 mg/dL), 33 mg/dL (48-177 mg/dL), 64 mg/dL (40-81 mg/dL) and 106 mg/dL (64-160 mg/dL), respectively. Transthoracic echocardiography demonstrated normal left ventricular systolic function, with an ejection fraction of 73% and no regional wall motion abnormalities. We performed coronary angiography under suspicion of myocardial infarction. The right coronary artery (RCA) and left circumflex artery images were normal, but there was diffuse stenotic lesion of the mid left anterior descending artery (LAD) with up to 80% luminal narrowing. The lesion slightly improved after intracoronary injection of nitroglycerine (). To evaluate the etiology of the stenotic lesion, in terms of spasm, atherosclerosis or other cause, intravascular ultrasound (IVUS, Boston scientific Co., CA, USA) was performed. IVUS showed an isolated dissection flap composed of all of the intima and media, including the internal elastic lamina and external elastic lamina, compressed by hematoma in the false lumen at the bifurcation edge of the mid LAD and diagonal branch. The dissection entry tear site to the false lumen was not detected on angiogram. Furthermore, this site was not clearly detected even on IVUS, and there was no communication between the false and true lumen (). Atherosclerotic change was not detected in this vessel (LAD) on the IVUS. 3.0×28 and 2.5×23 mm sized two Xience Prime stents (Abbott Vascular, Santa Clara, CA, USA) were deployed over the dissection from the distal portion of the mid LAD for preventing any subsequent propagation of the dissection. Subsequent angiography revealed no residual stenosis without secondary dissection and restoration of Thrombolysis in Myocardial Infarction (TIMI) grade 3 flow (). Subsequent IVUS demonstrated a fully covered dissection lesion ().
The patient had a favorable clinical course and was discharged on aspirin, clopidogrel, beta blocker and statin. She remained asymptomatic without any complications at six month follow-up.</t>
  </si>
  <si>
    <t>A previously healthy 3 year old girl presented to our Pediatric Dermatology Clinic in April of 2007 with a 6 month history of a papular skin eruption on the finger nail margins of her hands bilaterally, her scalp, and around the nares (fig ). These symptoms were associated with significant arthralgia affecting her wrists and knees. There were no other associated symptoms. Her family history was negative for lipid disorders, dermatologic conditions, and chronic inflammatory conditions.
The physical examination revealed multiple flesh colored to slightly pink, flat-topped, smooth papules lined up in a row in the periungual skin on every finger of both hands, as well as the margin of the nares, forehead, and scalp. The musculoskeletal examination demonstrated unequivocal polyarthritis. There was swelling, loss of range of motion, and pain with movement in both elbows. There was synovial thickening and pain with flexion in both wrists. There were flexion contractures of the second and third proximal interphalangeal joints of both hands. Effusions and synovial thickening were present in both knees.
Laboratory results showed a normal complete blood count, hepatic profile, renal profile, and lipid profile (cholesterol 128 mg/dL, low density lipoprotein 83 mg/dL, high density lipoprotein 30 mg/dL, triglycerides 75 mg/dL). Lactate, uric acid, serum sterol, and urine organic acid levels (desmosterol, lathosterol, campesterol and sitosterol) were all within normal limits. ESR and CRP were within normal limits. Serum protein electrophoresis revealed no significant abnormalities. Lyme serology, anti-nuclear antibodies, and rheumatoid factor were negative. PPD was negative.
Bilateral hand X-rays demonstrated mild diffuse osteopenia without periosteal reaction, soft tissue swelling in the digits, most striking at the base of the fingernails and a radiolucency at the base of the left third proximal phalanx. A CT scan of the chest, abdomen and pelvis was unremarkable. CT scan of the neck showed multiple, less than 2 cm lymph nodes. A glenohumeral joint effusion was noted as well.
Skin biopsies were obtained from the nail fold and scalp. The histology sections showed a dome-shape lesion with dermal infiltrate composed of foamy histiocytes and a few admixed lymphocytes (fig ). Multinucleated giant cells and Touton type giant cells were not observed. There was upward migration of cells with clear, foamy, and vacuolated cytoplasm within the overlying epidermis. PAS stains were negative for glycogen deposition and fungal organisms. AFB stains were negative. Immunostaining with CD68 was positive, and CD1a stained only a few intraepidermal and rare dermal cells. Factor XIIIa stained a few scattered cells. These biopsies where read by multiple pathologists as consistent with papular xanthoma. Additional biopsies of synovium and additional skin nodule both showed foamy histiocytes with scattered lymphocytes arranged in sheets. Cytoplasm ranged from clear to bubbly to finely granular. CD68 and lysozyme stained strongly positive in histiocytes. Formal evaluation of the patient by an ophthalmologist, oncologist, and metabolic specialist revealed no additional findings.
The child was diagnosed with MRH based on her clinical presentation, even though histopathology was not classic for this disorder, and followed in pediatric rheumatology clinic. She was started on naproxen without major improvement in the joint complaints; methotrexate was then added at a dose of 5 mg (0.4 mg/kg) by mouth once a week and later increased to 7.5 mg (0.6 mg/kg) subcutaneously once a week without major improvement. Hydroxychloroquine 75 mg (6.25 mg/kg) by mouth per day was added. Subcutaneous nodules of about 2 × 1 × 2 cm were noted on the upper portion her arms bilaterally in the region of the axilla and diagnosed as synovial cysts by ultrasound. X ray of the shoulders revealed subtendinous erosion of bone in the humerus and distal clavicle remodeling (fig ). Oral prednisone 1.7 mg/kg/day was started, and there was almost complete resolution of the xanthomatous lesions and moderate improvement in her arthritis. Prednisone was tapered to 1 mg/kg.
However, she continued to have multiple joint effusions and decreased range of motion in her PIP joints. Therefore, etanercept was added at a dose of 20 mg (1.25 mg/kg) subcutaneously every week. Methotrexate was increased to 12.5 mg (0.8 mg/kg). She had a partial initial response to etanercept with some improvement in the range of motion of her MCP's and wrists. However, after 3 months on etanercept, the patient had significant ongoing polyarthritis, so the etanercept dose was increased to 25 mg (1.5 mg/kg), and methotrexate was increased to 15 mg (0.9 mg/kg). As her prednisone was tapered very slowly, a few tiny xanthomatous lesions reappeared. Due to worsening polyarthritis, etanercept was discontinued, and infliximab was started at a dose of 10 mg/kg intravenously. After 2 infusions given 2 weeks apart, the patient was noted to have improvement with resolution of multiple joint effusions and improved range of motion. In addition, all xanthomas disappeared. The infliximab infusions were continued every 4 weeks. Methotrexate was continued at 0.9 mg/kg subcutaneously per week. Prednisone was tapered further, but patient developed recurrent polyarthritis and new xanthomas over her fingers. Unfortunately, her synovitis did not improve further when infliximab was increased to 20 mg/kg.</t>
  </si>
  <si>
    <t>CURB-65 Score for Pneumonia Severity</t>
  </si>
  <si>
    <t>What is the patient's CURB-65 score?</t>
  </si>
  <si>
    <t>A 57-year-old man presents to the emergency department for shortness of breath. He was riding the train home from a business conference when his symptoms began. The patient has a past medical history of obesity, diabetes, diabetic nephropathy, hypertension, and a 40 pack-year smoking history. His current medications include atorvastatin, lisinopril, insulin, metformin, and nicotine gum. His temperature is 99.5°F (37.5°C), blood pressure is 130/87 mmHg, pulse is 120/min, respirations are 15/min, and oxygen saturation is 93% on room air. An EKG is ordered as seen in Figure A. A chest radiograph is ordered as seen in Figure B. Laboratory values are ordered as seen below:
Serum:
Na+: 137 mEq/L
Cl-: 105 mEq/L
K+: 4.1 mEq/L
HCO3-: 24 mEq/L
BUN: 22 mg/dL
Glucose: 129 mg/dL
Creatinine: 1.2 mg/dL
Ca2+: 10.1 mg/dL
AST: 11 U/L
ALT: 12 U/L
On physical exam you note a patient who seems in distress. His cardiac exam is notable for tachycardia. Pulmonary exam reveals bilateral air movement without any wheezes or crackles. The patient's right lower extremity appears mildly inflamed, and palpation of the calf elicits pain.</t>
  </si>
  <si>
    <t>A 76-year-old Japanese woman presented to our hospital complaining of a worsening cough of 10-day duration. Her past medical history included hypertension since age 70. Her activities of daily living had been independent before admission. On admission, her vital signs were as follows: body temperature, 35.3°C; heart rate, 86 beats/min; SpO2, 96% (on room air); respiratory rate, 14 breaths/min; and blood pressure, 161/78 mmHg. No skin lesions or peripheral neuropathy were noted.
A laboratory examination revealed leukocytosis (white blood cell count [WBC]: 11,900/mm), normocytic normochromic anemia (Hb: 6.1 g/dL), elevation of C-reactive protein (CRP) level (6.1 mg/dL), and renal dysfunction (BUN: 42.6 mg/dL, Cr: 4.04 mg/dL). Urinalysis showed the following results: proteinuria 3+ (1.48 g/day) and hematuria 3+. The red cell counts in the urinary sediment were elevated (388 per high-power field). Serological tests for MPO-ANCA, PR3-ANCA, and anti-GBM antibodies were performed using enzyme-linked immunosorbent assay (ELISA). Antineutrophil cytoplasm antibodies against myeloperoxidase (MPO-ANCA) and antibodies against proteinase 3 (PR3-ANCA) and antiglomerular basement membrane (anti-GBM) antibodies were not identified, although these assays were performed several times during the clinical course (). Testing for hepatitis B and C viruses, and antinuclear antibody titer was negative. The complement levels were normal.
Chest X-ray and thoracic computed tomography (CT) scan revealed patchy alveolar infiltrates throughout the upper and lower zones in both lungs (Figures and ).
An electrocardiogram showed normal sinus rhythm. Echocardiography revealed a normal ejection fraction of 60%, normal right-ventricular size, no evidence of a pericardial effusion, and no findings that were consistent with pulmonary edema. Abdominal ultrasound showed bilateral normal-sized kidneys with increased echogenicity.
Pneumonia was suspected on admission and several antibiotics were initiated based on an increase in inflammatory reaction including WBC and CRP levels. However, as alveolar patchy infiltrates gradually expanded after admission (Figures , , and ) and she expectorated bloody sputum on the 3rd day, we evaluated these antibiotic drugs as ineffective and she was treated with a blood transfusion because of worsening of anemia.
To determine the causative organism, culture tests were performed for sputum culture five times and blood culture three times over the course of hospitalization; however, no bacterial species causing pneumonia were detected. Serological tests for Cytomegalovirus, Mycoplasma, and fungus were also negative. No infectious explanation for these imaging findings was found.
On the 10th day, as the oxygen saturation fell to 82% despite the administration of oxygen (10 liters per minute) by face mask, she was moved to the intensive care unit (ICU) and the trachea was intubated and mechanical ventilation was begun. Her renal function worsened with serum creatinine increasing steadily from 4.04 mg/dL on admission to a peak of 5.76 mg/dL on the 9th day. Rapidly progressive glomerulonephritis (RPGN) was diagnosed by urinary findings and progressive loss of renal function. As there had been no urine output on the 9th day, a hemodialysis catheter was placed, and hemodiafiltration (HDF) was begun.
The findings of chest X-ray and chest CT scan indicated the more specific group of disorders known as diffuse alveolar hemorrhage accompanied by glomerulonephritis. Therefore, the patient was started on 500 mg of methylprednisolone intravenously daily for 3 days under the administration of antibiotics on the 9th day. After that, methylprednisolone was sequentially administered at 250 mg daily for 3 days and 125 mg daily for 3 days, followed by oral prednisolone. The administration of prednisolone was started at 60 mg daily on the 20th day and the prednisolone dose was gradually decreased to 20 mg daily on the 96th day.
We performed a tracheotomy on the 14th day because we expected that she would need prolonged mechanical ventilation, and she was taken off a ventilator on the 30th day. Chest radiograph and chest CT scan showed a bilateral pulmonary infiltrative shadow that improved on the 64th day and disappeared without lung damage on the 92nd day ().
A kidney biopsy was performed on the 64th day, because her general condition improved and she was able to move to a prone position. The total number of glomeruli was 32, sclerotic glomeruli was 24 (75%), and crescentic glomeruli was 2. The PAS and PAM stain identified sclerotic glomeruli. The linear deposition of IgG was observed in part of the basement membrane by immunofluorescence micrography (see ). Therefore, although an anti-GBM antibody was not detected in the serum, anti-GBM glomerulonephritis was suspected histopathologically.
She was transferred to a nearby hospital to continue rehabilitation and maintenance dialysis on the 96th day. One year after onset, there has been no recurrence of PRS with maintenance dosage of prednisolone 10 mg daily.</t>
  </si>
  <si>
    <t>The patient is a 63-year-old man with a past medical history of MALToma of the lung who presented with generalized weakness for the past one month associated with cough, fever, night sweats, and shortness of breath. The patient also had anorexia and weight loss of 15 pounds over one month. He denied a history of smoking. The patient was under treatment with isoniazid and pyridoxine for latent tuberculosis based on a positive skin tuberculin test.
On physical examination, his blood pressure was 110/59 mmHg, heart rate 118 beats per minute (bpm), respiratory rate 18/min, saturating 99% on room air with a temperature of 98.9oF. The patient was in no cardiopulmonary distress. A cardiovascular examination revealed no jugular venous distension, normal S1-S2, and no murmurs. On lung auscultation, the patient had rales at the left lung base.
Laboratory data showed sodium 134 mEq/L, potassium 4.2 mEq/L, chloride 103 mEq/L, bicarbonate 25 mEq/L, blood urea nitrogen 17 mg/dl, creatinine 0.9 mg/dl, glucose 96 mg/dl, hemoglobin 6.6 g/dl, hematocrit 20.1%, white blood cell count 5.5 x 103/microliter, and platelets 128 x 103/microliter. The coagulation profile showed prothrombin time (PT) 17.2 sec, partial thromboplastin time (PTT) 44.3 sec, and international normalized ratio (INR) 1.38.
Chest X-ray (CXR) and computed tomography (CT) scan showed right middle lobe opacity (Figures -). Repeat imaging after six months showed multiple masses in the lung and an osteoblastic bone lesion involving the left ilium (Figures -). Esophagogastroduodenoscopy showed a normal gastro-esophageal junction with erythematous mucosa in the stomach. The gastric biopsy was normal.
A lung biopsy done at initial presentation from the right middle lobe mass showed dense lymphoid infiltrate with proliferation of monocytoid B lymphocytes consistent with extranodal marginal zone lymphoma (BALToma/MALToma).
A CT-guided core needle biopsy from the left posterior pelvic mass that was noted six months after the initial presentation showed high grade diffuse large B-cell lymphoma involving skeletal muscles. The pathology report showed diffuse proliferation of lymphocytes, which were positive for cluster of differentiation (CD) 20 and B-cell lymphoma (BCL)-2 by immunohistochemistry tests. He was started on chemotherapy with rituximab, cyclophosphamide, doxorubicin, vincristine, and prednisone (R-CHOP) with subsequent complete clinical and radiologic remission (Figure ).</t>
  </si>
  <si>
    <t>A 78-year-old female ex-smoker was admitted with an 8-day history of nonproductive cough, fever, and worsening malaise. Prior to admission, she required help with high-order activities of daily living, such as heavy housework; she was relatively independent with activities of daily living, receiving some support from her family for the same, but she rarely left her house. This put her in the category of “mildly frail” on the Clinical Frailty Scale 5.[] Her past medical history included hypertension, chronic obstructive pulmonary disease (COPD), and diet-controlled diabetes mellitus-type 2. Her vital signs following initial assessment were: Heart rate 94/min, blood pressure 104/71 mmHg, respiratory rate 19/min, temperature 36.2° C and oxygen saturation 92% on 6 L O2 delivered through nasal cannula. Her laboratory results revealed: White cell count 3.4 × 10 9/L (normal range: 4.0–11.0 × 109/L), neutrophils 2.43 × 10 9/L (2.0–7.7), lymphocyte 0.82 × 10 9/L (0.8–3.4), C-reactive protein (CRP) 100 mg/L (0–8), urea 4.7 mmol/L (3.0–7.6), and creatinine of 62 umol/L (65–114). Chest X-ray (CXR) showed bilateral infiltrates that were most apparent in the left middle and right lower zones [].
She was initially managed as suspected COVID-19 pneumonia with an exacerbation of COPD. On day-3 of admission she deteriorated significantly; she became cyanosed and tachypnoeic at 30 breaths per minute and 15 L/min oxygen via a mask with a reservoir bag was required to achieve oxygen saturation of 90%. Molecular testing confirmed the presence of severe acute respiratory syndrome coronavirus 2 on nasopharyngeal swab, confirming the diagnosis of COVID-19 pneumonia. Arterial blood gas analysis on 15 L/min oxygen via a mask with a reservoir bag showed: pH 7.49, pC02–4.9 kPa, and pO2–4.2 kPa, in keeping with severe lung injury. She was commenced on CPAP of 10 cm H20 with 60% fraction of inspired oxygen (FiO2). Following initiation of CPAP, she improved symptomatically with reduction in respiratory rate and achieved saturations at 92% on 60% FiO2. The CPAP management strategy was to titrate pressures up to a maximum of 15 cm H20 with an aim to keep FiO2 requirements to 60% or less, as far as possible, with target saturation of 88%–92%.[] A do-not-attempt resuscitation order was placed and agreed with the family, which included the decision that the patient would not be suitable for invasive ventilation through an endotracheal tube; this was based on the patient's premorbid functional status and perceived poor prognosis with these interventions.
On day 4 of the admission, her oxygen requirements increased to an Fio2 of 90%, and she was CPAP dependent on 15 cm H2O, rapidly desaturating when it was removed. A nasogastric (NG) tube was inserted to maintain both nutrition and hydration. A repeat CXR showed worsening consolidation in both lungs consistent with worsening COVID-19 pneumonia []. Rising inflammatory markers prompted the initiation of empirical antibiotics (Moxifloxacin) to cover possible secondary bacterial infection []. The patient's condition initially stabilized; by day 10, she was weaned to overnight CPAP only, maintaining adequate oxygen saturation on 2 L/min of oxygen delivered through nasal cannula and the feeding NG-tube was removed.
Despite initial improvement, she experienced a second phase of clinical deterioration on day 12 (20 days from onset of symptoms) with worsening respiratory parameters (respiratory rate 37 and oxygen saturations falling to 86% on 5 L/min oxygen through nasal cannulae). CPAP was recommenced with titration of pressure and FiO2 as earlier described. A feeding NG-tube was reinserted. A repeat CXR [] showed worsening infiltrates bilaterally, suggestive of ARDS and there was a concomitant rise in CRP levels []. Along with raised CRP levels, interleukin-6 levels were raised at 50.1 pg/mL (0–7), ferritin levels were 302 ug/L and D-dimer 4236 ng/mL. Although the clinical picture was in keeping with worsening COVID-19, empirical antibiotic therapy with piperacillin-tazobactam was restarted to cover for hospital-acquired pneumonia. However, multiple sputum and blood cultures did not demonstrate growth of pathogens. The patient slowly improved and was again weaned from CPAP with this being discontinued on day 27 of admission, completing 24 days of CPAP treatment in total. Clinical improvement was reflected in the decline of CRP levels to 11 mg/L from a high of 314 mg/L. Interleukin-6 levels also decreased to 14.2 pg/ml. She was discharged after 30 days of treatment for COVID-19 at which time she no longer required supplementary oxygen and was close to her normal premorbid state. The progression of our patient's clinical observations, CPAP settings, and CRP levels are summarized in , supporting the “biphasic” nature of our patient's condition.</t>
  </si>
  <si>
    <t>A 70-year-old man with a past medical history significant for hypertension, diabetes mellitus, chronic kidney disease stage 4, and prostate cancer stage 4 on outpatient chemotherapy at another facility presented to our emergency department with complaints of vomiting and nausea a day prior to admission. He had three episodes of nonbloody, non-bilious, and nonbloody diarrhea as well. The patient had one-day history of productive cough with whitish sputum and subjective fevers. Patient, though adherent with chemotherapy, had admitted that he was not able to take his other home medications. In the ED, patient had a temperature of 103.1degrees F, heart rate of 98 beats per minute, blood pressure of 102/55 mmHg, respiratory rate of 18 breaths per minute, glucose of 121 mg/dl. Physical exam was significant for conscious, alert and oriented to person, place, and time; pink and moist mucosa, right surgical scar at the right hypochondriac, soft, nontender, bowel sounds were present. Pertinent abnormal labs include: white blood cell count (WBC), 14.5 units/mcl (reference range: 4.80-10.80 units/mcl) with neutrophils of 82.1% (reference range: 44%-70%), blood urea nitrogen (BUN) 39 mg/dl (reference range: 7-18 mg/dl), creatinine (Cr) 3.8 mg/dl (reference range: 0.7-1.2 mg/dl), calcium (Ca) 7.7 mg/dl (reference range: 8.5-10.1 mg/dl). Chest x-ray showed a focal area of consolidation involving the left midlung. Patient was admitted and managed on the medical floor for sepsis likely secondary hospital acquired pneumonia especially given his immunocompromised state. Patient was started on IV vancomycin and piperacillin-tazobactam in the emergency department.
During the course of the hospitalization, infectious disease was consulted and they recommended to start the patient on IV cefepime 1 g Q24 hours, oral linezolid 600 mg Q12H, and oral clindamycin 450 mg Q8H. In addition, patient was started on calcium acetate for his hypocalcemia and was continued on sodium bicarbonate 1300 mg Q8H for his AKI on CKD. After two days the cefepime dose was increased to 2 mg. Two days after increasing the dose of cefepime, patient started developing altered mental status. Patient was alert and oriented only to person, incoherent and expressed thoughts like “I would kill myself if I had the chance” so the cefepime was discontinued and within one day the patient was more conversant, denied any suicidal ideations and was alert and oriented to person and place. In addition, the BUN and creatinine (Cr) levels trended up to 41 mg/dl and 5.4 mg/dl. So the calcium acetate was switched to calcium carbonate and calcitriol. After making these changes the Cr level trended down to 3.4 mg/dl. In addition, the corrected Calcium level was at normal levels based on the albumin level of the patient. The mental status improved and patient was subsequently discharged. Table provides the electrolyte levels.</t>
  </si>
  <si>
    <t>A 65-year-old man presents to the emergency department with shortness of breath and a sensation of anxiety. This started suddenly this afternoon and has persisted for the past several hours. The patient has a past medical history of obesity, diabetes, hypertension, and osteoarthritis. His current medications include atorvastatin, lisinopril, insulin, metformin, and ibuprofen. Laboratory values are ordered as seen below:
Serum:
Na+: 139 mEq/L
Cl-: 100 mEq/L
K+: 4.2 mEq/L
HCO3-: 24 mEq/L
BUN: 20 mg/dL
Glucose: 124 mg/dL
Creatinine: 1.1 mg/dL
Ca2+: 10.1 mg/dL
AST: 11 U/L
ALT: 11 U/L
An EKG is ordered as seen in Figure A. His temperature is 99.5°F (37.5°C), blood pressure is 147/92 mmHg, pulse is 177/min, respirations are 15/min, and oxygen saturation is 96% on room air. On physical exam you see a patient who is notably uncomfortable and appears anxious. Pulmonary exam is notable for minor bibasilar crackles. Cardiac exam is notable for tachycardia.</t>
  </si>
  <si>
    <t>A 27-year-old immigrant from Bolivia presents to the emergency department with cough and shortness of breath. She immigrated to the United States five months ago and does not present with any medical records. The patient also complains of nausea and vomiting. Her temperature is 99.5°F (37.5°C), blood pressure is 90/65 mmHg, pulse is 140/min, respirations are 18/min, and oxygen saturation is 98% on room air. Cardiac exam reveals an apical murmur. Pulmonary exam reveals mild bibasilar crackles. On abdominal exam, you note increased abdominal girth without any tenderness. Neurological and musculoskeletal exams are within normal limits. Laboratory values are ordered as seen below.
Hemoglobin: 12 g/dL
Hematocrit: 36%
Leukocyte count: 4,500/mm^3 with normal differential
Platelet count: 100,000/mm^3
Serum:
Na+: 139 mEq/L
Cl-: 100 mEq/L
K+: 4.4 mEq/L
HCO3-: 24 mEq/L
BUN: 20 mg/dL
Glucose: 220 mg/dL
Creatinine: 1.1 mg/dL
Ca2+: 10.2 mg/dL
ß-hCG: 175,000 mIU/mL
AST: 12 U/L
ALT: 10 U/L
An EKG is performed as seen in Figure A. The patient is started on IV fluids.</t>
  </si>
  <si>
    <t>A 60-year-old man presented with fever and productive cough for 2 days. He had a history of type 2 diabetes for 12 years and received peritoneal dialysis for diabetic nephropathy for 5 years. He also received antihypertensive drugs for hypertension for 10 years. There was no personal or family history of coagulopathy or stroke, trauma, chest pain, or illicit intravenous drug use.
Admission physical examination revealed the patient to be febrile (39.1°C), tachycardic with a pulse of 112/min, a respiratory rate of 22/min, and hypertensive with a blood pressure of 170/80 mm Hg. Bibasilar crackles were heard on auscultation. The peritoneal dialysis catheter was correctly positioned in the right lower abdomen, with no local erythema. There was no exudate buildup in catheter dressings. His systemic examination was otherwise unremarkable, with no tenderness, ecchymosis, or other external signs of trauma.
Initial blood workup showed neutrophilic leukocytosis with a white blood cell count of 12.8 × 109/L (normal reference: 4.0–10 × 109/L) and 82.6% neutrophils (normal reference: 50%–70%). The patient was anemic (hemoglobin 95 g/L; normal reference: 120–160 g/L), with a normal platelet count (181 × 109/L; normal reference: 100–300 × 109/L). Both his prothrombin time (PT; 12.1 s, normal reference: 10–14 s) and activated partial thromboplastin time (aPTT; 34.1 s, normal reference: 20–40 s) were normal. Blood chemistry showed elevated blood urea nitrogen (20.5 mmol/L; normal reference: 3.2–7.1 mmol) and creatinine (1125 µmol/L; normal reference: 53–106 µmol/L). Blood glucose was 6.4 mmol/L (normal reference: 3.9–6.1 mmol/L), K+ 4.14 mmol/L (normal reference: 3.5–5.5 mmol/L), Na+ 145 mmol/L (normal reference: 135–145 mmol/L), Cl+ 108 mmol/L (normal reference: 95–105 mmol/L), and Ca++ 2.1 mmol/L (normal reference: 2.25–2.58 mmol/L). Liver function test was normal. Arterial blood gas analysis showed pH 7.40 (normal reference: 7.35–7.45), PaO2 60.1 mm Hg (normal reference: 95–100 mm Hg), PaCO2 44.8 mm Hg (normal reference: 35–45 mm Hg), and HCO3– 29.6 mmol/L (normal reference: 22–27 mmol/L). Chest X ray revealed patchy opacities in the right lower lung. The right diaphragmatic surface and costophrenic angle were also blurred. Furthermore, the cardiac silhouette was enlarged.
Treatment for pulmonary infection with cefoperazone-sulbactam (1.5 g every 12 h) was initiated. The patient also received subcutaneous insulin (30 units/day) and oral nifedipine sustained release tablet (30 mg daily). Peritoneal dialysis continued with 2.5% low calcium peritoneal dialysate.
At day 3 post admission, the patient became disoriented. He was still febrile (40.3°C). SPO2 declined to 88% despite of 5 L/min oxygen via a nasal cannula. Blood gas analysis showed pH 7.30, PaO2 53.10 mm Hg, PaCO2 58.50 mm Hg, and HCO3– 29.3 mol/L. Blood chemistry revealed that blood urea nitrogen (22.7 mmol/L) and serum creatinine (1345 µmol/L) continued to rise, and his plasma glucose also increased (8.4 mmol/L). K+, Na+, Cl+, and Ca++ were within normal range. His C-Reactive Protein (CRP) was 183 mg/L (normal reference: &lt;8 mg/L), and procalcitonin 66.06 ng/mL (normal reference: &lt;0.5 ng/mL). The liver function, platelet count, aPTT, and PT were normal. Thromboelastogram showed normal coagulation factor reaction time (9.9 min; normal reference: 5–10), fibrinogen reaction time (1.9 min; normal reference: 1–3), α (alpha) angle (64.9°; normal reference: 53°–72°), shear stress coefficient strength (19,233 d/s; normal reference: 4500–11,000 d/s), and hyperfibrinolysis (0.0%; normal reference: &lt;8%) with increased platelet function (79.4 mm; normal reference: 50–70).
The patient was diagnosed with respiratory failure (type II) and pulmonoencephalopathy, and transferred to the intensive care unit (ICU) and placed on mechanical ventilation. Imipenem (0.5 g every 6 h) was added, and low-molecular-weight heparin (enoxaparin, 3500–5500 Da, 5–10 IU/kg/h) and insulin were delivered continuously by pumps. Peritoneal dialysis was discontinued and CVVH was undertaken at 32 mL/kg/h for renal insufficiency. The patient became oriented. Arterial blood gases showed normal pH (7.43), improved PaO2 (88.6 mm Hg), normal PaCO2 (36.5 mm Hg), and HCO3– (23.5 mmol/L). However, fever persisted (39.5°C), and the patient had difficulty weaning off mechanical ventilation.
Abdominal computed tomography (CT) at day 5 showed a hypointense shadow in the left hepatic lobe (61 mm × 56 mm) with an indistinct border (). Liver abscess was confirmed upon ultrasound-guided drainage. The culture revealed Klebsiella pneumonia that was sensitive to third-generation cephalosporin and imipenem. Imipenem (1.0 g every 8 h) and metronidazole (0.5 g every 8 h) were given, and mechanical ventilation and CVVH continued.
At day 12, the patient complained left back pain, which improved the next day without treatment. Platelet count (243 × 109/L) was normal, but both aPTT (67.5 s) and PT (17.3 s) were prolonged; his thromboelastogram (heparin cup) was normal. No cutaneous and mucosal bleeding was observed. The patient had no hemoptysis and his fecal occult blood test was negative. Abdominal CT scan at day 16 revealed left iliopsoas swelling, about 61.7 mm × 64.1 mm, with inhomogeneous densities, and occasional hyperintense opacities and an indistinct border (). A diagnosis of iliopsoas hematoma was made. Anticoagulation therapy with low-molecular-weight heparin was discontinued and switched to ex vivo anticoagulation with citrate. Mechanical ventilation and anti-infection therapy (imipenem 1.0 g every 8 h, metronidazole 0.5 g every 8 h) continued. No improvement was seen, and 3 days later, the patient died after his family decided to terminate therapy.</t>
  </si>
  <si>
    <t>A 37-year-old Saudi female, who is not known to have any medical illness, presented to the emergency department with chest pain, cough, shortness of breath, hemoptysis and generalized joint pain. Her symptoms progressed over the last four days. There was no history of fever, skin rashes, sicca symptoms, no uveitis, no oral or genital ulcers. She denied any history of drug abuse and alcohol intake. She is not a smoker. There was no history of previous miscarriages and thrombovenous embolism.
The patient was admitted to isolation section in the emergency department (ER). Her Glasgow coma scale (GCS) was 15, temperature 37 C, blood pressure 110/65, respiratory rate 20, heart rate 120 bpm. Oxygen saturation on room air was 90% improved to 96% on high flow oxygen. Heart sounds were normal, no murmurs, jugular venous pressure (JVP) not raised, bilateral lower limb pedal pitting edema, bilateral equal breathing sound with audible crackles in both lungs and no tenderness or guarding in the abdomen. Musculoskeletal exam showed active arthritis in the 2nd, 3rd and 4th proximal interphalangeal joints of the right hand.
Initial hematological examination revealed white blood cells (WBC) 13,000 cells/µL, hemoglobin 5.2 g/dL, platelets 414,000 u/L, normal coagulation profile, glucose 9.1 mmol, creatinine 284 µmmol/L, blood urea nitrogen (BUN) 10.9 mmol/L, sodium (Na) 134 mmol/L, potassium (K) 3.8 mmol/L, chloride (Cl) 96 mmol/L, lactic acid 1.8 mmol, albumin 35 g/L; liver function tests were normal, cardiac enzymes and electrocardiogram were normal, C-reactive protein (CRP) 252 mg/L; urine analysis and microscopy revealed no red blood cells casts. Chest X-ray revealed bilateral pulmonary infiltration (Figure ). COVID-19 polymerase chain reaction (PCR) test was negative. CT brain showed no acute brain insults. Chest CT showed a widespread lung patchy consolidation with a central and peripheral distribution, permeated by ground glass areas and crazy paving pattern. The apices lower zones were relatively spared. Findings were likely suggestive of diffuse alveolar hemorrhage (Figures -).
Patient's blood, urine and wound cultures were taken. Toxicology screen was negative. The patient was stabilized, received proper hydration, 2 units packed red blood cells and broad-spectrum antibiotics initiated. Her serology showed that C-ANCA (PR3) 94.79 AU/mL (strong positive), P-ANCA 7.88 AU/mL (negative), antinuclear antibody (ANA) mild positive 1/80. Her complement C3 and C4 levels were within normal, the rest of rheumatological workup was unremarkable. At this point intravenous pulse methyl prednisone was initiated for three days.
The patient was shifted to the intensive care unit (ICU), as she had ongoing hemoptysis and her oxygen saturation dropped to 84% on BiPAP with FiO2 75%. After she completed the pulse steroids, prednisone 60 mg daily was initiated; linezolid was added to the antibiotic regimen. Twenty-four hours later, her GCS dropped to 9/15; she was intubated, and she was initiated on six sessions of plasmapheresis.
After she completed the plasmapheresis, the second COVID-19 swab test was positive. At this point, ritonavir/lopinavir was added and antibiotics was changed to imipenem based on infectious disease recommendations. Prednisone was reduced to 30 mg and intravenous immunoglobulin was initiated for a total of five doses.
To confirm the diagnosis of COVID-19 infection, a third sample was taken and it came positive. She was having continuous fever; antifungal treatment was added. Her hemoptysis decreased significantly after the intravenous immunoglobulin (IVIG). After 20 days of ICU admission, she had increased oxygen demands and required more vasopressors, and eventually passed away.</t>
  </si>
  <si>
    <t>A 73-year-old African American female with a past medical history of CAD, CVI, hypertension, and rheumatoid arthritis presents to the emergency room with epistaxis and gingival bleeding which initially began as a mild oral mucositis but progressed to odynophagia. She also experienced increased bruising for the last couple of weeks. These bruises progressed to open bleeding ulcerations with minimal trauma. Despite this, the patient had no prior hematological or oncological pathologies. Her home medications included aspirin (81 mg), carvedilol, enalapril, folic acid, furosemide, clopidogrel, MTX, and simvastatin. Her rheumatologist had recently changed her dosage of MTX from 7.5 mg weekly to 2.5 mg daily approximately two months prior due to worsening of her rheumatoid arthritis symptoms. Apparently the patient did not have a proper outpatient monitor of CBC, creatinine, or liver function tests after MTX dose was increased. Vital signs are pulse (68 bpm), respiratory rate (18/minute), blood pressure (152/85), and temperature (98.7°C). Her physical examination is evident for multiple petechiae scattered in the upper body. On admission, patient is pancytopenic: WBC (2.0; differential: polys = 23%, lymphocytes = 55%, monocytes = 2%, and eosinophils = 20%), Hb (7), MCV (89), and platelets (3000). Her last CBC two months prior was WBC (7.6), Hb (10.2), and platelets (194).
The following findings were also present: BUN = 36, creatinine = 1.5, AST = 27, and ALT = 26. Chest X-ray showed multiple scattered pulmonary infiltrates. Given her near normal CBC 2 months prior, we were suspicious of MTX induced myelosuppression. She was immediately started on leucovorin. A bone marrow evaluation was performed to rule out malignancy and myelodysplasia; however, no bone marrow could be aspirated and the biopsy attempt was not tolerated by the patient.
The patient was transfused with blood products including packed red blood cells, platelets, and fresh frozen plasma. She was empirically started on broad spectrum antibiotics for neutropenic fever and MTX was stopped. She improved significantly and pancytopenia resolved with almost normal hematologic parameters in less than a week of followup.</t>
  </si>
  <si>
    <t>A 32-year-old male was admitted to the medicine ward with chief complaints of generalized body swelling and decreased urine output since two months. The feet and legs had swollen first, and then the face and periorbits. Six months back, the patient first began to go down-hill. He developed dyspnea unrelated to exertion and a cough associated with daily mucopurulent, occasionally blood-streaked, foul-smelling sputum. He was fatigued most days and nights, and a low-grade fever had been present intermittently, but he reported no weight loss, wheezing or pleuritic chest pain. In retrospect, he was diagnosed with pulmonary TB in February, 2004 on the basis of sputum smear microscopy for acid-fast bacilli (AFB) and history of contact with a patient of active TB, received appropriate antitubercular therapy (ATT) for it; Tab Myrin-P Forte 4×once daily (OD) for two months, followed by Tab Myrin 4×OD for four months and Tab Vita-6 1×OD for six months; and recovered thereafter. Following that, his temperature was never over 99 F. Sputum was positive until July, 2004, and was said to have been negative after that time. He had no history of any other pulmonary illness, diabetes, or hypertension.
On examination at arrival he was nauseated, pale in the conjunctivae, febrile with an axillary temperature of 38.4 C, hypotensive to 70/40 mmHg, tachycardic with a pulse rate of 104 beats/min, slightly tachypneic at a respiratory rate of 24 breaths/min, and showed signs of periorbital edema, facial puffiness, and lower extremity pitting edema. The lungs were dull to percussion, a few rhonchi over the right lung and diffuse, bilateral crackles were heard on auscultation. The infection protocol was implemented, including intravenous crystalloids, empiric broad-spectrum antibiotics, and chest physiotherapy. There were no signs of joint swelling, any rash or discoloration, or evidence of heart failure or enlargement.
Early laboratory investigations revealed: hemoglobin, 6.9 g/dL with normal mean corpuscular volume; leukocyte count, 12.5 × 109/L; platelet count, 388 × 109/L; serum albumin, 2.0 g/dL; serum calcium, 6.7 mg/dL; serum potassium, 5.9 mEq/L; a markedly elevated serum creatinine at 271 μmol/L and an elevated serum urea at 14.3 mmol/L. Parathyroid hormone level was 146.9 pg/mL (normal: 10-65 pg/mL). Urinalysis showed protein (++), hyaline casts, and 24-hour urine protein raised at 3.7 g/day. Serum immunoglobulin levels were normal thus ruling out common variable immunodeficiency as a cause of secondary amyloidosis. Table gives an overview of the investigations. He was started on angiotensin-converting enzyme inhibitors, and a one-off dialysis session after nephrology consultation.
A single sputum smear was negative for AFB. A high-resolution computed tomography scan done about four months prior was consistent with bronchiectasis in the right lung, with no evidence of active TB (Figures , ).
Ultrasonography of the kidneys revealed bilaterally enlarged, echogenic kidneys with poor corticomedullary differentiation suggesting chronic kidney disease (Figure ).
Suspecting amyloidosis, a biopsy was in order. The biopsy came directly from the kidneys, revealing renal amyloidosis (Figure ).
Soon the symptoms became worse. By the third inpatient day, he ran a daily fever, continued to have a productive cough, raising from one-quarter to one cupful of sputum a day, and became hypoxic to the extent of utilizing 3 L per minute oxygen by nasal cannula. The third day of hospitalization saw a sizable drop in blood pressure to 50/35 mmHg, an increase in heart rate to 151 beats/min, and more rapid breathing at 30/min. Norepinephrine, vasopressin over titrating norepinephrine dose, and phenylephrine were used as a resort. However, the combination of all three vasopressors had little further effect. He was unable to maintain a mean arterial pressure above 65 mmHg, and breathed his last during the day.</t>
  </si>
  <si>
    <t>A 78-year-old man presented to the emergency department with dyspnea and fever for 6 hours. He was not currently employed and had no history of cigarette smoking or alcohol ingestion. He had no underlying disease. Besides, he had no hospital admission, antimicrobial use history and healthcare institution visiting record in 1 year. On admission, he appeared acutely ill. His blood pressure was 104/57 mmHg, respiratory rate 20 breaths per minute, pulse rate 110 beats per minute, and body temperature 38.2°C. A regular heart rhythm was observed. There were coarse breath sounds with crackles in the right lung field.
The laboratory results were as follows: white blood cell count 3,900/mm3 (72.5% neutrophils, 20.4% lymphocytes, 4.7% monocytes, 2.82% eosinophils), hemoglobin 12.2 g/dL, platelet count 197,000/mm3, C-reactive protein 1.24 mg/dL, blood urea nitrogen 28.2 mg/dL, creatinine 1.24 mg/dL, aspartate aminotransferase 16 UI/L, alanine aminotransferase 10 IU/L, total bilirubin 0.9 mg/dL, total protein 6.0 g/dL, and albumin 3.5 g/dL. The arterial blood gas analysis breathing room air was pH 7.44, pCO2 24.1 mmHg, pO2 59.0 mmHg, HCO3– 17 mmol/L, and O2 saturation 87%. A plain chest radiograph showed patchy consolidations in the right middle and lower lobes (). Chest computed tomography (CT) showed lobar pneumonia in the right middle and lower lobes (). He was diagnosed with CAP. Intravenous piperacillin/tazobactam and ciprofloxacin were administered empirically.
Five hours after admission, his respiratory distress worsened, and he was treated with oxygen at 6 L/min via mask. On the second day after admission, intravenous teicoplanin was administered because of a persistent fever. On the third day, A. baumannii was identified in cultures of both sputum and in two of three pairs of blood samples taken on admission. A. baumannii was identified using Matrix-assisted laser desorption/ionization time-of-flight mass spectrometry (MALDI-TOF MS, Bruker Daltonics GmbH, Bremen, Germany) on a Microflex spectrometer (Bruker Daltonics GmbH, Germany). Antimicrobial susceptibilities were determined using VITEK-2 system (bioMerieux, Marcy I'Etoile, France). The bacterial isolate was resistant to multiple drugs, except colistin, tigecycline, minocycline, amikacin, and gentamicin (). Therefore, the antibiotics were changed to intravenous colistin and oral minocycline.
On the 6th day after admission, his vital signs stabilized and the fever subsided. Follow-up chest radiography and CT showed improved consolidation. No A. baumannii grew in the follow-up blood cultures. On the 26th day after admission, because of colistin-induced nephropathy, the antibiotics were switched to tigecycline. On the 48th day after admission, the chest radiograph and chest CT showed that the pneumonia had improved ( and ). The patient was discharged on day 56 and followed as an outpatient with no significant complications.</t>
  </si>
  <si>
    <t>An 85-year-old male, with a history of chronic inguinal hernia with remote history of mesh placement, chronic obstructive pulmonary disease (COPD) on 2 L home O2, hypertension, and insulin-dependent diabetes presented with hematemesis. Per emergency medical services (EMS) history, the patient was found down and covered with black-colored, coffee ground emesis. The patient had been complaining of abdominal pain and had been weak and less responsive than usual to family members for the last day. The patient endorsed decreased bowel movements. He denied any history of blood thinner or nonsteroidal anti-inflammatory use, alcoholism, or liver cirrhosis.
On his initial vitals, the patient had a pulse oximetry of 98% on 2 L of nasal cannula, a blood pressure of 123/72 mmHg, temperature of 36.7°C, heart rate of 115 beats per minute, and a respiratory rate of 18 breaths per minute. On physical examination, the patient was alert and oriented without distress, with coffee ground emesis on his clothes. His head and body were without obvious external signs of trauma. A cervical collar was placed by EMS. The patient was tachycardic with a regular rhythm, equal pulses bilaterally, and lungs were clear to auscultation. Abdomen was greatly distended with localized tenderness to the right lower quadrant without guarding or rigidity. A nonreducible, tender, right-sided hernia with extension into the scrotum was found on groin examination. Skin examination was unremarkable.
Initial laboratory studies were remarkable for a blood urea nitrogen (BUN) of 105 mg/dL and creatinine 2.7 mg/dL, with a BUN/creatinine ratio (BUN/Cr) of 38.9 and a lactic acid of 3.4 mmol/L. Glucose was 672 mg/dL. Hemoglobin and hematocrit were within normal ranges. Troponin and electrocardiogram were unremarkable. White blood cell count, lipase, creatine kinase, liver function tests, and electrolytes were also unremarkable. Computed tomography (CT) scan of the head and neck without contrast were unremarkable. Chest radiography showed a right upper lobe pulmonary infiltrate. CT scan of the abdomen with contrast showed an SBO caused by a large right-side indirect hernia with multiple loops of small bowel extending into the hernia defect, along with a direct hernia and small bowel distention throughout the abdomen (Figure ).
The small bowel extended all the way into the right hemiscrotum through the right inguinal canal (Figure ).
The patient was seated upright, given intravenous fluids, pantoprazole, ondansetron, and analgesia. Blood cultures were obtained before administration of ceftriaxone. Given laboratory and imaging findings, worsening symptoms, and clinical presentation, the patient was admitted. During admission, he became acutely obstructed without flatus and bowel movement, and he ultimately underwent right open inguinal hernia repair, where he was found to have massive incarcerated right pantaloon inguinal hernia, extensive adhesions, and a meshoma from a previous inguinal surgery. A pantaloon hernia consists of concurrent direct and indirect inguinal herniae where hernial sacs are present on both sides of the inferior epigastric vessels and are separated by the posterior wall of the inguinal canal. There were multiple loops of small bowel, some with adhesions to the hernia sac at the level of the scrotal component requiring right pantaloon hernia repair with mesh, right orchiectomy, and extensive lysis of adhesions. The patient was sent to the intensive care unit post-operatively in a stable condition and he was ultimately discharged without further complications.</t>
  </si>
  <si>
    <t>A 61-year-old Japanese man was transported to our critical care and emergency center by ambulance with fever, exacerbation of pain in his lower back and both legs, and a painful mass over his left SCJ.
Approximately 3 months previously, he had consulted an orthopedic surgeon because of low back and leg pain. He had been diagnosed with disc herniation at L4-L5, and had been hospitalized for bed-rest and treatment. While hospitalized, he had received several intravenous injections of sodium salicylate, but no peripheral intravenous catheter had been inserted. About 2 months after discharge, he had been referred to our outpatient anesthesiology department because of ongoing leg pain. Two weeks before presentation, he had received his first epidural block using 6 ml of 0.8% mepivacaine hydrochloride at the L4-L5 level, injected via the paramedian approach. Two days before presentation, a second epidural block using 5 ml of 0.8% mepivacaine hydrochloride had been administered at the same level. The skin had been disinfected with 5% chlorhexidine solution prior to needle insertion on both occasions. His medical history included hypertension and diabetes, for which he was taking antihypertensive and hypoglycemic agents, respectively. He had no history of trauma, shoulder injection, subclavian vein catheterization, or intravenous drug abuse. He did not have any focal dental infection or signs of tooth decay. He was unable to walk, due to increased leg pain. The day prior to admission, he experienced a fever of 39 °C.
On examination, he was in moderate respiratory distress and mildly diaphoretic, with a blood pressure of 97/51 mmHg, pulse rate of 95 beats/min, respiratory rate of 28 breaths/min, temperature of 39.5 °C, and oxygen saturation of 80% on room air. His oxygen saturation improved to 92% with oxygen administration (2 l/min by nasal cannula). Examination of the oral cavity and pharynx was normal, and there was no cervical lymphadenopathy. Chest examination was unremarkable except for swelling and severe tenderness over the left SCJ. Lumbar spine examination showed stiffness, with tenderness over the vertebrae. Movement of the lower back and pressure over the lumbar spine caused pain. The straight leg raising test and femoral nerve stretch test were inconclusive bilaterally because of lower back muscle spasm. His lower limb muscle power, knee and ankle reflexes, and sensation were normal. Bladder and bowel function were normal.
Laboratory testing showed the following results: plasma white blood cell count (WBC) 18,490/mm3, platelet count 541,000/mm3, hemoglobin 9.0 g/dl, C-reactive protein 22.9 mg/dl, fasting blood glucose 335 mg/dl, glycosylated hemoglobin 8.1%, blood urea nitrogen 23.7 mg/dl, creatinine 0.73 mg/dl, glutamic-oxaloacetic transaminase 59 IU/l, glutamic-pyruvic transaminase 62 IU/l, cholinesterase 134 IU/l, alkaline phosphatase 600 IU/l, lactate dehydrogenase 381 IU/l, and creatine kinase 566 IU/l. US examination of the left SCJ suggested pyogenic arthritis with involvement of the sternocleidomastoid muscle. The chest X-ray was normal, and there were no abnormalities on ECG or cardiac US. CT showed erosion and abscess formation of the SCJ with extension of the abscess into the mediastinum (Figures A and B) and sternocleidomastoid muscle (Figure C). Abdominal CT showed swelling of the left paraspinal muscle at L1-L3 (Figure A). MRI showed spondylitis of the L3-L4 vertebrae (Figure B) with a focal epidural collection and L3-L4 discitis (Figure C).
Aspiration of the SCJ revealed a turbid fluid (approximately 3 ml) (Figure ) with clusters of gram-positive cocci on microscopy. The SCJ was incised and drained, and the abscess cavity was enlarged to include the abscess of the left sternocleidomastoid muscle. Sulbactam/ampicillin administration was started immediately. Aspirated pus, urine, and two sets of blood cultures all indicated S. aureus infection. According to the results of antibiotic susceptibility testing, the patient’s antibiotic therapy was changed to cefotiam. After one week of antibiotic therapy, blood and wound cultures were negative for pathogens. Follow-up MRI clearly showed abscess formation in the left paraspinal muscle at L1-L3, but culture of fluid aspirated from the abscess showed no growth.
The patient’s general condition improved significantly and his fever subsided after 4 days. The wound at the SCJ was irrigated daily. Twelve days after the onset of treatment, his plasma WBC was 7,050/mm3 with 78% neutrophils. Two weeks after admission, there was a still a non-tender swelling over the left SCJ, but the purulent secretion had completely resolved. Neurological examination of the lower limbs was unchanged. Eight weeks after admission, he was transferred to the spinal surgery unit to undergo evaluation for operative treatment of his spondylitis and epidural abscess.</t>
  </si>
  <si>
    <t>Here we report a case of a 41-year-old man with past medical history (PMH) of asthma, urinary tract infection (UTI), erectile dysfunction, and diverticulosis with a prior episode of diverticulitis who had presented with left lower quadrant (LLQ) pain and managed for complicated UTI secondary to prostatitis/nephrolithiasis in July 2019, three months prior to the current presentation. Blood and urine cultures did not reveal any growth at that time and CT of abdomen and pelvis demonstrated diverticulitis of descending colon, thickening of bladder wall, and prostatic calcifications, with no liver lesions. He was discharged home on oral levofloxacin and his pain resolved with completion of outpatient course of oral antibiotics.
He came to the ER three months later in October 2019 with a two-day history of RUQ pain, 9/10 in intensity, not related to oral intake, and relieved by lying supine. It was associated with anorexia and malaise. He also mentioned a one-week history of fever, rigors, and generalized weakness. Review of systems were remarkable for foul-smelling urine with associated, intermittent LLQ pain. He reported nausea without vomiting. Of note, he denied recent travel and change in dietary habits. He has not been sexually active for the past year and he had an index colonoscopy in 2004.
On exam in the ER, his BP was 121/79, pulse 111, temp. 101.7°F, respiratory rate (RR) 19, saturating at 95% on room air. His mucous membranes were dry, abdomen was tender in RUQ. Chest was clear and rectal exam was negative for mass or active bleeding with a normal sphincter tone. His labs were significant for white blood cell (WBC) of 17.7 with left shift (neutrophil of 85.7 and bands 25%), hemoglobin (Hb) of 12.8, potassium of 3.3, magnesium of 1.5 and lactate of 2.2, blood urea nitrogen (BUN)/creatinine of 21/1.0, alkaline phosphatase of 136, aspartate aminotransferase (AST) 218, alanine transaminase (ALT) 242 and international normalized ratio (INR) of 1.3. Urine analysis (UA) was positive for nitrites, LE 2+, packed field with WBC and many bacteria on urine microscopy.
Chest X-ray (CXR) did not demonstrate any acute cardiopulmonary disease. CT abdomen and pelvis revealed two multilocular, hypoattenuating lesions in the right lobe of the liver which were 7-8 cm in size (Figure ), new as compared to previous CT scan done three months prior (Figure ). Cross-sectional imaging was also suggestive of sigmoid diverticulitis and colo-vesical fistula. At this point, the main focus was on multifocal, metastatic infection to the liver versus primary liver abscesses. The patient was admitted to the ICU for intensive monitoring and management of sepsis secondary to hepatic abscesses/complicated UTI. Blood and urine cultures were taken before the initiation of broad-spectrum, intravenous antibiotics.
He underwent percutaneous drainage of both liver collections and fluid analysis was performed. The fluid was tested for ova and parasite with negative results. Cytology was negative for malignant cells. Fluid microscopy revealed abundant neutrophils consistent with abscess. Cultures were positive for S. constellatus. Blood cultures isolated S. constellatus which was concordant with fluid studies. Urine culture was significant for E. coli. Serological testing for Echinococcus antibody was negative. Based on the culture and sensitivity of liver fluid collections, he was started on levofloxacin and metronidazole. The patient was managed for Gram-positive bacteremia and repeat cultures after initiation of parenteral antibiotics were negative. A peripherally inserted central catheter (PICC) line was placed to continue intravenous antibiotics for six weeks.
Follow-up CT revealed a sigmoid abscess and findings consistent with colo-vesical fistula (Figure ). The sigmoid abscess was drained percutaneously, but not cultured. A diverting loop ileostomy was performed for initial management of colo-vesical fistula with plans for definitive surgery in the future. Work up for inflammatory bowel disease was negative including anti-Saccharomyces cerevisiae antibodies (ASCA) and anti-neutrophilic cytoplasmic autoantibody (ANCA). HIV and Hepatitis B and C serologies were negative.
He was discharged home with PICC line in place with arrangements for outpatient IV antibiotics. During outpatient follow up, both liver abscess were fully resolved (Figure ). He completed six weeks of IV antibiotics and the PICC line was removed. He will follow up with urology for definitive repair of colovesical fistula.</t>
  </si>
  <si>
    <t>A 68-year-old man is admitted to the emergency department after 2 days of difficulty breathing and fever. His past medical history is significant for hypertension and benign prostate hypertrophy. He takes hydrochlorothiazide and tamsulosin.  He also admits to drinking alcohol on the weekends and a half pack a day smoking habit. Upon admission, he is found to have blood pressure of 125/83 mm Hg, pulse of 88/min, a respiratory rate of 28/min, and a temperature of 38.9°C (102°F). On physical exam breath sounds are decreased at the left pulmonary base. A chest x-ray reveals consolidation in the left lower lobe. Additional laboratory tests demonstrate leukocytosis, elevated C-reactive protein, a serum creatinine (Cr) of 8.0 mg/dL, and a blood urea nitrogen (BUN) of 32 mg/dL. The patient is admitted to the hospital and started on cefepime and clarithromycin. His dyspnea slowly improves after 48 hours, however, his body temperature remains at 39°C (102.2°F). Recent laboratory tests show reduced C-reactive protein levels, a Cr of 1.8 mg/dL and a BUN of 35 mg/dL. A urinalysis is ordered.</t>
  </si>
  <si>
    <t>A 62-year-old man is brought to the emergency department with fatigue, dry cough, and shortness of breath for 3 days. He reports a slight fever and has also had 3 episodes of watery diarrhea earlier that morning. Last week, he attended a business meeting at a hotel and notes some of his coworkers have also become sick. He has a history of hypertension and hyperlipidemia. He takes atorvastatin, hydrochlorothiazide, and lisinopril. He appears in mild distress. His temperature is 102.1°F (38.9°C), pulse is 56/min, respirations are 16/min, and blood pressure is 150/85 mm Hg. Diffuse crackles are heard in the thorax. Examination shows a soft and nontender abdomen. Laboratory studies show:
Hemoglobin 13.5 g/dL
Leukocyte count 15,000/mm3
Platelet count 130,000/mm3
Serum
Na+ 129 mEq/L
Cl- 100 mEq/L
K+ 4.6 mEq/L
HCO3- 22 mEq/L
Urea nitrogen 14 mg/dL
Creatinine 1.3 mg/dL
An x-ray of the chest shows infiltrates in both lungs.</t>
  </si>
  <si>
    <t>A fifty-year-old, non diabetic, hypertensive, smoker male attended in our emergency with a MRC grade III dyspnea on 25.11.2008. His shortness of breath was acute in onset and started 12 days back. It was associated with chest pain which was left sided, sudden in onset, radiated to back and was burning in nature for the same duration. There was no significant history of cough, fever, palpitation, hemoptysis, pain in calf muscle, weight loss or any paroxysmal nocturnal dyspnoea. There was no history of bleeding disorder. He was hypertensive and took amlodipine 5 mg regularly for the last two years. He was a chronic smoker (used to take 20 pack bidi/yr). At the time of admission, on examination, the patient was tachypneic (respiratory rate 32/min), pulse rate was 100/min regular, equally palpable in all four limbs., blood pressure was 150/90 mm Hg in supine position at left arm and there was no difference with the right arm reading. The lower limb pressure was equal with upper limb. There was no pallor found. Upper respiratory tract examination was within normal limit. There was decreased movement in left hemi thorax. Trachea was shifted to the right, apex beat couldnot be localized. Vocal fremitus on left was decreased, dull percussion note was noted on the same side in whole hemithorax. Traube’s space percussion was dull. On auscultation breath sound and vocal fremitus were diminished on left side. Examination of other systems didnot reveal any abnormality. On routine investigation, his hemoglobin was 13.4 gm%, TLC 7800/cc. N70% L49% M6% E5%, platelets adequate, ESR 36 mm/1sth. Urea 18 mg/dl, creatinine 0.9 gm/dl, sugar 91 mg/dl. X-ray dated on 23.11.08 revealed massive pleural effusion on left side with shifting of mediastinum to right. ECG showed sinus tachycardia only. Pleural fluid aspiration over 800 ml was done and was haemorhagic in nature, cytology 705/cc. cell type L60%N35%E5%, RBC was fair in number, protein 3.95 mg/dl, ADA 36iu, ZNstain No AFB found, Gram stain no bacteria, PAP smear shows no Malignant cell. Pleural fluid haematocrit was 27% while serum haematocrit was 41%. Repeat x-ray after pleural aspiration shows left sided effusion with a dense homogenous opacity near aortic knuckle []. Sputum for AFB for three consecutive days was negative. CT scan of thorax and CT angiography with 3 D reconstructions [Figure and ] shows dissecting aneurysm of arch and descending thoracic aorta with leaking post wall. Pleural fluid was aspirated with repeated aspirations and patient improved with medical management; he was put on atenolol 100 mg OD and ACE inhibitor and is currently doing well in 8 months of follow up.</t>
  </si>
  <si>
    <t>Framingham Risk Score for Hard Coronary Heart Disease</t>
  </si>
  <si>
    <t>What is the patient's Framingham Risk Score?</t>
  </si>
  <si>
    <t>Mrs. P. G., a 67-year-old housewife, got admitted to the hospital with a history of memory impairment, confusion, lethargy, generalized weakness and gait imbalance of 2 weeks duration. She did not give any history of fall or head injury. There was no history of fever, headache, cough, urinary symptoms or any focal weakness. She was hypertensive for last 20 years, which was well under control with Amlodipine (5 mg/day). Her part history revealed that she had undergone total right hip replacement 1 year back and had regular follow-up checkups with the orthopedic surgeon.
On examination, the patient was conscious and co- operative, oriented, but with cognitive impairment and some irrelevant talk and could not recollect recent events.
The other findings were as follows: BP 170/100, a febrile pulse 100/mt, RR 20/mt, chest clear. Cardiovascular examination did not reveal any abnormality. Abdomen showed no hepatosplenomegaly. Central nervous system (CNS) examination showed that there was generalized muscle weakness without any focal deficit. Jerks were normal. Planters were down.
MRI brain showed age-related diffuse cerebral cortical atrophy. There was no infarction or space-occupying lesion.
The laboratory investigations revealed the following results: Hb 11.7 g/dl, total count 10,900, poly 68%, lymphocytes 27%, monocytes 3%, eosinophils 2%, erythrocyte sedimentation rate (ESR) 18 mm/1 hour, urine R/E NAD, urea 42 mg/dl, creatinine 1.9 mg/dl, Na 140 mEq/l, potassium 3.5 mEq/l, FT4 1.38 ng/dl, thyroid stimulating hormone (TSH) 0.80 mIU/l, cholesterol 167 mg/dl, low density lipoprotein (LDL) 96 mg/dl, high density lipoprotein cholesterol (HDL-C) 40 mg/dl, triglyceride (TG) 154 mg/ dl, serum bilirubin 0.93 mg/dl, albumin 3.2 g/ dl, globulin 5.0 g/dl, alanine transaminase (ALT) 68 IU/l, aspartate transaminase (AST) 48 IU/l. Cerebrospinal fluid (CSF) study revealed normal results (glucose 100 mg/dl, protein 33.1 mg/dl); serum calcium level was 14.0 mg/dl and magnesium level was 1.7 mg/dl.
Electrocardiogram (ECG) showed bifasicular block. Echocardiography revealed concentric left ventricular hypertrophy. Ultrasound of the abdomen was normal. High-resolution computed tomography (HRCT) chest was essentially normal
On the 7th day of admission, repeat serum calcium revealed a level of 13.2 mg/dl. Parathormone (PTH) was 14.8 pg/ ml and vitamin D 25(OH) was 254.7 ng/ml.
Mammography results were normal.
Neurological exam and magnetic resonance imaging (MRI) brain ruled out any cerebral lesion. For hypercalcemia, she was investigated for any occult malignancy which was ruled out., She was treated with intravenous fluid, diuretics and glucocorticoid and was improving clinically. On the 7th day, a follow-up prescription from orthopedic surgeon revealed that she received inj. Arachitol 6 lacs IU intramuscularly, every week for the last 4 months On the 9th day of admission, her serum vitamin D 25(OH) was detected to be high and a diagnosis of hypervitaminosis D leading to hypercalcemia was considered. She was improving clinically and her serum calcium came down to normal in the next 2 weeks and was discharged with prescription of antihypertensive and with the advice to take food with no vitamin D and calcium. She continued to have high vitamin D level even after 4 months of discharge [vitamin D 25(OH) 215.52 ng/ml] which came down to normal (66.67 ng/ml) 6 months after discharge from the hospital.
At present, she is completely asymptomatic. A repeat vitamin D 25(OH) after 6 months showed a level of 77.67 ng/ml.</t>
  </si>
  <si>
    <t>A 57-year-old man presented to the emergency room with a several-day history of shortness of breath, nausea, dizziness, bilateral limb discomfort, and unilateral hearing loss. He also complained of cold intolerance and sluggish speech and movement that started a few weeks earlier, as well as 2-kg weight gain over the past year. He started rosuvastatin (5 mg, once daily) a year ago, with no dose adjustment; the patient was diagnosed with hypothyroidism at the same time. He was recommended levothyroxine treatment but did not initiate treatment because he had no related symptoms or discomfort in his daily life.
General physical examination revealed dry skin, neck vein distension, nontender diffuse goiter around the neck, and myxedema with puffy face, bilateral periorbital and lower extremities edema. His pulse rate was 52 beats/minute, blood pressure was 114/82 mmHg, respiratory rate was 20 breaths/minute, and his body temperature was 37.1 °C. Muffled heart sounds without fine crackle were also detected.
The initial results of laboratory tests (Table ) were as follows: BUN 19.0 (7–23) mg/dL, creatinine 1.5 (0.7–1.4) mg/dL, creatine kinase 9300 (43–198) IU/L, lactate dehydrogenase 1876 (238–422) IU/L, myoglobulin 636 (28–72) ng/mL, alanine aminotransferase 357 (3–45) IU/L, aspartate aminotransferase 278 (3–45) IU/L, creatine kinase muscle-brain fraction (CK-MB) 52.07 (0–4.87) U/L, troponin I 0.057 (0–0.014) ng/mL, total cholesterol 222 (130–240) mg/dL, low density lipoprotein cholesterol (LDL-c) 136 (50–160) mg/dL, high density lipoprotein cholesterol (HDL-c) 74 (40–85) mg/dL, and triglycerides 127 (35–200) mg/dL. The results of thyroid function tests showed TSH &gt; 100 (0.17–4.05) μIU/mL, fT4 0.32 (0.89–1.79) μIU/mL, and triiodothyronine (T3) 55.6 (78–182) ng/dL. On chest radiography, heart shadow was not blunted without pulmonary infiltration, and cardiomegaly was seen (cardiothoracic ratio, 66%; Fig. a). An electrocardiogram showed bradycardia with normal sinus rhythm and low QRS voltage, and transthoracic echocardiography revealed a moderate amount of pericardial effusion (posterior 15 mm) with preserved left ventricular systolic function (55–60%; Fig. c). On further investigation, pure tone audiometry revealed that the patient had profound unilateral sensorineural hearing loss (Fig. a), and thyroid sonography showed diffusely enlarged gland with a heterogeneous echotexture and decreased vascularity (Fig. ); these findings are consistent with Hashimoto thyroiditis together with elevated thyroid peroxidase antibodies (&gt; 2000 [0–5.61] IU/mL) and antithyroglobulin antibodies (9143.72 [0–4.11] IU/mL).
Upon admission, we started aggressive intravenous fluid resuscitation to treat rhabdomyolysis with acute kidney injury and levothyroxine replacement (oral, 150 mcg/day) to treat hypothyroidism. We also started systemic corticosteroids and intratympanic steroid injection to treat sensorineural hearing loss. The patient did not require pericardiocentesis because there was no ventricular dysfunction, and his vital signs were comparatively stable. Over the next several days, the patient’s clinical symptoms, such as shortness of breath, general weakness, and lower limb discomfort, improved substantially. On consecutive laboratory tests, creatine kinase as well as lactate dehydrogenase began to decrease on hospital day (HD) 3 and continued to decline to 1530 IU/L and 1508 IU/L on HD 7, respectively. Creatinine also started to decrease by 1.11 mg/dL on HD 7 accompanied by creatine kinase decline. Further thyroid function testing showed that his TSH was 53.65 μIU/mL and fT4 was 0.63 μIU/mL on HD 7. The patient was discharged home on HD 10 with instructions to continue levothyroxine (150 mcg/day, oral).
The patient was examined in the outpatient clinic 2 weeks after discharge. We observed recovered creatinine and creatinine kinase (Table ) as well as improved cardiomegaly (Fig. b). Except for hearing loss, his clinical symptoms continued to improve, and he was compliant with levothyroxine treatment. His thyroid function was normalized at 5 months (TSH 0.10 μIU/mL, free T4 1.60 μIU/mL) and remained euthyroid status until one year after discharge (TSH 0.54 μIU/mL, free T4 1.52 μIU/mL). No pericardial effusion appeared on transthoracic echocardiography (Fig. d). Regarding hearing loss, there was slight improvement in follow-up pure tone audiometry after 1 year; nevertheless, profound unilateral hearing loss remained in this patient (Fig. b).</t>
  </si>
  <si>
    <t>A 47-year-old female patient presented to our emergency department with chest pain. The pain was: retrosternal; of sudden onset, starting 2 hours prior to presentation at our hospital; continuous and worsening in severity; described as pressure; irradiating to the neck and left upper extremity; had no precipitating or alleviating factors; and was associated with nausea, diaphoresis, and shortness of breath. She denied headache, dizziness, syncope, palpitations, or vomiting. Prior to the pain beginning, the patient denied having any of the symptoms. Review of her system was negative except for the symptoms mentioned.
The patient had no significant medical history except that she was seen many years prior for mild thrombocytosis during her pregnancy. At that time, she was started on aspirin. She did not keep her follow-up appointments afterward. Her surgical history was significant for hysterectomy.
Her father had had coronary artery disease and MI at the age of 50; he died at the age of 67. Her mother had been diagnosed with chronic myelogenous leukemia and succumbed to blastic crisis after 7 years. Three of the patient’s four children were positive for Factor V Leiden and one daughter developed extensive deep-vein thrombosis after 4 weeks on the oral contraceptive pills and major bleeding on warfarin (severe hemorrhagic ovarian cysts).
The patient was a nonsmoker and denied any alcohol or drug use. She had no history of allergy. Her only medication was baby aspirin once daily.
On initial examination, the patient was awake, alert, and oriented. Her blood pressure was 90/60 μg, and she had a pulse of 80 beats per minute, respiratory rate of 12 breaths per minute, and a temperature of 99°F. There was no jugular vein distention. Auscultation was clear throughout both lungs. Cardiac auscultation revealed an S4 gallop. No loud murmurs were appreciated. Abdominal exam was unremarkable, with no hepatosplenomegaly. There was no edema of the lower extremities. There was positive erythromelalgia of the hands.
Her electrocardiogram showed sinus rhythm and ST-segment elevation in the anterior leads from V1 to V6 consistent with a large anterior wall infarct ().
Initial blood work showed negative cardiac enzymes. Her hemoglobin was 13.7 g/dL, white blood cell count was 14.2 th/mm3, and platelet count was 935,000 th/mm3. The patient’s basic metabolic profile was normal. Her low-density lipoprotein and high-density lipoprotein were 148 mg/dL and 61 mg/dL, respectively.
The patient was transferred urgently to the catheterization lab. Left heart catheterization showed a total proximal left anterior descending artery (LAD) occlusion (), while her other coronary arteries were normal. A successful balloon angioplasty, with two bare metal stents, was performed on the 100% lesion in the proximal LAD, and an excellent result was attained (). The patient was started, in addition to aspirin (325 mg daily), on clopidogrel, a statin, and beta-blockers. Transthoracic echocardiography revealed a left ventricular ejection fraction of 35% with severe hypokinesia of the mid-apical anteroseptal and apical walls.
During her hospital stay, the patient was seen by the hematology-oncology team. Further workup was done and this showed a positive JAK-2 mutation. She was negative for the Factor V Leiden mutation (R506Q) and BCR-ABL genes translocation (Philadelphia chromosome). The rest of her blood work was within normal limits, including the erythrocyte sedimentation rate (1 mm/h), ferritin (151 ng/mL), thyroid-stimulating hormone (1.3 mIU/mL), folate (10.2 ng/mL), vitamin B12 (382 pg/mL) and bleeding time (1.1 min). Patient was diagnosed with ET and started on hydroxyurea 1,000 mg twice daily. Patient was discharged in a stable condition with the plan to follow up with the cardiologist and hematologist.
Two weeks later, during a follow-up at the hematology office, her complete blood count revealed a platelet count of 803 th/mm3, so the dose of hydroxyurea was increased to 2,500 mg twice daily. Subsequent follow-up a few weeks later indicated a platelet count of 310 th/mm3, so the patient was kept on the same dose for the next 3 years. Her platelet count four months ago was still within the normal range.
The patient has been followed-up in the outpatient cardiology office for the last 3 years. Within a few months, her left ventricular function was found to have improved to normal and has been normal since then. We managed her as a coronary artery disease (CAD) equivalent, continued on dual antiplatelet therapy (aspirin and clopidogrel) beyond 1 year.</t>
  </si>
  <si>
    <t>The patient was a 65-year-old woman who had undergone surgery at 19 years of age for appendicitis. Her medical history was otherwise unremarkable. Starting 3 years prior to the current presentation, the patient had gradually developed a gait disturbance, for which she consulted a local orthopedic surgery department, and upon diagnosis of knee osteoarthrosis received conservative therapy. At approximately 1 week before admissions, she had begun to experience loss of appetite and vomiting, and consulted a local physician. On suspicion of gastrointestinal disease, a thorough examination of the gastrointestinal tract was performed, but no organic disease was identified. Although the loss of appetite and vomiting resolved spontaneously, the gait disturbance gradually worsened, and magnetic resonance imaging (MRI) of the head revealed ventricular enlargement. The patient was thus referred to our department for suspected iNPH related to the gait disturbance.
Her height of 148.3 cm, weight of 54.4 kg, and body mass index of 24.8 were all within standard ranges. There was no medical history that could have led to secondary hydrocephalus. There were no abnormalities in vital signs with body temperature 36 °C, blood pressure 110/63 mm/Hg, and heart rate 83 beats per minute. Although the patient’s consciousness was clear, 15 on the Glasgow Coma Scale (GCS), and there was no muscle weakness, she walked with her legs apart in short quick steps, and required a walking aid. While muscle tonus was normal, the patient complained of mild pain when extending the knee. As to higher order brain functions, mini mental state examination (MMSE) results were 24/30, and the frontal assessment battery (FAB) results were 9/18. Blood test findings at the time of admission were within normal range apart from mild hypoalbuminemia (total protein 4.6 g/dL, albumin 2.7 g/dL, total cholesterol 147 mg/dL, and LDL cholesterol 100 mg/dL), and elevated thyroid free T3 (TSH 4.333 μIU/mL, free T3 3.78 pg/mL, free T4 1.16 ng/dL). There were no blood-sugar or electrolyte (Na 140 mmol/L, Cl 106 mmol/, K 4.1 mmol/L, serum glucose 73 mg/dL) abnormalities. Head MRI revealed enlargement of all cerebral ventricles, with an Evan’s index of 0.4, and the Sylvian fissure appeared wide open consistent with iNPH. However, the specific feature of narrowing of the sulci at the high convexity area was not obvious (Fig. ). Single-photon emission computed tomography revealed reduced cerebral blood flow (CBF) surrounding the Sylvian fissure, with relatively increased CBF in the convexity, which was consistent with the pattern for iNPH (Fig. ). Findings for the sulci at the high convexity area were inconsistent with typical iNPH, however, and we thus reconsidered the possibility of other diseases that may have caused the gait disturbance.
Detailed tests were ultimately performed after hospital admission including a spinal tap. Following admission, the patient gradually became less active, and tended to stay in bed. Re-examination revealed blood sugar levels of 40 mg/dL and systolic blood pressure of 90 mm/Hg. On suspicion of impaired anterior pituitary function, scans were performed of the pituitary in the diencephalon, and baseline pituitary hormone levels were verified. The spinal tap results were negative. On MRI, pituitary gland was normal measuring 12 mm in maximum diameter with no enlargement or deviation of stalk, and there were no neoplastic lesions, inflammatory lesions in the pituitary area of the diencephalon, or changes suggesting that surgery had been performed in all sequences including contrast-enhanced dynamic images (Fig. ). Table presents baseline hormone levels, and Table the results of the anterior pituitary gland hormone loading test using corticotrophin releasing hormone, thyrotropin releasing hormone, luteinizing hormone releasing hormone, and growth hormone releasing hormone. Pituitary hormone results included ACTH &lt;1.0 pg/ml (normal range: 7.2–63.3), and cortisol levels &lt;1.0 μ/dL (normal range: 4.0–18.3), indicating pituitary adrenal insufficiency. There were no decreases in other hormone levels, with relatively mild elevations of growth hormone, prolactin and free T3 levels. We checked carefully again the medical history of the patient, but there were no recent history of exogenous glucocorticoid treatment. An additional pituitary stimulation test was performed, in which ACTH and cortisol responses only were found to have disappeared, and isolated ACTH deficiency was thus diagnosed (Fig. ). After initiation of hydrocortisone supplements, her gait quickly improved. While observing the clinical symptoms, hydrocortisone (Cortril ®) was adjusted to a daily dose of 15 mg, and after instructing the patient as to how to respond on sick days, she was discharged to return home. At approximately 6 months after discharge, although the ventricular enlargement on MRI was same as before, the patient scored 27/30 points on the MMSE and 15/18 points on the FAB.</t>
  </si>
  <si>
    <t>A 51 year-old heavily built male patient presented to the hospital with a history of gradually progressing anasarca of two months’ duration. Initially, the patient had had pedal edema which progressed later on to involve the whole body. There were no significant cardiorespiratory complaints. On screening, the patient was found to have significant proteinuria and was referred to us.
The patient had a significant medical history: he was a known hypertensive for seven years on regular treatment, had dyslipidemia, was diagnosed as having obstructive sleep apnea, and had a history of significant NSAID intake five years ago for around one year for vascular headaches. His medications included ramipril, losartan potassium, and atorvastatin. Obstructive sleep apnea was being managed conservatively. There was a positive family history of hypertension. Of significance is the fact that he denied any recent history of NSAID intake.
Physical examination found a 97 kg, afebrile man with a BMI of 32.01 kg/m2 and a blood pressure of 140/90 mm Hg. He had mild pedal edema but the results of the other aspects of the general physical and systemic examination was normal. Laboratory results included a hemoglobin level of 15.4 g/dL (154 g/L), white blood cell count of 10,800 × 103/µL (×109/L), ESR of 55 mm, blood urea of 50 mg/dL, serum creatinine of 2.4 mg/dL, estimated CCR of 50 ml/min, total cholesterol of 198 mg/dL, serum triglyceride level of 151 mg/dL, serum HDL cholesterol level of 42 mg/dL (on statin therapy), total serum protein level of 6.2 g/dL, and a serum albumin level of 2.8 g/dL. Urine was suggestive of 4+ proteinuria and the 24-h urinary protein level was 4.9 g/24 h and was positive for active sediments. The results of thyroid function tests were within the normal range and echocardiography was suggestive of concentric left ventricular hypertrophy with type 1 diastolic dysfunction. Ultrasonography of the abdomen was suggestive of hepatomegaly with grade 2 fatty liver and a right kidney with a size of 12.5 cm × 6.3 cm and a left kidney of size 13 cm × 6.4 cm. Both the kidneys had normal echogenicity and had maintained their corticomedullary differentiation. Some of the special investigations have been shown in .
Kidney biopsy showed ten glomeruli, five of which showed partial to complete fibrocellular crescents []. The capillary basement membrane was thickened and wrinkled and there was a focal increase in the mesangial matrix and cellularity; no spikes could be seen. There was marked tubular atrophy, interstitial edema, and fibrosis as well as a diffuse mononuclear cell infiltrate in the interstitium. The vessels and the basement membrane were unremarkable. On immunofluorescence, glomeruli showed linear positivity for IgG (++), IgM (+), fibrinogen (+), and focal IgM and IgA deposition []. The diagnosis was crescentic glomerulonephritis with significant immune deposits.
The patient was started on intravenous, pulsed methyl prednisolone therapy along with oral prednisolone (1 mg/kg). The renal functions of the patient improved for a while, only to worsen within 2–3 months. Our patient also developed side effects of corticosteroid therapy. At this point, intravenous, pulsed cyclophosphamide was started. Despite all our efforts, his renal functions continued to deteriorate and he was put on maintenance hemodialysis.</t>
  </si>
  <si>
    <t>A 35-year-old Caucasian Turkish female patient presented to the emergency ward due to a sensation of burning pain in her chest. The patient was admitted to the coronary intensive care unit with the preliminary diagnosis of acute coronary syndrome.
For the last 3 months, she had increasing emotional stress and complaints of a burning pain in her chest spreading to her left arm and back upon exercise. Her medical history revealed no established coronary risk factors. Upon physical examination, arterial blood pressure was 100/70 mmHg, pulse was 80 beats/min; and the other findings considered as normal. ECG performed at the emergency ward detected an ST segment elevation on the anterior leads (V1-3) (). The patient was administered 300 mg acetylsalicylic acid (ASA), 5 mg sublingual isosorbide dinitrate and 5 mg intravenous morphine at the emergency ward. The cardiac markers were as follows: creatine kinase isoenzyme MB (CK-MB) 2.2 ng/ml (0.0-4.3), myoglobin 53.3 ng/ml (0.0-107) and cardiac troponin I (cTnI) 0.3 ng/ml (0.0-0.4).
When the patient was admitted to the coronary intensive care unit, her chest pain resolved and the follow-up ECG detected rapid resolution in the previously elevated ST segment (). On the second day, cardiac markers were as follows: CK-MB 1.2 ng/ml (0.0-4.3), myoglobin 65.4 ng/ml (0.0-107), and cTnI 0.037 ng/ml (0.0-0.4). As for the other biochemical parameters, total cholesterol was 126 mg/dL, HDL-cholesterol 30 mg/dL, LDL-cholesterol 66 mg/dL, C-reactive protein (CRP) 1.1 (0-5) mg/L, homocysteine 1.38 µg/ml (0.5-2.2), and erythrocyte sedimentation rate 38mm/hour. Coagulation factors (Antithrombin III 138.15 (63-122%), Protein C 126.88 (78-134%), Protein S 54.44 (55-160%), Factor V Leiden (FVL) anti-phospholipid antibody, antinuclear antibody (ANA) and endocrinologic measurements were within normal limits. Upon transthoracic echocardiography all findings were normal except hypokinetic, apicoseptal wall. Coronary angiography revealed a normal LAD and circumflex (Cx) (), while RCA was rudimentary and 95% occluded following right ventricular branch (). Left ventriculography showed a hypokinetic inferior wall and minor ballooning in the apical region expanding outwards during systole (). Myocardial perfusion scintigraphy was performed a week later, and detected a perfusion defect on the antero-apical wall. The patient was prescribed ticlopidin 250 mg twice daily, ASA 300 mg once daily, ramipril 5 mg once daily and metoprolol 50 mg once daily, and discharged.</t>
  </si>
  <si>
    <t>PERC Rule for Pulmonary Embolism</t>
  </si>
  <si>
    <t>What are the number of criteria met for the PERC Rule for Pulmonary Embolism (PE)?</t>
  </si>
  <si>
    <t>A 61-year-old male presented to our emergency department complaining of worsening shortness of breath associated with pleuritic chest pain for 3 days. His medical comorbidities included hypertension, type 2 diabetes mellitus, asthma, seizure disorder, obstructive sleep apnea, and a history of pulmonary embolism. His only surgery was an inguinal hernia repair in the past. He reported an allergy to angiotensin-converting enzyme inhibitors. He denied alcohol consumption, smoking, or recreational drug use. He had not travelled outside the United States, nor did he encounter any sick contacts. He denied the use of any herbal preparations or over-the-counter medications. Coumadin was the only prescription medication he was taking on a regular basis.
On examination, the patient was a well-built man in respiratory distress. He was tachypneic and hypoxic, saturating at 88% (SpO2) on room air. Blood pressure was 130/80, heart rate 88 bpm, and he was afebrile at 97 °F. On inspection, no icterus, lymphadenopathy, or peripheral edema was noted. On auscultation, his lungs were clear bilaterally, and no heart murmurs were appreciated. His abdomen was soft, non-tender with no hepatosplenomegaly, and bowel sounds were normal.
Initial troponin and pro-brain natriuretic peptide levels were elevated. A computerized tomography with contrast of the chest revealed multiple filling defects within the pulmonary arterial system, indicative of bilateral acute on chronic thromboembolic disease. The patient was started on enoxaparin 120 mg twice a day in addition to his coumadin, as an aim to bridge to a therapeutic international normalized ratio between 2 and 3.
On admission, his liver enzymes were within normal limits as per our institute laboratory values, with an alanine transaminase (ALT) of 28 units/L, aspartate transaminase (AST) of 13 units/L, alkaline phosphatase (ALP) of 95 units/L, albumin of 3.4 g/dL, total bilirubin of 0.4 mg/dL, and conjugated bilirubin of 0.1 mg/dL. They remained as such, up until day 6, when a slight elevation was noted. On day 6, the AST was 72 units/L, ALT was 84 units/L, and ALP was 161 units/L. An R ratio, the initial step of the Roussel Uclaf Causality Assessment Method (RUCAM), was calculated to be 2.64, consistent with a mixed (hepatocellular and cholestatic) pattern of liver injury. At this point, no changes were made to the patient's treatment regimen. On day 7, his liver enzymes peaked with AST of 143 units/L, ALT of 231 units/L, and ALP of 123 units/L as shown in Table . R ratio from these laboratory values was 5.56, consistent with hepatocellular pattern of liver injury.
An ultrasound and computerized tomography of the abdomen was negative for any significant pathology. Echocardiogram of the heart revealed a normal ejection fraction and normal diastolic function. Serologies for hepatitis A, hepatitis B, hepatitis C, Epstein Barr virus, and cytomegalovirus were all negative. Antinuclear antibody screen, anti-mitochondrial antibody, anti-smooth muscle antibody, and anti-liver kidney microsomal antibody were also negative. Serum alpha-1 antitrypsin and serum ceruloplasmin levels were normal.
On day 7 of admission, enoxaparin was discontinued secondary to a therapeutic international normalized ratio. His liver function tests demonstrated a dramatic and steady decline thereafter. He was subsequently discharged on coumadin, and a 2-month follow-up revealed complete normalization of his liver enzymes.</t>
  </si>
  <si>
    <t>On April 21, 2020, a 33-year-old man with no medical history presented with seven days of fever, weakness, dyspnea on exertion, and loss of appetite. On examination, he was febrile with 38 °C, in moderate respiratory distress, and had mild oxyhemoglobin desaturation (SpO2 of 94% on room air). Chest CT on admission revealed multiple ground-glass opacities and areas of pulmonary consolidation in all segments of the lungs (Figure ).
Blood tests demonstrated an extra-high level of ferritin and noticeably increased CRP and aminotransferases (Table ).
COVID-19 was confirmed by a positive PCR test obtained via a nasopharyngeal swab. Because of a pronounced pulmonary involvement on CT and clinical data suggestive of CRS, the patient was started on methylprednisolone 125 mg IV daily, enoxaparin, lopinavir, ritonavir, umifenovir, and ceftriaxone. Despite treatment, during the first two hospital days, he experienced severe symptoms including transient elevations of body temperature to 38 °C with chills, cough, shortness of breath, dizziness, and insomnia. Blood oxygen saturation decreased to 85-90% on room air, requiring noninvasive low-flow oxygenation with growth in SpO2 to 90-92% on 5 L/min of oxygen via facial mask. The patient was fully conscious, complied with recommendations of the personnel, and was put to a prone-position for two hours every two hours.
On day three, he underwent a deterioration with severe dyspnea at rest, aggravation of fever (38.1 °C), and fall in SpO2 to 87% on low-flow oxygenation of 5 L/min via facial mask. The patient was transferred to the medical ICU where he was started on high-flow oxygenation of 40 L/min FiO2 50% via nasal cannula and given 400 mg tocilizumab IV. By the end of day three, the body temperature decreased in the patient to 37.1 °C. On high-flow oxygenation via nasal cannula, blood oxygen saturation fluctuated around 92% with rapid desaturation to 87% on room air; the respiratory rate was 22-24 breaths per minute. The patient was hemodynamically stable with a blood pressure of 130/70 mmHg and a heart rate of 94 beats per minute.
On day four, a threatening progression of respiratory insufficiency occurred. There was a registered a fall in SpO2 to 80% on high-flow oxygenation via nasal cannula; the patient became agitated, his respiratory rate increased to 42-44 per minute, blood pressure reached 175/94 mmHg, and heart rate increased to 135 per minute. Arterial blood gas analysis revealed a pH of 7.33, paO2 of 59 mmHg, and paCO2 of 35.7 mmHg. The patient was intubated and treated with low tidal volume ventilation. This led to the stabilizing of his clinical condition. Blood oxygen saturation increased to 98%, blood pressure decreased to 120/70 mmHg, and heart rate was 85 per minute. CT scan on day four demonstrated multiple ground-glass opacities and areas of consolidation in all segments of the lungs (Figure ). CT picture was suggestive of ARDS.
Considering the risk of the unfavorable future course of the disease, the patient was prescribed a pulse therapy with methylprednisolone. On hospital days four to six, he received methylprednisolone 1,000 mg/day IV, and his condition noticeably improved. On day six, sedation was discontinued, and the patient demonstrated SpO2 of 98% on spontaneous ventilation. He was fully conscious and responsive to non-verbal contact.
On day eight, the patient experienced transient deterioration with an elevation of body temperature to 40.1 °C, SpO2 fall to 94%, and septic shock requiring a norepinephrine drip. Chest CT on day nine showed a distinct positive change in CT picture compared to that of day four. The ground-glass opacities decreased in amount and density all over the lungs. However, new pulmonary tissue consolidation was found in the lower lobe of the right lung, suggestive of pneumonia (Figure ).
Blood analysis on day nine revealed a pronounced neutrophil leukocytosis, mild normochromic anemia, further elevation of CRP, and a high level of procalcitonin. The patient was diagnosed with nosocomial pneumonia. After a seven-day course of meropenem and an infusion of IV immunoglobulin (20 g), his condition finally improved; he was weaned from the ventilator on day 14 and returned to the regular ward on day 16 with SpO2 of 99% on low-flow oxygen.
The patient was discharged home on day 23 with no symptoms, normal oxyhemoglobin saturation, and a negative nasopharyngeal swab test for SARS-CoV-2. Chest CT on discharge revealed partial resolution of pulmonary consolidation in the right lower lobe and a further decrease in size and density of ground-glass opacities all over the lungs (Figure ).</t>
  </si>
  <si>
    <t>This is a tricky one because the time frame to use PERC is in the ED/outpatient setting. Most of the information is there except HR at time of presentation which is needed to complete the score. The HR does fluctuate throughout the subsequent admission course but not enough other information is provided on those days to accurately calculate the score then either (e.g. did hemoptysis develop/how if at all did his symptoms change) + as stated above PERC is only for initial presentation.</t>
  </si>
  <si>
    <t>This patient was a 35-year-old Hispanic female with no past medical history who presented to the emergency department primarily for evaluation of heavy vaginal bleeding, bruises on her skin, and fatigue. Vaginal bleeding had started three days prior to presenting to the hospital. The patient had initially thought that she may be pregnant because the onset of her cycle was late by approximately 15 days. The bleeding improved prior to presenting to the hospital but was still much heavier than her usual periods. At the time of heaviest bleeding, the patient reported changing pads every few hours and occasionally passing clots the size of a quarter. Associated symptoms included fatigue, weakness/malaise, abdominal pain, dizziness, and easy bruising. Review of systems was otherwise negative.
Further evaluation revealed that she did not have any bleeding disorders, abortions, or previously late/missed periods in the past. As for obstetric history, the patient had two prior pregnancies that had both gone to full term with vaginal delivery. Family history was also unremarkable for any hereditary bleeding disorders, cancers, or other pertinent medical diagnoses. The patient was not taking any medications at time of hospitalization. Surgical history was unremarkable. Regarding social history, she reported cigarette smoking in the past but had quit for several years, occasional alcohol use, and no current or past illicit drug use. Lastly, the patient had been isolating at home with her partner and their two children.
Physical examination at time of presentation revealed the following vital signs: temperature 36.5 Celsius, pulse of 60, respiratory rate 16, pulse oximetry 100% on ambient air, and blood pressure of 110/66. She remained afebrile and never required supplemental oxygen. In general, the patient appeared tired but was not lethargic or somnolent. Examination of the skin revealed multiple non-palpable purpura on her torso and both upper and lower extremities (Figures , ).</t>
  </si>
  <si>
    <t>A 23-year-old woman presents to the emergency department with pain and frequent urination. She states she has felt uncomfortable with frequent small-volume urinary voids for the past 3 days, which have progressively worsened. The patient has no past medical history. She currently smokes 1 pack of cigarettes per day and engages in unprotected sex with 2 male partners. Her temperature is 103°F (39.4°C), blood pressure is 127/68 mmHg, pulse is 97/min, respirations are 17/min, and oxygen saturation is 98% on room air. Cardiac, pulmonary, and abdominal exams are within normal limits. There is tenderness upon palpation of the left costovertebral angle and the left flank. Urine is collected and a pregnancy test is negative.</t>
  </si>
  <si>
    <t>A 76-year-old male with past medical history of hypertension presented to the emergency department (ED) by ambulance as a stroke alert. History was obtained from the patient’s family and emergency medical services (EMS). The patient was in his usual state of health, speaking to his daughter on the phone, when he abruptly stopped talking and was no longer responding to her. This prompted her to call 9-1-1. On EMS arrival, the patient appeared to be convulsing, which quickly resolved, and he was then nonverbal but remained interactive. He was noted to have left-sided hemiparesis and was expressively aphasic. The patient was not on anticoagulants and family denied any recent trauma, bleeding, or surgery.
Initial physical examination revealed a nonverbal, elderly gentleman in mild distress. He was aphasic. Vital signs were as follows: blood pressure 98/62 millimeters of mercury (mmHg), pulse 76 beats per minute, respirations 19 breaths per minute, oral temperature 36 degree Celsius (°C) (96.8°F), and pulse oximetry 99% on room air. Neurologic examination was notable for pupils equally round and reactive to light, left visual field loss with right gaze preference, left facial droop, and localization of painful stimuli on the right with absence of painful withdrawal on the left upper and lower extremities. He demonstrated left upper and lower extremity hemiparesis. National Institutes of Health Stroke Scale was 18. Pulmonary examination revealed lungs clear to auscultation, and cardiac examination revealed a regular rate and rhythm with no murmurs, gallops, or rubs. There was normal peripheral perfusion in all extremities.
Labs were notable for point-of-care (POC) glucose 114 milligrams per deciliter (mg/dL) (reference range: 65 – 110 mg/dL), POC creatinine 0.66 mg/dL (reference range: 0.8 – 1.3 mg/dL), POC international normalized ratio (INR) 1.0 (reference range: 0.9 – 1.2), troponin-I &lt; 0.03 nanograms per milliliter (ng/mL) (reference range: 0 – 0.4 ng/mL) and complete blood count notable for platelet count 143 × 109 per liter (L) (reference range: 150 – 400 × 109/L). Non-contrasted computed tomography (CT) of the head was grossly within normal limits. CT angiogram (CTA) of the head and neck did not demonstrate dissection or a large vessel occlusion, and the patient was not a candidate for thrombectomy. Evaluation of the aorta was markedly suboptimal, with mild aortic wall thickening. The heart was not visualized in the CTA head and neck study. As the patient was within the treatment window, tPA was administered one hour after symptom onset for his right middle cerebral artery syndrome acute ischemic stroke.
On re-examination 20 minutes after tPA administration, the patient was returning to his mental baseline with improving neurologic exam. He was noted to be awake, alert, and talking to his family. Approximately 45 minutes after tPA administration, the patient had an acute change in mental status, acute onset vomiting, and was noted to be hypotensive to 61/46 mmHg. Focused assessment with sonography in trauma (FAST) exam using point-of-care ultrasound revealed a large pericardial effusion with tamponade physiology, specifically right ventricular diastolic collapse (). He then lost pulses and cardiopulmonary resuscitation (CPR) was initiated. TXA was immediately given to inhibit tPA-induced fibrinolysis and bleeding.
Compressions were halted and pericardiocentesis was performed with 200mL of dark blood removed using a triple lumen catheter (TLC) kit. An ultrasound-guided approach with Seldinger technique was used to insert the TLC into the pericardial space. The patient subsequently regained strong pulses and began to wake up and respond to commands. Two units of uncrossed blood were then given to him. Cryoprecipitate was ordered but not immediately available. His blood pressure recovered to 179/117 mmHg. No epinephrine or other Advanced Cardiovascular Life Support medications were given during the period of cardiac arrest. Repeat point-of-care cardiac ultrasound showed resolution of tamponade physiology.
Cardiothoracic surgery was consulted, and they exchanged the TLC catheter for a pericardial drain over a wire in the ED. No additional blood was noted to drain from the new pericardial drain. The patient was admitted to the intensive care unit (ICU) and was awaiting transport out of the ED. During this time his family was bedside, talking with the patient. Over the next hour, he was treated with 10 units of cryoprecipitate. Approximately 3.5 hours after arrival to the ED, the patient again became unresponsive and was noted to be hypotensive and bradycardic. Point-of-care ultrasound showed re-accumulation of pericardial effusion and worsening tamponade physiology.
Unfortunately, the existing pericardial drain was not functioning even after flushing the catheter. The patient again lost pulses and CPR was initiated. A second pericardiocentesis was performed by cardiothoracic surgery with removal of 800 mL of bright red blood. Despite removing the blood, the tamponade was not resolving as the re-accumulation was too great. After discussion with the patient’s family, care was withdrawn and CPR discontinued, in line with their wishes. The patient expired shortly after termination of resuscitative efforts.</t>
  </si>
  <si>
    <t>A 41-year-old female with a past medical history of hypertension, type 2 diabetes mellitus, and previous non-ST-elevation myocardial infarction with normal coronary arteries (MINOCA) three years prior presented with symptoms of sharp chest pain, dry cough, and shortness of breath, which had started two days prior to the presentation. Her vital signs were remarkable for a blood pressure of 122/91 mmHg, heart rate of 180 beats per minute with an irregular rate, a temperature of 36.4 °C, respiratory rate of 24 breaths per minute, and an oxygen saturation of 98% on 5 L nasal cannula. On examination, the patient appeared to be in mild distress. No jugular venous distention was appreciated. Her chest auscultation revealed bilateral crackles.
The patient's laboratory workup is summarized in Table . A nasopharyngeal swab polymerase chain reaction (PCR) was positive for COVID-19 and blood cultures showed no growth. Chest X-ray revealed patchy bilateral peripheral lung infiltrates (Figure ), and CT angiography of the chest showed no pulmonary embolism but revealed bilateral patchy ground-glass lung infiltrates consistent with COVID-19 pneumonia (Figure ). EKG showed a new atrial flutter with a rapid ventricular response (Figure ). Transthoracic echocardiogram revealed a new low left ventricular (LV) ejection fraction of 35-40%, with LV hypertrophy, as well as a granular appearance of LV myocardium suspicious for infiltrative cardiomyopathy (Figure ). Echocardiogram obtained one year prior had shown LV ejection fraction of 50-55% with LV hypertrophy.
The patient was started on intravenous (IV) diltiazem drip, but her heart rate was difficult to control; hence she was started on IV amiodarone and eventually converted to sinus rhythm. She was started on IV heparin for anticoagulation. Her respiratory status deteriorated, and she was subsequently intubated and mechanically ventilated. The COVID-19 pneumonia was treated with a combination of steroids, antibiotics, remdesivir, and convalescence plasma. She improved clinically and was discharged home on oral amiodarone, metoprolol succinate, and warfarin.
CMR obtained about two months from the date of admission showed extensive myocarditis with a typical pattern of sub-epicardial and mid-wall delayed enhancement (Figure ). There was no edema to indicate the acuteness of the disease. LV systolic function was normal with an ejection fraction of 60-65%. These findings confirmed that the patient had suffered from an acute illness at the time of her initial presentation, causing acute symptoms, a drop in LV ejection fraction, and the development of new arrhythmia, which had all resolved by the time of CMR acquisition.</t>
  </si>
  <si>
    <t>A 66-year-old man a past smoker with a medical history of acute myocardial infarction on the inferior wall due to coronary artery spasm 8 years ago (weight, 67.2 kg; height, 163.5 cm; American Society of Anesthesiologists physical status classification II) was scheduled to undergo laparoscopy-assisted distal gastrectomy with gastroduodenostomy. His functional capacity was higher than 4 metabolic equivalents and he had no previous experience of general anesthesia. Preoperative evaluation showed a normal electrocardiogram (ECG) and no specific lung lesion was found by chest radiography. There was no abnormal finding in a pulmonary function test or in conventional laboratory exams. Preoperative thallium single photon emission computerized tomography (SPECT) detected a perfusion defect on the inferior wall, and transthoracic echocardiography (TTE) showed a moderate degree of akinesia on the inferior wall. Both of these findings in thallium SPECT and TTE were detected for 8 years after the previous attack with no development of new ischemic lesions.
When the patient arrived in the operation room, his blood pressure (BP; systolic/diastolic), heart rate, and peripheral oxygen saturation (SpO2) were 166/94 mmHg, 76 beats/min, and 99% respectively. Preoxygenation with 80% oxygen was performed followed by intravenous administration of midazolam 2 mg and lidocaine 20 mg. Induction was started with a target controlled infusion (TCI; Asan Pump, version 2.0, BionetCo., Seoul, Korea) of propofol and remifentanil at 2 µg/ml and 3 ng/ml, respectively. Cisatracurium (12 mg) was administered and mask-valve ventilation was started after the patient lost his spontaneous breathing. During mask ventilation, a depression in ST segment of more than 3 mm was detected in ECG, and difficulty in manual ventilation was noted. Propofol and remifentanil infusion were immediately stopped, and the patient was promptly intubated followed by ventilation with 100% oxygen. A few minutes later, SpO2 rapidly decreased and his BP, initially 128/78 mmHg, dropped to 64/42 mmHg. Although vasoactive drugs including phenylephrine and epinephrine were administered, the BP continued to decrease to an undetectable level by a noninvasive BP cuff. Direct arterial pressure was monitored, and a central venous catheter was inserted to maintain fluid therapy and continuous drug administration. The patient quickly developed ventricular fibrillation and we thus initiated a sequential algorithm of cardiopulmonary cerebral resuscitation (CPCR). Immediate defibrillation (200J) followed by manual chest compression was performed with repeated intravenous administration of atropine (0.5 mg) and epinephrine (1 mg). A portable transesophageal echocardiography (TEE) was obtained 20 minutes after CPCR was initiated, which showed global hypokinesia in the myocardial wall with akinesia in the inferior wall. However, the patient had not return of spontaneous circulation for 40 minutes, and the patient showed repeated ventricular fibrillation refractory to defibrillation. An emergent consultation of cardiac surgeons was requested to apply veno-arterial type extracorporeal membrane oxygenation (ECMO) to substitute cardiac function. The patient was transferred to the intensive care unit (ICU) and remained intubated during the application of ECMO. In the ICU, sequential laboratory tests including cardiac enzymes were performed. Upon arrival in the ICU, the patient's serum troponin-I and creatine kinase-MB (CK-MB) levels were 6.292 ng/ml and 34.6 ng/ml respectively, and within 5 hours they were increased to 44.099 ng/ml and 107.3 ng/ml. After 8 hours of ICU admission, 12-lead ECG showed normal sinus rhythm with right bundle branch block. On the same day, the patient had return of drowsy consciousness level from comatose state. After showing improvement on serial ECG and the hemodynamic status of the patient, the ECMO circuit was successfully weaned on the following day. He was remain intubated and sedated for three more days to continue conventional therapies for recovery and discharged to the general ward on the day of extubation. Cardiac enzymes levels were normalized (troponin-I, 1.5 ng/ml;CK-MB, 3.7 ng/ml) 5 days after the incidence had occurred.
On suspicion of anaphylactic reaction as a cause of perioperative MI, serum tryptase level was measured and an intradermal skin test was performed to all anesthetic drugs that had been used during the induction period. The level of serum tryptase was detected on the day of the incidence occurred. Serum tryptase level was 28.6 µg/L, which was higher than normal value (13.5 µg/L). Three days after the incidence, an intradermal skin test was performed and a positive reaction was only seen in cisatracurium at a 1 : 100 dilution. All other drugs rendered negative results.</t>
  </si>
  <si>
    <t>A 65-year-old man was taken to our emergency department, complaining of sudden dyspnea and hemoptysis for half a day. There was no obvious cause for the patient to have dyspnea, coughing, or coughing up to approximately 100 mL of fresh blood.
The patient had four episodes of similar symptoms in the past 10 years. The first three episodes had dyspnea accompanied by hypertension, without hemoptysis, and only the symptoms were treated; the cause had not been identified. Dyspnea, hemoptysis, and hypotension occurred 5 years ago. He was hospitalized at our hospital, and a left adrenal mass and an abdominal aortic aneurysm (AAA) were found. An abdominal computed tomography (CT) scan showed a left adrenal mass measuring 3.2 cm × 3.6 cm and an AAA with a maximum diameter of 5.3 cm. Surgical treatment was not performed because the patient worried about the risks of surgery.
The patient was healthy.
The patient had a disease-free personal and family history.
On physical examination, the patient was dyspneic, in distress, and sweating profusely. His blood pressure was 87/50 mmHg, heart rate was 107 beats/min, respiratory rate was 35 breaths/min, body temperature was 36 °C, and oxyhemoglobin saturation was 88% while breathing a 50% oxygen concentration with a face mask.
Initial laboratory tests demonstrated leukocytosis (25.73 × 109/L, with 93.6% neutrophils) and significantly increased serum procalcitonin at 58.4 ng/mL (normal value: &lt; 0.05 ng/mL). Blood gas analysis revealed lactate 11.0 mmol/L, pH 7.31, PaO2 72.1 mmHg, PaCO2 32.3 mmHg, and HCO3– 18.9 mmol/L while breathing 100% oxygen concentration with noninvasive positive pressure ventilation (NIPPV). His liver and renal function was also abnormal (alanine transaminase 145 U/L, glutamic-oxaloacetic transaminase 156 U/L, and creatinine 126 µmol/L), and D-dimer was 28.85 mg/L (normal value: ≤ 0.55 mg/L). Electrocardiogram showed sinus tachycardia and ST segment depression in the V2-V6 leads.
The patient’s chest X-ray manifestations were characterized by multiple plaques in both lungs, chest CT scans showed little ground glass shadow under the pleura of both lungs (Figure ), and abdominal CT scans showed a left adrenal mass measuring 4.4 cm × 4.3 cm and an AAA with a maximum diameter of 7.3 cm (Figure ). Echocardiography showed enlargement of the left atrium, aortic sinus, and ascending aorta. Systolic left ventricular function was impaired (ejection fraction 55%), but there was no pulmonary hypertension and no sign of diastolic dysfunction (left ventricular end diastolic diameter 55 mm).</t>
  </si>
  <si>
    <t>A 69-year-old man comes to the physician with a 9-month history of worsening shortness of breath on exertion and need to urinate at night. He occasionally has palpitations but does not have chest pain. The patient had a transient ischemic attack 5 years ago for which he underwent right-sided carotid endarterectomy. He has hypertension and type 2 diabetes mellitus. Current medications include metformin, lisinopril, aspirin, and simvastatin. He appears fatigued. His pulse is 61/min, blood pressure is 120/75 mmHg, and respirations are 25/min. Pulse oximetry shows an oxygen saturation of 96%. Examination shows cold extremities. There are no murmurs or rubs on cardiac auscultation. Fine, bilateral crackles are heard at the lung bases. There is 2+ lower extremity edema. An ECG shows sinus rhythm and known T wave inversions in leads V1 to V4.</t>
  </si>
  <si>
    <t>A 54-year-old female with no past medical history presented to the emergency department (ED) of an urban community hospital with persistent facial swelling for more than one month despite five previous ED visits to diagnose and treat her condition. More than a month earlier, she had received a one-week course of clindamycin for a dental abscess, which she took just prior to the onset of facial swelling, redness, and itching. It was thought that these symptoms were due to an allergic reaction to the clindamycin. She was seen in an ED and was given diphenhydramine and prednisone with subjective improvement of the symptoms (follow-up visit one). Since that first ED visit for signs of an allergic reaction, she had four additional visits to different EDs with the same symptoms and was prescribed hydroxyzine during the second visit (follow-up visit two), loratadine during the third visit (follow-up visit three), and additional courses of prednisone in the last two of the five visits (follow-up visits four and five).
After the fifth follow-up visit for symptoms of a presumed allergic reaction, she presented for the same facial swelling this time to our ED. Her facial swelling was worse at night but did not fully resolve during the day. She denied any additional exacerbating or alleviating factors. Of note, the patient denied having a primary care physician or any physician who knew her medical history. At the previous ED visits, she stated that she thought labs had been drawn but was not certain and could not recall the specific dates she had visited each ED. She denied having had any imaging completed during the prior ED visits.
A review of systems was positive for facial swelling and negative for tongue swelling, oropharyngeal swelling, sore throat, dysphagia, chest discomfort, dyspnea, rash, pruritis, abdominal pain, nausea, vomiting, change in bowel or bladder habits, weight gain or loss, loss of appetite, and extremity swelling. She denied any other medical complaints. She denied any medical or surgical history, tobacco, alcohol, or illicit drug use, and stated that she lived with her husband.
Vital signs were as follows: temperature 98.1 degrees Fahrenheit; blood pressure 111/66 millimeters mercury; heart rate 82 beats per minute, respiratory rate 20 breaths per minute; and oxygen saturation 96% on room air. Physical examination revealed an obese, White female sitting awake and alert in no acute distress with significant diffuse swelling of her face, which was most prominent in the periorbital region without ecchymoses, erythema, or urticaria. Her conjunctivae were without erythema. Her pupils were equal, round, and reactive to light, and the extraocular motions were intact and painless. There were no other abnormal respiratory, cardiovascular, abdominal, or neurologic findings on examination. A complete blood count, basic metabolic panel, and chest radiograph (CXR) were ordered during the initial workup of the patient. Based on CXR findings (), a computed tomography (CT) of the chest was obtained (). The patient had an uneventful stay in the ED.</t>
  </si>
  <si>
    <t>A 78-year-old man was referred to the Department of Cardiology of Matsushita Memorial Hospital for dyspnea. The patient had been stable at a nursing home until approximately 18 hours before presentation, when the staff noticed that his appetite decreased during dinner. The next morning, the patient reported difficulty breathing and exhibited pallor.
His medical history included heart failure, cerebral infarction, cognitive impairment, chronic kidney disease, and hypertension. Medications included carvedilol at a dose of 2.5 mg daily, furosemide at a dose of 40 mg daily, isosorbide dinitrate at a dose of 40 mg daily, and laxatives as needed. He quit smoking 10 years earlier after a 48-pack-year history, did not drink or use illicit drugs, and had no known allergies.
On examination, he was lethargic and drowsy, but responsive to simple commands. His blood pressure was 144/87 mmHg, pulse was 108 beats per minute, body temperature was 36.7 ºC, and respiratory rate was 28 breaths per minute; his oxygen saturation was 79% while breathing ambient air and 94% while receiving oxygen through a face mask with a reservoir bag at a rate of 10 liters per minute. The jugular venous pulse was high at 10 cm of water. Chest auscultation revealed a gallop rhythm and bibasilar lung crackles. The abdomen was soft and nondistended, and there was no edema of the legs.
An electrocardiogram demonstrated a normal sinus rhythm, right bundle branch block, small q waves in the inferior leads, slight ST-elevation in aVR, and ST-segment depressions in leads V3 to V6 (). Bilateral opacities in the lower lung fields were observed on an anteroposterior chest radiograph (), and diffusely decreased wall motion in the left ventricle was noted on bedside echocardiography. Arterial blood gases, obtained with supplemental oxygen, revealed a pH of 7.256, partial pressure of carbon dioxide of 29.5 mmHg, partial pressure of oxygen of 93.8 mmHg, and lactate of 121 mg/dL. His white blood cell count was 13,400 per cubic millimeter with 88.2% neutrophils. The levels of lactate dehydrogenase, total bilirubin, and creatinine were 687 U/L, 2.4 mg/dL, and 2.98 mg/dL, respectively. The levels of creatine kinase and its MB fraction were 1072 U/L and 146 U/L, respectively. The troponin T level was 3.800 ng/mL (reference value, ≤0.100) and brain natriuretic peptide level was 4256.4 pg/mL (reference value, ≤18.4).
A diagnosis of non-ST-segment elevation acute myocardial infarction accompanying heart failure was made. Emergency coronary angiography demonstrated total occlusion of the proximal portion of the right coronary artery and left circumflex coronary artery with collateral flow from the left anterior descending coronary artery, in which severe stenoses were present at the proximal site and the first branch (). Given his comorbidities and preferences, subsequent angioplasty was waived.
Myocardial imaging with thallium-201 (111 MBq) and 99mTc-PYP (740 MBq) was performed four days after admission. A total of 36 images over a 180-degree anterior arc were acquired 5 minutes and 3 hours after tracer injections, respectively, using a digital gamma camera equipped with a low-energy, high-resolution, parallel-hole collimator. The acquisition lasted 50 beats per projection, was stored in a matrix of 64×64 pixels, and the images were reconstructed using a Hanning filter without attenuation or scatter correction. Single-photon emission computed tomography () revealed slightly reduced thallium-201 uptake in the inferior wall and apex, and extensive uptake of 99mTc-PYP in the entire left ventricle and the free wall of the right ventricle. Of note, the uptake of 99mTc-PYP in the left ventricle was distributed to the inner layer with some overlap with that of thallium-201, a finding consistent with myocardial infarction and/or injury in the left ventricular subendocardial regions.</t>
  </si>
  <si>
    <t>In October 2020, a 59-year-old man was admitted to our Internal Medicine inpatients unit because of the persistence for about 2 weeks of dyspnoea, fatigue, and weight loss. The patient also reported right hypochondrium pain and loss of appetite. Past medical history was relevant for hypertension, type 2 diabetes and alcohol abuse (reported alcohol consumption: 3–5 drinks per day from the age of sixteen). In 2016 he was diagnosed with squamous cell lung carcinoma (stage T4N3M0) and treated with neoadjuvant polychemotherapy (cisplatine + vinorelbin) followed by right pneumonectomy. Despite a history of cancer, he was still an active smoker. His home therapy consisted of insulin and acetylsalicylic acid 100 mg/day.
At admission, blood pressure was 150/75 mmHg, heart rate 92 bpm, oxygen saturation 94% in room air, respiratory rate 20/min, body temperature was 36°C. Physical examination was non-significant apart from hepatomegaly. Results of laboratory tests, including blood gas analysis, at admission are shown in . In particular, acute phase reactants (e.g., fibrinogen, C-reactive protein, ferritin), transaminases, cholestasis enzymes and D-dimer were altered. Hepatitis B and C markers were negative. Sars-CoV-2 nasopharyngeal swab was negative. Chest X-ray showed opacification and volume loss of right hemi-thorax with consensual mediastinal shift, according to history of previous pneumonectomy; no signs of pulmonary consolidation in the left lung. Abdominal US-scan showed hyper-echogenicity of the liver compatible with steatosis and/or fibrosis and biliary sludge. No significant kidneys or spleen abnormalities nor ascites were found. The Esophago-Gastro-Duodenoscopy detected a grade B reflux disease (LA classification), congestive gastropathy and erosive bulb duodenitis. Basing on history, clinical features and Wells' score (0 points) (), PE was unlikely. An echocardiography showed a normal left ventricle ejection fraction, no right ventricle overload nor pulmonary hypertension. To rule out cancer recurrence, total body CT-scan with contrast injection was performed. Chest CT images showed a pulmonary thrombus within the right main artery stump, not present 1 year earlier (). Doppler US-scan of lower limbs was normal. Anticoagulant treatment with enoxaparin 100 ui/kg/bid was started, together with proton pump inhibitor (PPI). Tests for inherited and acquired thrombophilia were negative as well as antibodies against Sars-Cov-2. Patient's symptoms gradually improved and he was discharged 7 days after PAST diagnosis with anticoagulant prescription. Contrast-enhanced CT scan performed 4 months later demonstrated an almost complete resolution of right pulmonary thrombosis ().</t>
  </si>
  <si>
    <t>A 77-year-old male patient presented to emergency department with complaints of shortness of breath and pain, discoloration, and swelling of the left leg. Vital signs on presentation were heart rate 110 per minute, blood pressure 155/85 mmHg, oxygen saturation 96% on room air, and temperature 36 degree Celsius. The patient had bilateral crackles on lung exam and absent left dorsalis pedis and posterior tibial pulses and foot was swollen, discolored, and cold. Electrocardiogram showed sinus tachycardia 110 per minute.
On initial laboratory evaluation, the following values were noted: hemoglobin 12.1 g/dl (reference: 12-16 g/dl), hematocrit 38.2% (reference: 36%-46%), white blood cells 41 K/mm3 (reference: 4.5-11 K/mm3), platelets 534 K/mm3 (reference: 140-440 K/mm3), potassium 4.1 meq/L (reference: 3.5-5 meq/L), glucose 126 mg/dl (reference: 70-105 mg/dl), creatinine 0.61 mg/dl (reference: 0.6-1.30 mg/dl), blood urea nitrogen 8 mg/dl (reference: 7-23 mg/dl), lactic acid 1.1 mmol/L (reference: 0.5-2.2 mmol/L), troponin 0.136 ng/ml (reference: less than 0.03 ng/ml), D-dimer 2.77 (reference: less than 0.5), prothrombin time 14.8 seconds (reference: 12.2-14.9 seconds), international normalized ratio (INR) 1.2 (reference: less than 1), partial thromboplastin time 39.8 seconds (reference: 21.3-35.1 seconds), lactate dehydrogenase (LDH) 392 U/L (reference: 140-271 U/L), C-reactive protein (CRP) 301 mg/L (reference: less than 10 mg/L), ferritin 1,396 ng/mL (reference: 12-300 ng/ml), procalcitonin 0.60 ng/ml (reference: less than 2 ng/ml), aspartate transaminase 134 U/L (reference: 13-39 U/L), calcium 8.5 mg/dl (reference: 8.6-10.3 mg/dl), and albumin 2.7 mg/dl (reference: 3.5-5.0 mg/dl). Chest X ray showed bilateral hazy infiltrates. CT angiography of the abdomen and aorta with Iliofemoral runoff showed thrombus within the mid left superficial femoral artery and occluded left anterior tibial artery, left posterior tibial artery, and left peroneal artery with no flow to the foot (Figure ).
Covid-19 was diagnosed on the basis of reverse transcription polymerase chain reaction (RT-PCR) testing. Echocardiogram showed an ejection fraction of 60%. The patient was placed on air-borne precautions and was started on ceftriaxone, azithromycin, hydroxychloroquine, and therapeutic anticoagulation with heparin. He underwent thrombectomy of left common femoral artery, profunda femoris, superficial femoral artery, popliteal artery, anterior tibial artery, posterior tibial artery, and peroneal artery.</t>
  </si>
  <si>
    <t>An 18-year-old male presented to the emergency department (ED) with a complaint of severe abdominal pain for three days along with painful urination, vomiting, diarrhea and subjective fever and chills. The patient reported brief, severe, colicky episodes of mid and left upper quadrant (LUQ) abdominal pain that radiated to his testicles. He vomited several times because of the pain, which he stated began suddenly while he was lying down. Notably, the patient had recently got over a diarrheal illness a few days prior, followed by constipation, and had recurrence of one loose stool on the day of presentation. He denied any flank pain or back pain, and had never experienced anything like this current illness before.
The patient had no prior medical or surgical history, and had no known family history. His family lived in Honduras, but the patient was currently incarcerated. He was previously a one-pack-per-day smoker, drank alcohol one to two times per month, but denied drug use. Review of systems was negative for weight loss, headaches, chest pain, shortness of breath, melena, hematemesis, rashes, or joint swelling.
The vital signs were as follows: temperature 37.0°C orally, pulse 103 beats per minute, respiratory rate 11 breaths per minute (bpm), blood pressure 122/67 mmHg, and oxygen saturation 100% on room air. Physical examination revealed an alert young man intermittently doubled over in pain with spontaneous resolution. The heart was tachycardic and regular without murmurs, rubs or gallops. The lungs were clear bilaterally with normal work of breathing and no wheezes, rhonchi or rales. His abdomen was soft and non-distended with normoactive bowel sounds, but he demonstrated diffuse tenderness and guarding to palpation. He had no midline or costovertebral angle tenderness, and no ecchymoses were present on inspection of his back. His skin was warm, dry and without any obvious rashes. His neurological examination was grossly intact throughout. The patient was uncircumcised, and his right testicle was lying higher than his left, but neither was tender or swollen. No masses or inguinal hernias were appreciated in the groin.
Laboratory studies were ordered (–), and a point-of-care focused assessment with sonography for trauma (FAST) exam and gallbladder ultrasound were normal. The patient had a formal scrotal ultrasound performed. ().
The patient’s pain was initially well controlled with hydrocodone/acetaminophen and non-steroidal anti-inflammatories; however, as more laboratory and imaging studies resulted, the patient continued to have intermittent pain episodes requiring morphine for analgesia. After two to three hours, the pain crises appeared more severe and the patient became more tachypneic to 18 bpm. It was at that point that an additional study was ordered, and the diagnosis was subsequently made.</t>
  </si>
  <si>
    <t>A 57-year-old Caucasian man with a smoking habit who had a history of hypertension and dyslipidemia as well as a family history of thoracic aortic dissection presented to a community hospital complaining of sudden onset of chest discomfort and dyspnea. He was diaphoretic, with blood pressure of 114/60mmHg and no pulse deficit, heart rate of 114 beats per minute and respiratory rate of 20 breaths per minute. In addition, he required oxygen by nasal cannula to maintain oxygen saturation above 90%. He had a large-volume central pulse, no extra heart sounds and soft systolic and early diastolic murmurs over the aortic valve. His jugular venous pressure was 4cm above the sternal angle, and he had crackles at both lung bases. There were no features suggestive of Marfan syndrome or connective tissue diseases. The initial emergency work-up included an electrocardiogram (EKG), which showed left ventricular hypertrophy with repolarization abnormalities; a chest X-ray with increased interstitial markings suggesting acute pulmonary edema; a troponin I level of 0.41μg/L; and a brain natriuretic peptide level of 487ng/L.
On the basis of the patient’s abrupt onset of symptoms, family history of aortic dissection and findings consistent with acute aortic insufficiency (large-volume pulse, early diastolic murmur and heart failure), an emergent contrast-enhanced CT scan was obtained (Figure ). This scan showed a 5cm aortic root aneurysm but no aortic dissection. The patient was treated medically for acute coronary syndrome and heart failure, including dual anti-platelet therapy and anti-coagulation. He was subsequently transferred to a tertiary care hospital. Because of the high clinical suspicion of an acute aortic dissection based on his family history, sudden onset chest discomfort and findings of acute aortic insufficiency and heart failure [], a transesophageal echocardiogram was taken, even in light of the negative CT scan (Figure ). This test demonstrated an aortic dissection flap confined to the aortic root, superior to the aortic valve and associated with severe aortic insufficiency. The patient underwent successful repair of his Stanford type A aortic dissection with a 27mm mechanical valved conduit 21 hours after his initial presentation to the community hospital. The pathology report showed a structurally normal trileaflet native valve and cystic medial necrosis of the wall of the aortic root. Specialist cardiovascular radiologists who reviewed the initial CT scan post hoc reprocessed the raw data and correctly identified the dissection above the aortic valve (Figure ). The dissection flap had initially been misinterpreted as a combination of normal aortic valve apparatus and motion artefact.</t>
  </si>
  <si>
    <t>A 42-year-old African American woman with a history of hypertension, morbid obesity, and obstructive sleep apnea presented to the emergency department with a 12-hour history of left-sided abdominal pain, nausea, and vomiting. At presentation, her medications included hydrochlorothiazide, acetaminophen, ibuprofen, and lisinopril. The patient is married, has three children, and has never smoked, consumed alcohol, or used illicit drugs.
The patient had travelled to Ghana for 5 days, 1 month prior to presentation. She denies any symptoms during or since her trip until her current symptoms started. She was prescribed lisinopril for hypertension, and her first dose of lisinopril 5 mg was 12 h before the onset of her symptoms. She had never taken an ACE inhibitor (ACEi) or angiotensin II receptor antagonist (ARB) before.
On presentation, she had crampy abdominal pain that radiated to the left side of her abdomen. Her pain was constant and increasing but did wax and wane in severity. She also had persistent nausea with one bout of emesis. She had one nonbloody bowel movement of normal caliber within 24 h of presenting and denied any recent diarrhea, constipation, or recent sick contacts.
Vitals at presentation included a blood pressure of 187/122, pulse of 81, temperature of 36.7°C, respirations of 20, and an O2 saturation of 100% on room air. Physical examination showed a patient that appeared uncomfortable and at times sitting up and writhing in bed with her eyes closed. Her abdomen was tender to palpation in the left epigastric area and left mid-abdomen, with mild left suprapubic tenderness. She also had hyperactive bowel sounds but no rebound tenderness or significant guarding.
In the emergency department, the patient received intravenous fluids, as well as pain and nausea medications. The laboratories showed an unremarkable CBC. Her C1 esterase inhibitor functional assay was within normal limits along with a normal C4 concentration making type I and type II hereditary angioedema unlikely. Stool studies were negative for infectious diseases. CT of the abdomen showed segmented target-like enhancement of a dilated loop of ileum with relatively high attenuation ascites (Figs and ). The initial differential included inflammatory bowel disease, infectious enteritis, vasculitis intramural hemorrhage, and lymphoma.
Given her admission clinical and radiographic findings, drug-induced visceral angioedema due to ACEi was suspected. Lisinopril was discontinued and the patient's abdominal symptoms resolved completely in 48 h. The patient was discharged to home on 5 mg of amlodipine for blood pressure control and instructed to follow-up with her primary care provider. On follow-up 2 and 8 weeks later, her symptoms had not returned.</t>
  </si>
  <si>
    <t>A 46-year-old woman presents to the emergency department with 1 day of painful leg swelling. She is otherwise healthy and takes only oral contraceptive pills. The patient does not regularly follow up with her primary doctor and is generally not medically compliant. Her temperature is 98.0°F (36.7°C), blood pressure is 122/78 mm Hg, pulse is 70/min, respirations are 13/min, and oxygen saturation is 99% on room air. Lower extremity examination shows mild calf swelling on her left leg, but otherwise is unremarkable. An ultrasound is performed as seen in Figure A.</t>
  </si>
  <si>
    <t>SIRS Criteria</t>
  </si>
  <si>
    <t>What is the number of SIRS critiera met by the patient?</t>
  </si>
  <si>
    <t>An 80-year-old male with hypertension and chronic kidney disease was admitted to our hospital because of epigastric pain that had begun after dinner 1 day before admission. The patient reported no use of nonsteroidal anti-inflammatory drugs.
On examination, the patient’s temperature was 37.0 °C, heart rate was 101 beats per minute, blood pressure was 185/93 mmHg, respiratory rate was 18 breaths per minute, and oxygen saturation was 96% while the patient was breathing ambient air. The patient’s body mass index was 26.3 kg/m2. Mild epigastric tenderness was present. The remainder of the physical examination was normal. The laboratory data on admission were as follows: white blood count 9400/mm3, the C-reactive protein level 7.53 mg/dl, red blood count 419 × 104/mm3, hemoglobin 13.4 g/dl, platelets 16.8 × 104/mm3, total bilirubin 0.8 mg/dl, aspirate aminotransferase 21 IU/l, alanine aminotransferase 16 IU/l, alkaline phosphatase 232 IU/l, γ-glutamyl transferase 15 IU/l, amylase 86 IU/l, blood urea nitrogen 32 mg/dl, and creatinine 1.99 mg/dl, and estimated glomerular filtration rate is 26 ml per minute per 1.73 m2 of body surface area. Chest and abdominal radiography showed no abnormalities. Computed tomography (CT) of the abdomen showed a linear, hyperdense, foreign body that appeared to penetrate through the posterior wall of the gastric antrum (Fig. a). There was no evidence of free air, abscess formation, migration of the foreign body into the pancreas, or pancreatitis (Fig. b).
As the patient had a history of fish bone ingestion, we made a diagnosis of localized peritonitis caused by fish bone penetration of the posterior wall of the gastric antrum. We first attempted to remove the foreign body endoscopically, but failed because it was not detected. Hence, an emergency laparoscopic surgery was performed. The patient was placed in a supine position. The operator stood on the left side of the patient, the assistant on the right side, and the scopist between the patient’s legs. Four trocars were placed: one above the navel for the laparoscopy (12 mm), two in the upper left abdominal quadrant (5 mm), and one in the upper right abdominal quadrant (5 mm). Laparoscopic gastrectomy techniques were used to separate the greater omentum from the transverse colon and open the lesser sac. A linear, hard, foreign body was found in the adhesive tissue between the gastric antrum and the pancreatic body (Fig. a). The foreign body was safely removed from both the pancreas and stomach laparoscopically. The foreign body was identified as a 2.5-cm-long fish bone, (Fig. b). The length of the fish bone embedded in the pancreas was about 2 cm. There was a minor laceration at the site of the pancreatic injury. Neither fat saponification nor hematoma around the pancreas was identified. We did not perform suture repair or local debridement for the site of the pancreatic injury. Because the site of the penetrated gastric wall was small and a leak was not observed, we did not perform suture repair or cover the site of the penetrated gastric wall with the omentum. Intraperitoneal lavage was performed, and a drain was placed in the lesser sac.
Clear fluid was drained, and the postoperative serum amylase levels were normal. The patient recovered without complications and was discharged on the seventh postoperative day.</t>
  </si>
  <si>
    <t>A 67-year-old woman presented to the hospital complaining of fever, shortness of breath and dry cough during the previous month. She had been treated for presumed bronchitis with wide-spectrum antibiotics without response and her complaints had gradually worsened. Her past medical history was significant for bilateral hilar lymphadenopathy, which was incidentally diagnosed on a routine chest radiograph 8 years previously, a finding that was confirmed, together with right paratracheal node enlargement, by a chest computed tomography (CT) scan. She had then undergone a non-diagnostic bronchoscopy and was advised to repeat the chest CT scan after 6 months, advice she ignored. She had never smoked and she had not taken any medication in the past. She had no environmental or occupational history of beryllium or other metal exposure. She had never traveled outside Greece. She had never had a tuberculin test.
On physical examination, the patient appeared to be in good condition, mildly dyspneic with 22 breaths per minute, a temperature of 39.4°C, blood pressure of 110/70 mmHg and a heart rate of 100 beats per minute. Apart from mild bilateral inspiratory fine crackles in the lower lung fields, no other physical abnormalities were observed. There was no skin involvement. Laboratory investigations showed normocytic normochromic anemia (hemoglobin 11.8 g/dl), white blood count 6370/mm3 (neutrophils 67%), erythrocyte sedimentation rate 95 mm and C-reactive protein 90 mg/l (normal value &lt;3 mg/l). Serum electrolyte levels and renal function indices were normal. A mild decrease in albumin levels was observed on serum protein electrophoresis. Serum concentrations of angiotensin-converting enzyme (ACE) were normal, as was a 24-hour urinary calcium excretion analysis. Arterial gas testing (while the patient was breathing in room air) indicated PaO2 70 mmHg, PaCO2 31 mmHg, pH 7.47 and bicarbonate 22.2 mmol/l. The tuberculin skin test was positive (20 mm). A chest X-ray on admission disclosed bilateral hilar lymphadenopathy together with bilateral interstitial lung densities in the lower lung fields (Figure ). A chest CT scan that was performed 3 days after her admission disclosed bilateral interstitial opacities in the middle and lower lung lobes and mediastinal lymphadenopathy, which was unaltered compared with that observed 8 years ago (Figure ).
An ophthalmologic evaluation was normal. The patient underwent bronchoscopy, which revealed slight mucosal edema in the bronchial tree. All endobronchial biopsies disclosed non-specific inflammation. Transbronchial biopsies were not performed because of the patient's intolerance. The bronchoalveolar lavage (BAL) cell differential count was total cell count 37 × 104/ml, neutrophils 2.8%, lymphocytes 61.2%, macrophages 34.5% and eosinophils 1.3%. The CD4 to CD8 ratio was 2.25 while the number of CD4 and CD8 cells was within normal levels. Multiple blood and urine cultures as well as bronchial washing cultures were negative for bacteria and fungi. Results from sputum, gastric fluid and BAL Ziehl-Neelsen staining were negative. Serology studies for human immunodeficiency virus (HIV), Brucella species, Legionella species, Coxiella burnetti, Chlamydia species, Mycoplasma species, Leismania species and Toxoplasma species were negative. A venereal disease research laboratory test was also negative. Antinuclear antibodies were 1/80 positive while anti-double-stranded DNA antibodies, anti-RO, anti-LA, antineutrophil cytoplasmic antibodies and antimitochondrial antibodies were all negative. The patient underwent mediastinoscopy, and histological examination from the biopsy of a right paratracheal lymph node showed a non-caseating granuloma formation compatible with sarcoidosis. Routine tissue bacterial, fungal and acid bacilli cultures were negative.
The patient received broad-spectrum antibiotic treatment without any response, while her dyspnea progressively increased and she was supported with oxygen therapy. A chest X-ray disclosed extended interstitial lung densities in both lungs as well as consolidation in the left lower lung field (Figure ). As she was clinically and radiologically deteriorating, treatment with the standard anti-TB drug regimen (isoniazid 300 mg daily, rifampin 600 mg daily, pyrazinamide 2 g daily and ethambutol 1 g daily) was started in addition to prednisolone 1 mg/kg daily. The patient's symptoms moderately improved but her fever continued to spike. During the second week of anti-TB therapy, initial BAL cultures turned out to be positive for M. tuberculosis and glucocorticoids were stopped. During the fourth week of treatment the fever declined and the patient became apyrexial 1 week later. After 2 months of therapy, pyrazinamide and ethambutol were stopped and a 7-month continuation regimen with isoniazide and rifampin was administered. During a 9 month period of follow-up, the patient continued to have the same chronic mediastinal lymphadenopathy with no parenchymal involvement and normal pulmonary function tests.</t>
  </si>
  <si>
    <t>A 28-year-old female patient was admitted to the emergency department with fever, fatigue, nausea. Although she used amoxicillin-clavulanic acid (1 gm) for 3 days due to high fever associated with malaise, her fever continued. She was hospitalized with a preliminary diagnosis of toxic hepatitis. A chronic systemic disease, smoking, alcohol, drug use could not be found in this patient.
On physical examination, fever was 37.8°C, pulse was 105/min, arterial blood pressure was 100/60 mm Hg, respiratory rate was 18/min, oropharynx was hyper-emic, there was 3 to 4 painful lymphadenopathies (LAP) (4-6 mm in diameter) at the beginning of scalp behind the right ear. There was minimal hepatosplenomegaly (HSM). Other findings were normal. In laboratory tests WBC: 10.78 × 103/μl, neutrophil could not be detected properly. The levels of other parameters are given; lymphocytes; 6.22 × 103/μl (1.3 to 3.5), hemoglobulin; 14.2 gm/dl, platelet: 174 × 103/μl, alanine aminotransferase (ALAT); 742 IU/l (10-50), aspartate aminotransferase (AST); 517 IU/l (10-50), alkaline phosphatase (ALP); 394 IU/l (40-130), GGT: 404 IU/l (10-71), total bilirubin; 6.7 mg/dl (&lt;1.4), direct bilirubin; 4.73 mg/dl (&lt;0.3), erythrocyte sedimentation rate (ESR); 19 mm (0-20), C-reactive protein (CRP): 14.54 mg/dl (&lt; 5). There was a predominance of atypical lymphocytes in the peripheral blood smear. Upper abdomen ultrasonography which was done to investigate the etiology of LFT disorder was normal except minimal HSM. Antimitochondrial antibody, antinuclear antibody, antismooth muscle antibodies, antineutrophil cytoplasmic antibody, acute and chronic viral hepatitis markers were normal. Serological tests for salmonella and brucella were negative. In addition, iron, iron binding capacity, ferritin, 24-hour urine copper, ceruloplasmin, alpha-fetoprotein, alpha-1 antitrypsin levels were within normal limits. EBV parameters like EBV VCA IgM, VCA IgG and EBNA IgM were positive, also, CMV IgM was positive with high-titer. Cytomegalo-virus IgG titer and other parameters were negative. According to these findings, patient was diagnosed as acute hepatitis due to the EBV and CMV coinfection. Supportive treatment was given, liver function tests (LFTs) were normalized gradually after 3 weeks.</t>
  </si>
  <si>
    <t>A 66-year-old male with a past medical history of hypertension and pancreatic adenocarcinoma presented to our hospital with complaints of nausea, vomiting, and generalized weakness in the arms and legs. The patient was diagnosed with locally advanced, pancreatic cancer, T1 N0 M0 a year prior to presentation. Magnetic resonance cholangiopancreatography (MRCP) revealed a 1.7 cm mass at the head of his pancreas, locally invasive but without the involvement of lymph nodes, superior mesenteric artery, superior mesenteric vein or portal vein. Endoscopic biopsy revealed adenocarcinoma. The patient was a poor surgical candidate due to social issues, alcoholism, residence at a nursing home and was at a high-risk for post-surgical complications. The patient was treated palliatively with nine cycles of gemcitabine and paclitaxel. The initial dose of gemcitabine was 2000 mg. The tumor decreased in size and CA 19-9 level declined from an initial level of 2000 to 26 units/mL. Later the dose of gemcitabine was reduced to 1400 mg (20% reduction) after the sixth cycle due to pancytopenia.
On admission to our hospital, the patient reported abdominal pain that was sharp and located in the right lower quadrant (RLQ). He denied fevers or chills. The patients' vital signs were: temperature 99.3 °F, heart rate of 73 beats per minute, blood pressure 129/60 mmHg, respiratory rate of 17 breaths per minute and oxygen saturation 100% on room air. The physical examination was remarkable for RLQ tenderness. The laboratory data revealed hemoglobin (Hb) 6.5 g/dL, hematocrit (Hct) 19.8, mean corpuscular volume (MCV) 83.2fL /red cell, red cell distribution width (RDW) 19.1 %, white cell count of 9.44 x 109/L, platelets of 54 x 109/L, alanine transaminase (ALT) 133 IU/L, aspartate transaminase (AST) 222 IU/L, alkaline phosphatase (ALP) of 147 IU/L and a total bilirubin of 5 umol/L. BUN was 42 mg/dl, creatinine 2.12 mg/dl (baseline creatinine of 0.8), LDH was 1700 u/l, reticulocyte count was 7.8%. Peripheral smear showed microcytic anemia with frequent schistocytes consistent with a microangiopathic hemolytic process (Figures -). Urinalysis was positive for 1+ blood and 1+ albumin. Computed tomography (CT) scan of the abdomen without contrast showed a stable pancreatic mass and no signs of hydronephrosis (Figure ). ERCP revealed choledocholithiasis. Choledocholithotomy was performed and subsequently the bilirubin improved. Blood cultures grew Klebsiella. He was treated with piperacillin-tazobactam. The patient received intravenous (IV) fluids, blood and platelets when the Hb and platelets declined to Hb of 6.4 g/dl and platelet counts of 8 x 109. He was treated with methylprednisone 30 mg IV q24 and the platelet count increased to 20 x 109. His creatinine increased to 12 mg/dl and BUN to 112 mg/dl. ADAMTS13 activity was 34%. A diagnosis of GiHUS was made. The patient was offered plasmapheresis, but he opted for hospice.</t>
  </si>
  <si>
    <t>Should be straightforward calculation for LLM, no significant input for me to add.</t>
  </si>
  <si>
    <t>A 96-year-old woman was prescribed garenoxacin for 8 days after complaining of a bad cough, dyspnea, and anorexia at a nearby clinic. This was despite a simple laboratory blood test revealing a white blood cell (WBC) count of 7920/μL (55% neutrophils) and a C-reactive protein (CRP) level of 0.33 mg/dL, findings that were unremarkable. However, she developed high-grade fever on the following day, and intravenous ceftriaxone (1 g daily for 6 days) was added to her treatment regime two days after prescribing garenoxacin. After 5 days of therapy with ceftriaxone, a follow-up laboratory blood test performed showed a WBC count of 1050/μL (0% neutrophils) and a CRP level of 6.67 mg/dL. Severe leucopenia was suspected, and she was referred to our hospital for evaluation.
During presentation, her blood pressure was 136/99 mmHg, her pulse rate was 87 beats per minute, and her body temperature was 37.4°C. Her respiratory rate was 20 breaths per minute and peripheral oxygen saturation 97%. Chest sounds were normal, and other findings of physical examination were unremarkable. She was 150 cm in height with mild kyphosis and weighed 40 kg. She had a medical history of atrial fibrillation, stroke, hypertension, hypotonic urinary bladder, lower back pain, and gastritis. Her daily medications included candesartan, lansoprazole, amlodipine, carbocysteine, zaltoprofen, tranexamic acid, rivaroxaban, bisoprolol, brotizolam, and celecoxib.
Full blood count performed at our hospital revealed severe leucopenia with a WBC count of 830/µL (neutrophils 7/µL, eosinophils 8/μL, basophils 18/μL, monocytes 378/μL, and lymphocytes 415/μL). Other laboratory data are shown in . A chest radiograph and computed tomography showed mild infiltrative shadow on her left lung. However, both blood and sputum culture results were negative.
She was diagnosed with drug-induced agranulocytosis (presumably from antibiotics used) with mild pneumonia and admitted to an isolated room. Candesartan, lansoprazole, amlodipine, and celecoxib were discontinued because they are also known to cause agranulocytosis. She was given meropenem hydrate intravenously (2 g/day) and levofloxacin hydrate orally (500 mg/day) for 10 days, after which a short course of sulfamethoxazole/trimethoprim (4 g/day) was administered. Subcutaneous injection of filgrastim (recombinant human G-CSF, 75 µg/day) was also given to treat her neutropenia.
Filgrastim was administered for 6 days before the neutrophil count normalized to 2539/µL on day 6. Although her neutrophil count increased to 12,940/µL on day 9, it eventually stabilized around 3000 to 4000/µL after day 13. summarizes the changes in WBC count, neutrophil count, and CRP levels during her hospitalization. Her fever receded after day 10, and she was discharged on day 18 without further complications.</t>
  </si>
  <si>
    <t>Twenty-year-old male presented with an influenza-like illness (LI) with fever, cough, wheezing, shortness of breath, and myalgias. His symptoms began 3 days prior to hospitalization, and he visited an Urgent Care Center and was started on amoxicillin. On admission, his temperature was 38 °C (101.8 °F), pulse was 125/min, and respiratory rate was 22/min. Physical exam was unremarkable except for wheezing and conjunctival suffusion. His white blood cell (WBC) count was 5.7 K/mm3 (81% PMNs, 8% lymphocytes, 11% monocytes) and platelet count was 158 K/µL (n &gt; 160 K/mm3). Serum transaminases and alkaline phosphatase were normal. His C-reactive protein (CRP) was 110 mg/L (n &lt; 3 mg/L) and procalcitonin (PCT) was 0.12 mg/mL (n &lt; 0.5 mg/mL). CXR showed a right middle lobe infiltrate thought to represent a bacterial CAP, and the patient was empirically started on ceftriaxone. Respiratory viral PCR (Film Array) was positive for adenovirus. Moxifloxacin was started on hospital day (HD) #3. He was transferred to the medical intensive care unit (ICU), and his temperature was 102.6 °F, pulse was 116/min, respiratory rate was 30/min, and oxygen saturation was 92% on oxygen at 4 L/min. Repeat CXR showed worsening pneumonia, involving right middle and lower lobes. Multiple sputum and blood cultures—obtained prior to antibiotic therapy—were negative. Empiric antibiotics were changed to meropenem, vancomycin, and levofloxacin for presumed bacterial co-infection.
On HD #4, fevers continued, and he was intubated. WBC count remained normal at 6.2 K/mm3. His erythrocyte sedimentation rate (ESR) was 35 mm/h, CRP was 92 mg/L, and his PCT was 0.08 mg/mL (n &lt; 0.5 mg/mL). Cold agglutinin titer was negative. Legionella sp. antibody and urine antigen were negative. Sputum and nasopharyngeal viral cultures were both positive for adenovirus. Repeat respiratory PCR remained positive for adenovirus, and his adenovirus titer was elevated at 1:128 (n ≤ 1:8). A dose of cidofovir was given. Since the fevers were clearly due to adenoviral pneumonia, multiple empiric antibiotics had no effect on his fevers. Accordingly, the infectious disease consultant repeatedly recommended discontinuing antibiotics for “presumed bacterial coinfection”. However, meropenem, levofloxacin, and vancomycin were continued for “possible bacterial co-infection” because the patient remained febrile ().
He was extubated on HD #8, but his 102 °F fevers continued. Repeat PCT was again unremarkable at 0.17 mg/mL (&lt;0.5 mg/mL). CXR showed much improved right lung infiltrates, and by HD #12 he became afebrile and his CXR infiltrates had resolved. The eventual resolution of his severe adenoviral CAP should not be ascribed to a single dose of cidofovir.</t>
  </si>
  <si>
    <t>MM is a 14-year-old male with cold symptoms four days prior to presentation followed by the onset of several episodes of emesis and diarrhea along with decreased appetite and fever to 105.4°F. His vital signs were blood pressure 99/47 mmHg, pulse 137, respirations 18, and temperature 39.5°C. He was well appearing with dry mucus membranes. His abdominal exam was benign without hepatosplenomegaly or masses. Labs were drawn, that showed a WBC 4.1, a hemoglobin 10.7 g/dL, platelets 109 K/uL, AST 95 U/L, ALT 93 U/L, albumin 2.7 g/dL, total and direct bilirubin 2.6 mg/dL and 0.6 mg/dL, respectively, PT 13.8 sec, and fibrinogen 744 mg/dL. During admission MM began complaining of RUQ abdominal pain and an ultrasound showed a 6 cm mass in the liver along with a thickened gallbladder wall. A CT of the abdomen was completed () and a liver biopsy was performed with 3 mLs of purulent fluid drained. MM's blood culture and abscess culture revealed Streptococcus consellatus and he was started on intravenous Piperacillin/Tazobactam. A repeat ultrasound was performed five days later which showed interval increased size and cystic component of the liver abscess. He underwent repeat drainage and percutaneous drain placement. He had significant improvement and ultrasounds showed interval decrease in size and cystic components of the complex liver abscess. The drain was capped and a subsequent ultrasound revealed an interval decrease in size. The drain was then removed and he was discharged home on intravenous ceftriaxone.</t>
  </si>
  <si>
    <t>A 67-year-old man was admitted to our hospital with febrile sensation and cough for 3 days. He had no other underlying chronic disease. He was an ex-smoker (20 pack-years) and did not have a history of alcohol abuse. His vital signs were as follows: blood pressure, 140/82 mm Hg; heart rate, 68 beats per minute; respiratory rate, 20 per minute; and body temperature, 38.5℃. Auscultation revealed coarse crackles in both lower lung fields.
Chest radiography showed multiple pulmonary infiltrations in the right lung fields (). White blood cell count was 8,000/mm3 with 76.0% segmented neutrophils, 13.7% lymphocytes, and 1% eosinophils. C-reactive protein and procalcitonin were 23.34 mg/dL and 0.579 mg/dL, respectively. Other routine blood chemistry tests were all normal. Arterial blood gas analysis revealed pH 7.439, PCO2 36.3 mm Hg, PO2 52.4 mm Hg, and HCO3- 24.9 mmol/L.
A computed tomography (CT) scan of the chest was performed, and revealed multiple pulmonary consolidations, ground-glass opacities, and interstitial septal thickenings in both lower lung fields (). Based on these observations, we made a diagnosis of CAP and initiated antimicrobial therapy of intravenous ceftriaxone 2 g plus azithromycin 500 mg. After treatment of CAP, the clinical findings of the patient stabilized, and the patient was discharged on hospital day 4.
After three months, we performed a routine check-up of the patient. The patient had no definitive symptoms. Follow-up chest radiography showed resolution of multiple pulmonary consolidations throughout most of the lung fields, but a mass-like lesion without the loss of right cardiac borders at the right lower lobe field was observed (). Follow-up CT scans of the chest revealed interval improvements in pneumonic consolidations in both lower lung fields, but an increased mass in the right posterior mediastinum at T6-7 level that we had considered to be pneumonic consolidations on the previous CT scans was visible (). This oval and elongated mass with mild enhancement of soft tissue density without any bone destruction was observed (). Positron emission tomography using 2-[fluorine-18] fluoro-2-deoxy-D-glucose (FDG) imaging and CT scans of the whole body except the brain revealed mild FDG uptake of maximum standardized uptake value 3.4 at the posterior mediastinal mass.
Percutaneous needle biopsy using ultrasound was performed. Lung ultrasound revealed an ill-defined, hypoechoic subpleural lesion measuring about 5.0 cm×2.7 cm at right paraspinal area of T6-7 level. And microscopic examination showed diffuse infiltrates of polymorphous and asynchronous plasma cells with large and eccentric nuclei, prominent nucleoli, and abundant cytoplasm (). Immunohistochemistry revealed the biopsy was positive for CD138, the cytoplasm was diffusely reactive for monoclonal kappa-light chain (). Based on these findings, the posterior mediastinal mass was diagnosed as a IgG kappa type plasmacytoma.
We subsequently investigated the possibility of multiple myeloma. Laboratory tests showed an inverse albumin/globulin ratio (total protein, 10.7 g/dL; albumin, 3.0 g/dL; A/G ratio, 0.38). Serum hemoglobin, creatinine, and total calcium were 11.8 g/dL, 1.4 mg/dL, and 8.5 mg/dL, respectively. Immunofixation of serum showed monoclonal gammopathy of IgG-kappa type. In serum protein electrophoresis, the M spike level was 4.58 g/dL. Serum Ig determination revealed a markedly increased IgG level (6,993.1 mg/dL), and the level of β2-microglobulin was 3,674.2 ng/mL. On bone marrow aspiration and biopsy, plasma cells were increased up to 7.8% of all marrow nucleated cells. Those findings were consistent with monoclonal gammopathy of undetermined significance (MGUS) and insufficient for diagnostic criteria of symptomatic multiple myeloma. The patient was finally diagnosed as a posterior mediastinal plasmacytoma (IgG-kappa type). The patient was referred to the hematology department for proper treatment. This report was approved by the Ethical Review Committee.</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</si>
  <si>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t>
  </si>
  <si>
    <t>39-year-old female patient, her past medical history was marqued by truncal vagotomy and simple suture recurrent perforated gastric ulcer 15 years earlier. The history of the disease went back to one week by the installation of an abdominal pain, bloating, associated with vomiting. On clinical examination, the patient presented a slightly distended abdomen with diffuse tenderness. She had a blood pressure of 130/70 mm Hg, a pulse rate of 88 beats/min, a respiratory rate of 16 breaths/min, and body temperature of 37.3 C. Laboratory evaluation revealed a white blood cell count of 13.7 × 104/L with 80% neutrophils and hemoglobin level of 15.3 g/L. Liver and kidney function tests were normal, An abdominal CT scan was performed, which revealed a diastatic jejunal-graft occlusion on parietal thickening. Emergency laparotomy was performed. During exploration, a hard obstructing bezoar in distal ileum with a perforating lesion () and another one in the stomach were discovered. A gastrotomy was performed which allowed the extraction of the foreign gastric body bezoar () and underwent a 3 cm segmental graft resection of small bowel with terminoterminal grelo-grelic anastomosis for the second bezoar. The discharge was on the 4 th postoperative day.</t>
  </si>
  <si>
    <t>85M dementia, colon cancer and recent colectomy with primary reanastomosis  p/w melena. HCT 30 to 23 but hemodynamically stable. NGL negative.  Exam notable for Tm 99 BP 128/50 HR 70 RR 16 with sat 100 on RA. WD man, NAD. Chest clear, JVP 8cm. RR s1s2. Soft abdomen, well healed surgical scar. No edema or cord. Labs notable for WBC 7K, HCT 24, K+ 4.0, Cr 0.7.</t>
  </si>
  <si>
    <t>A 2-year-old previously healthy Sri Lankan girl presented with lower abdominal pain and low-grade fever. She is from an average Sri Lankan middle class family with no significant family history of ovarian disease and with an average socioeconomic background. She was vaccinated in concordance with the extended immunization schedule of Sri Lanka and there were no significant environmental hazards. She was seen by her general practitioner 3 days prior with postprandial vomiting with no associated diarrhea, constipation, or urinary symptoms. She was otherwise well and was not in pain. She was diagnosed as having acute gastroenteritis. On the third day of the illness, as the symptoms persisted, she was admitted to our hospital for further evaluation.
On examination, she was not in pain but noted to be bent forward while walking. She was comfortable in the seated position and was playful. An examination of her vital signs revealed that they were normal for her age with good hydration and her axillary temperature was 36.2 °C. A cardiovascular system examination revealed a pulse rate of 97 beats/minute, and blood pressure of 96/70 mmHg. Her respiratory rate was 24 breaths/minute and her oxygen saturation 100% on room air without any features suggestive of respiratory distress. The rest of the detailed examination of her cardiovascular and respiratory systems did not reveal any abnormalities. She was rational and conscious with no features suggestive of past or acute neurological deficits. On examination of her abdomen, there was guarding, which was mainly confined to the lower abdomen, equally on both sides. There were no classic clinical features such as severe tenderness on the right inguinal fossa and rebound tenderness to suggest appendicitis. There were no hepatosplenomegaly or ballotable kidneys.
Our patient’s white blood cell count was elevated to 14,700/mm3 with 53% lymphocytes and 45% leukocytes. Her hemoglobin and platelet counts were within normal limits. Her C-reactive protein concentration was 42.6 mg/l. Her urine analysis showed 30–40 white blood cells and 2–4 red blood cells. There were trace amounts of protein with significant amounts of ketone bodies. Therefore, on the day of admission, a tentative diagnosis of urinary tract infection was made and she was started on intravenous gentamicin 5 mg/kg/day. A urine culture did not grow any organisms. There was no bacterial growth in her blood culture. Renal function, liver profiles, serum electrolytes, and other basic biochemical investigation results were within normal limits.
An abdominopelvic ultrasound scan revealed a mixed but predominantly hyperechoic mass on the pouch of Douglas on her right side measuring 5 cm × 2.5 cm × 3 cm suggestive of ovarian cyst (Fig. ). Her left ovary was normal. There was no evidence of appendicitis or pyelonephritis. A magnetic resonance imaging scan of her abdomen revealed an enlarged right ovary with hemorrhages at various stages with multiple enlarged follicles within it, which was suggestive of OT (Fig. a–d). It did not show any enhancement with intravenous gadolinium.
Exploratory laparoscopy revealed a twisted gangrenous right ovary (Fig. ) following which an oophorectomy was performed as no viable ovarian tissue was noticed. Our patient recovered with no complications. Histology of the specimen revealed features suggestive of a benign ovarian torsion undergoing torsion with venous infarction.
After 36 hours, gentamicin was stopped and she was started on intravenous cefotaxime 50 mg/kg/dose every 6 hours and intravenous metronidazole 7.5 mg/kg/dose every 8 hours for 5 days.
The follow-up at 12 months revealed no complications or any other major illnesses. Her growth and development were also in concordance with the mean for her age and sex.</t>
  </si>
  <si>
    <t>A 20-month-old male presented with a 1-year history of persistent fever, cough, and progressive abdominal distention. His medical history showed that he had been diagnosed with pneumonia several times by a local physician, and was hospitalized five times and treated with intravenous antibiotics. Following each hospitalization and treatment his fever resolved, but cough persisted. His family history was not significant. He had a negative history of contact with active tuberculous and had not received the Bacillus Calmette-Guérin (BCG) vaccine.
The patient presented to our hospital upon referral for further evaluation of the underlying cause of recurrent pneumonia. Physical examination showed he was malnourished and pale; his weight was 8.2 kg (&lt;5th percentile), height was 73 cm (&lt;5th percentile), body temperature was 37°C, blood pressure was 100/60 mm Hg, and heart rate was 112 beats per min. There was no BCG scar. He was tachypneic at 56 breaths per minute and oxygen saturation was 89% on room air. His respiratory sounds were rough and anteroposterior diameter of the chest was increased. There was abdominal distention and mild hepatomegaly, without splenic enlargement. Musculoskeletal examination revealed moderate thoracic kyphosis. Initial laboratory findings were as follows: White blood cell count 22.000/μL with 26% lymphocytes and 74% polymorphonuclear leukocytes; hemoglobin 9.8 g/dL; platelet count 809.000/μL; the erythrocyte sedimentation rate 65 mm/h (normal: &lt;20 mm/h), C-reactive protein 31.5 mg/L (normal: &lt;2.9 mg/L). Serum electrolytes, renal and hepatic function test results were normal. Chest X-ray showed atelectasis and consolidation in the upper lobe of the right lung, and perihilar and pericardial infiltration in the left lung.
He was hospitalized and empirical intravenous cefepime was commenced for the non-specific treatment of pneumonia. Immunologic examinations were performed to determine the underlying cause of recurrent pneumonia. Serum quantitative immunoglobulin levels, the absolute neutrophil and lymphocyte counts, and the CH50 level were in normal range. The nitroblue tetrazolium (NBT) test result was 100%. Investigation of bone marrow smear showed no abnormalities. Thoracic computed tomography (CT) showed multiple paratracheal, precarinal, and right hilar lymph nodes, and consolidation in the middle and inferior lobes of the right lung and the inferior lobe of the left lung. Additionally, there was a 2-cm thick retroperitoneal soft tissue mass destroying the T7-8 and L1-L2 vertebral bodies, and infiltrating the spinal cord, pushing the aorta anteriorly. The mass extended from the level of bifurcation of the aorta to the bottom of the diaphragm and contained punctuate calcification. In addition to these findings, spinal MRI showed signal intensity changes in compatible with spinal cord edema, and an abscess extending to the medial fibers of the right and left psoas muscle at the L1-L3 level. Abdominal ultrasonography (USG) showed hepatomegaly and several calcifications in the liver, and widespread splenic calcifications. Tuberculin skin test (TST) was negative. Early morning gastric aspirate and urine were negative for acid-fast bacilli (AFB). We preliminarily diagnosed the patient with miliary TB and Pott's disease, and began administering antituberculous treatment consisting of isoniazid, rifampin, ethambutol, and pyrazinamide on day 11 of hospitalization.
Tru-Cut biopsy for Pott's abscess was performed on day 14 of hospitalization, and AFB analysis and mycobacterial culture of the biopsy specimen was positive, whereas PCRs of biopsy specimen were negative. Histopathological examination showed severe degeneration and necrosis of muscle fibers. Mycobacterial culture and PCR of gastric aspirate were also positive, and as such definitive diagnoses of miliary TB, tuberculous spondylitis, and tuberculous iliopsoas abscess were established. Screening of household contacts did not identify any cases of active TB. The patient's condition progressively improved; respiratory symptoms and findings resolved, and he began to gain weight during the following weeks. The patient was discharged after 28 day of anti-TB treatment. After 2 months of treatment, the anti-TB medication regimen was reduced to rifampin and isoniazid. After the 11th month of anti-TB treatment, spinal MRI findings were normal, except for angulation at the T9 level. Furthermore, thoracic CT was completely normal, but abdominal USG showed that hepatosplenic calcifications persisted. The patient completed 12 months of anti-TB therapy without any adverse effect. At the end of the anti-TB therapy all of the patient's symptoms were relieved and he was well except for kyphosis. The patient's family declined surgery to correct his kyphosis. Six years after completion of treatment, he had thoracic kyphosis, his height was under the 3 percentile. His throracic kyphosis deformity at 9 years old is demonstrated in . Control MRI in sagittal T2-weighted images revealed kyphosis at the level of T 7-8 vertebra due to the collapsed vertebral body. The signal intensity is normal as it is in chronic stage. The L1-3 vertebrae are also collapsed. No soft tissue mass consistent with abscess is observed. The signal intensity of the spinal cord is normal [].</t>
  </si>
  <si>
    <t>A 22-year-old female was admitted to the emergency room for epigastric pain that radiated to the right and left hypochondriac regions and to the back. It started 5 days before admission and was accompanied with bilious vomiting, fever, chills and gradual abdominal distention.
The patient had a history of a normal vaginal delivery to a healthy baby ten days before admission. Patient’s medications included mineral supplementary for iron deficiency anemia and intramuscular Diclofenac Sodium for analgesia after delivery. No history of smoking or Alcohol consumption was reported.
By the time of admission, the patient’s vital signs were as follows: Blood Pressure 110/70 mmHg, Heart Rate 116 beats/min, Respiratory Rate 22/min, and Temperature 39.5°C. On a scale from 0 to 10 the patient scaled her pain at (10). Abdominal examination revealed epigastric tenderness and shifting dullness. The rest of the physical examination was normal.
Laboratory tests showed elevated serum amylase level (370 U/l) so a primary diagnosis of acute pancreatitis (AP) was made and the patient was admitted to the gastroenterology department.
The abdominal ultrasound revealed an intermediate amount of ascites within the abdominal cavity. Sterile ascites paracentesis was performed, the gross appearance was turbid and the chemical laboratory tests showed: glucose: 8 mg/dl, albumin: 0.5 mg/dl, LDH: 1846 UI/dl, total protein: 0.7 mg/dl, amylase: 2700 U/L. The direct cytology examination showed budding yeasts. The initial ascitic cell count couldn’t be performed because the Neubauer Counter was covered with budding yeasts, but later analysis revealed a white cell count of (7000 cell/μl). Repeated analysis to determine the exact neutrophil count reported widely variable results due to dense budding yeasts in the examined samples. However, all the reported results had a neutrophil count of (&gt;250 cell/μl). Empirical therapy with Cefotaxime and Metronidazole was started.
Culture was performed on Blood Agar, EMB Agar and Sabouraud Dextrose Agar. Direct examination of the growth and Germ Tube Test revealed the growth of Candida. Fluconazole was added to the empirical therapy.
Because our patient was young with a normal medical history, there was a high suspicion of visceral perforation as a reason for FP, so a non-enhanced abdominal CT scan due to renal impairment was performed. It revealed an abundant ascitic fluid within the peritoneal cavity and pelvis with pneumoperitoneum around the right hepatic lobe and around the spleen. (Fig. a and b).
An emergent laparotomy was performed. A perforated gastric ulcer in the anterior aspect of the pre-pyloric region measuring (2.5 cm) was discovered (Fig. ). The perforation closure was undertaken with a Graham omental patch. Biopsies from the ulcer margins were negative for Helicobacter pylori (H. pylori). Bacterial culture of the abdominal fluid that was aspirated during surgery (after 36 hours of treatment with Fluconazole) revealed the growth of E. coli and Klebsiella with no residual sign of yeasts.
After four days of surgery, abdominal drainage fluid Amylase was 95 U/l, significantly lower than the value recorded on the day of surgery (4717 U/l).
The patient was treated with Meropenem and Linezolid along with Fluconazole for 14 days and was discharged after full recovery with a given prescription of oral Omeprazole at 20 mg twice daily and H. pylori eradication therapy.
In the follow up visits after 1–2 weeks of discharge, Clinical and radiological examination were within normal limits with well healing abdominal surgical wound.</t>
  </si>
  <si>
    <t>A previously healthy 62-year-old woman living in a rural area developed fever, headache, and fatigue starting on July 27, 2018. She also had gastrointestinal symptoms, such as anorexia, nausea, and diarrhea later, and visited a local clinic on July 30. She was prescribed antipyretic analgesics and returned home. The following day, she developed a mild consciousness disorder and visited a local clinic again accompanied by her family. She underwent a magnetic resonance imaging examination, but no abnormality was noted. However, laboratory data showed leukocytopenia, thrombocytopenia, and increased aspartate aminotransferase (AST) and creatine kinase (CK) levels. She was transported to Kagoshima University Hospital.
On admission, she had a slight disturbance of consciousness [Glasgow Coma Scale of 14: E3, V5, M6], a body temperature of 37.4 °C, a respiratory rate of 22/min, blood pressure of 109/73 mmHg, heart rate of 97/min, SpO2 of 99% (room air), normal heart and respiratory sound, no swelling of the superficial lymph nodes, crusty bite wounds in the left inguinal region, although there was no tick. Laboratory testing showed leukocytopenia (total white blood cell count of 910 cells/mm3); thrombocytopenia (platelet count of 63,000 cells/mm3); mildly elevated AST (68 U/L), lactate dehydrogenase (364 IU/L), and CK (317 U/L) levels; elevated ferritin level (1947 ng/mL); and normal CK-MB fraction (CK-MB) (4 U/L) and C-reactive protein (CRP) level (&lt; 0.02 mg/dL). A urinary general examination showed protein (4+) and occult blood (3+). Electrocardiography (ECG) and chest radiography findings were normal on the day of admission (day 1).
Because of these clinical findings, she was suspected of having SFTS and transferred to the intensive care unit. Several hours after admission, SFTSV RNA was detected in her serum samples by RT-PCR, so she was definitively diagnosed as having SFTS.
Her clinical course is shown in Fig. . Her blood pressure gradually started to decrease from day 2 evening. Fluid resuscitation (100 ml/h for 10 h; crystalloids 500 ml, colloids 500 ml) was performed until day 3 morning because hand-held ultrasound on day 2 midnight showed collapsed IVC (inferior vena cava). Then, repeat hand-held ultrasound showed recover from collapsed IVC; nevertheless, her blood pressure had not recovered and administration of low doses of dopamine and norepinephrine was started. To exclude cardiogenic shock, trans-thoracic echocardiography was performed and showed diffuse left ventricular (LV) wall motion depression (with an EF: ejection fraction of 34.4%), diffuse LV wall thickening, and small amount of pericardial effusion. Further, ECG showed ST elevation in the II, III, aVf, and V2–6 leads and a low-voltage complex in all leads (Fig. ), and the level of troponin I was elevated (120.9 ng/mL), but that of CK-MB was not. She did not have any chest symptoms. She met several diagnostic criteria for clinically suspected myocarditis [], which include unexplained cardiogenic shock, elevated level of troponin I, abnormal ECG and echocardiographic findings. In addition, she also met criteria for fulminant myocarditis [], which include acute illness (history of &lt; 2–4 weeks since the onset of symptoms), hemodynamic instability due to cardiogenic shock, and need for hemodynamic support (inotrope). Therefore, she was suspected of having fulminant myocarditis caused by SFTSV. However, we did not perform coronary angiography (CAG) or endomyocardial biopsy because thrombocytopenia and leukocytopenia greatly increased the risk of an invasive procedure. We screened for other viruses, including enterovirus, adenovirus, and influenza viruses that may cause myocarditis, but none of them were detected in nasal swab samples.
On day 5 of hospitalization, repeat echocardiography showed further LV dysfunction (with an EF of 27.9%), diffuse LV wall thickening (septum/posterior wall: 14.7 mm/13.5 mm), and narrowing of the left ventricular cavity (Fig. ). On the basis of these results, administration of low doses of dobutamine and milrinone was added. On day 6 of hospitalization, repeat echocardiography showed cardiac tamponade findings of the dilated IVC without respiratory variations and right ventricular diastolic collapse (Fig. ). However, no surgical pericardial puncture was performed, because there was no safe puncture space and a circulation agonist was able to maintain blood pressure. After that, echocardiography showed steady improvement of LV function (EF) and wall thickness, the urine output also continued to increase and the water balance gradually leaned toward negative as a result (Fig. ). Additionally, the pericardial effusion gradually decreased and the cardiac tamponade findings naturally disappeared. On day 11 of hospitalization, her mild disturbance of consciousness from admission had improved, and she no longer needed a circulatory agonist. On day 13 of hospitalization, ECG showed improvement of ST elevation in the II, III, aVf, and V2–6 leads. She was eventually transferred to a general ward on the same day. On day 17 of hospitalization, repeat echocardiography showed normal LV function (with an EF of 70.3%) and wall thickness (septum/posterior wall: 8.9 mm/9.4 mm) (Fig. ).
On day 20 of hospitalization, laboratory testing and ECG showed no abnormal findings. After exercise rehabilitation, she was discharged home on day 28 of hospitalization.
She had no history of cardiac diseases, allergy, or use of drugs that may cause myocarditis. During 28 days of hospitalization, CRP and bacterial culture were always negative, and there was no evidence of eosinophil elevation. Viruses, other than SFTSV, were not detected by virus isolation test. Based on these results, she was clinically diagnosed as having fulminant myocarditis caused by SFTSV.</t>
  </si>
  <si>
    <t>A 57-year-old lady was brought to the ED by family with complaints of severe generalized body weakness, confusion, difficulty walking, achiness in legs, numbness in extremities, dizziness, nausea, vomiting, abdominal pain, constipation and occasional palpitations. Patient had total parathyroidectomy and partial thyroidectomy three weeks ago for primary hyperparathyroidism caused by parathyroid adenomas. Serum calcium level at the referring facility was 21 mg/dL. EKG showed prolonged QTc of 476 ms and nonspecific ST-T wave changes, she denied chest pain and troponin levels were &lt;0.015. At the time of admission in our facility, her vital signs were temperature 97.9 F, heart rate 87 bpm, respiratory rate 16/min and blood pressure 163/67 mmHg. She was alert and oriented, had normal reflexes through symmetrically decreased muscle strength in all four extremities with mild generalized abdominal tenderness. Rest of the physical exam was unremarkable. Patient’s initial laboratory values showed white blood cell (WBC) count of 15.5 k/mm3, hemoglobin (Hb) of 15.6 gm/dL, platelet count of 370 k/mm3, creatinine of 1.9 mg/dL (baseline was 0.8), BUN of 45 mg/dL, eGFR of 27 mL/min (baseline eGFR &gt;60 mL/min), bicarbonate of 33 mEq/L, chloride of 94 mEq/L, potassium of 2.5 mEq/L, sodium of 135 mEq/L, total calcium of 23 mg/dL with ionized calcium of 12.03 mg/dL, phosphate of 1.3 mg/dL and PTH of 0. Her 25 hydroxyvitamin D level was 61 ng/mL (normal 30-100 ng/mL) and 1-25 hydroxyvitamin D3 level was 31 pg/ml (normal 18-72 pg/mL) (Table ).
When asked about medication history, patient reported 3 g calcium carbonate intake daily, calcitriol 0.5 mcg twice daily, cholecalciferol (vitamin D3) 10,000 units once daily, chlorthalidone 25 mg once daily and irbesartan 300 mg once daily. Her diet included a glass of milk after each meal. As explained earlier, a diagnosis of CATS was made, and treatment was started. It was obvious from history that hypercalcemia was due to excessive calcium intake so calcium, vitamin D supplements and chlorthalidone were stopped. Irbesartan contributing to AKI was also stopped. Aggressive hydration was instituted with intravenous (IV) normal saline 150-200 mL/hour with 4L given in the first 24 hours. Furosemide 40 mg twice daily was also started. Patient didn’t require calcitonin. Due to the anticipated serious risk of late hypocalcemia owing to parathyroidectomy, bisphosphonates were not considered. Patient improved clinically and her symptoms resolved, she was discharged on hospital day 5, with total calcium level reduced to 10.3 mg/dL and ionized calcium to 5.77 mg/dL. Her creatinine levels were close to baseline at 1.4 mg/dL on the day of discharge.</t>
  </si>
  <si>
    <t>A 30-year-old male with no medical history was admitted to the nearby hospital with a worsening cough and low-grade fever that had persisted for a month. Chest computed tomography (CT) revealed an abscess in the left lower lobe of his lung, and clinical laboratory tests showed elevated white blood cells of 13,200/μl (normal range, 4000–8000/μl) and C-reactive protein of 5.97 mg/dl (normal range, &lt; 0.40 mg/dl). Treatment with sulbactam/ampicillin was initiated. Since no improvements were confirmed by the imaging and laboratory findings, antimicrobial treatment was changed to tazobactam/piperacillin on day 3 post admission, and was subsequently changed to meropenem (MEPM) on day 25 post admission. Treatment with voriconazole (VRCZ) was added on day 17 post admission because his β-D-glucan level reached to 123 pg/ml (normal range, &lt; 20 pg/ml). However, it was discontinued 8 days later. Transbronchial biopsy and bronchoalveolar lavage performed to assess the mass did not detect malignancy or significant levels of bacteria, including mycobacteria and fungi. On day 27, the patient was referred to our tertiary center for further examination and treatment by specialists in respirology and infection and potential thoracic surgery. Since the definitive diagnosis could not be made, the patient was transferred to our hospital for further examination and treatment on day 27.
On admission, his vital signs were as follows: a body temperature of 36.6 °C, blood pressure of 120/66 mmHg, heart rate of 84 beats per minute, and a respiratory rate of 12 breaths per minute. The arterial oxygen saturation measured via pulse oximetry was 98% in the examination room. A physical examination including respiratory sound revealed no significant finding. Clinical laboratory tests showed that the patient had elevated C-reactive protein levels of 15.56 mg/dl (normal range, &lt; 0.40 mg/dl) and his Aspergillus antigen test was positive (cut-off index of 3.5). Human immunodeficiency virus antibody and interferon-gamma releasing assay were negative. In addition, the β-D-glucan level decreased to a normal range (14.7 pg/ml). Chest X-ray and contrast-enhanced CT were performed on admission. Chest X-ray showed an infiltrative shadow in the left lower lung field (Fig. ), and CT showed a massive lesion in the left lower lobe of the lung, emphysematous changes, ectatic bronchi, and a nodular lesion that was thought to contain a mucoid impaction within its lingular segment. The bronchus was disrupted proximal to the mass lesion of the left lower lobe (Fig. a–c). Consequently, bronchial atresia in the inferior and anterior basal segments of the left lung was suspected based on imaging findings. Since the presence of a malignant lesion could not be excluded, bronchoscopy was performed on day 2 after transfer to our hospital. An endobronchial ultrasound-guided transbronchial needle aspiration was performed on the small mass lesion near the left second carina (Fig. d). The disrupted bronchus could not be confirmed via bronchoscopy because the disrupted site was located too peripherally. Histopathological analyses revealed no malignant findings, but presence of a filamentous fungus was indicated in Grocott staining (Fig. ). Although cultures did not detect any microorganisms, based on these findings, a lung abscess due to Aspergillus spp. was suspected. Therefore, VRCZ was reintroduced on day 9 after transfer. To perform treatment and confirm the suspected diagnosis of a lung abscess due to an Aspergillus infection, the patient underwent surgical resection of the lingular and basal segments of the left lung on day 22 after transfer. The abscess formation was macroscopically confirmed (Fig. ), and histopathological examination revealed emphysematous changes and ectatic bronchi within the lingular and left basal segments (Fig. a, b). These findings were compatible with bronchial atresia [], and no malignant lesions were confirmed. Although histopathological analyses did not reveal filamentous fungus, a tissue culture resulted in A. fumigatus growth. MEPM and intravenous VRCZ were continued for a total of 4 weeks and 3 weeks, respectively, and the patient was discharged on day 32 after transfer with continuing oral treatment with VRCZ. VRCZ was discontinued 5 months after the initiation of treatment because of poor medication compliance and the side effect of alopecia, and subsequent recurrence of the infection has not been confirmed.</t>
  </si>
  <si>
    <t>QTc Fridericia Calculator</t>
  </si>
  <si>
    <t>Using the Fridericia Formula for corrected QT interval, what is the patient's corrected QT interval in terms of msec?</t>
  </si>
  <si>
    <t>Patient has a heart rate of 118 bpm and a QT interval of 330 msec.</t>
  </si>
  <si>
    <t>Patient has a heart rate of 150 bpm and a QT interval of 330 msec.</t>
  </si>
  <si>
    <t>Patient has a heart rate of 117 bpm and a QT interval of 330 msec.</t>
  </si>
  <si>
    <t>Patient has a heart rate of 45 bpm and a QT interval of 330 msec.</t>
  </si>
  <si>
    <t>Patient has a heart rate of 89 bpm and a QT interval of 330 msec.</t>
  </si>
  <si>
    <t>Patient has a heart rate of 170 bpm and a QT interval of 330 msec.</t>
  </si>
  <si>
    <t>Patient has a heart rate of 164 bpm and a QT interval of 330 msec.</t>
  </si>
  <si>
    <t>Patient has a heart rate of 157 bpm and a QT interval of 330 msec.</t>
  </si>
  <si>
    <t>Patient has a heart rate of 87 bpm and a QT interval of 330 msec.</t>
  </si>
  <si>
    <t>Patient has a heart rate of 53 bpm and a QT interval of 330 msec.</t>
  </si>
  <si>
    <t>Patient has a heart rate of 173 bpm and a QT interval of 330 msec.</t>
  </si>
  <si>
    <t>Patient has a heart rate of 111 bpm and a QT interval of 330 msec.</t>
  </si>
  <si>
    <t>Patient has a heart rate of 54 bpm and a QT interval of 330 msec.</t>
  </si>
  <si>
    <t>Patient has a heart rate of 148 bpm and a QT interval of 330 msec.</t>
  </si>
  <si>
    <t>Patient has a heart rate of 62 bpm and a QT interval of 330 msec.</t>
  </si>
  <si>
    <t>Patient has a heart rate of 109 bpm and a QT interval of 330 msec.</t>
  </si>
  <si>
    <t>QTc Framingham Calculator</t>
  </si>
  <si>
    <t>Using the Framingham Formula for corrected QT interval, what is the patient's corrected QT interval in terms of msec?</t>
  </si>
  <si>
    <t>Patient has a heart rate of 81 bpm and a QT interval of 330 msec.</t>
  </si>
  <si>
    <t>Patient has a heart rate of 163 bpm and a QT interval of 330 msec.</t>
  </si>
  <si>
    <t>Patient has a heart rate of 74 bpm and a QT interval of 330 msec.</t>
  </si>
  <si>
    <t>Patient has a heart rate of 179 bpm and a QT interval of 330 msec.</t>
  </si>
  <si>
    <t>Patient has a heart rate of 104 bpm and a QT interval of 330 msec.</t>
  </si>
  <si>
    <t>Patient has a heart rate of 115 bpm and a QT interval of 330 msec.</t>
  </si>
  <si>
    <t>Patient has a heart rate of 61 bpm and a QT interval of 330 msec.</t>
  </si>
  <si>
    <t>Patient has a heart rate of 91 bpm and a QT interval of 330 msec.</t>
  </si>
  <si>
    <t>Patient has a heart rate of 124 bpm and a QT interval of 330 msec.</t>
  </si>
  <si>
    <t>Patient has a heart rate of 76 bpm and a QT interval of 330 msec.</t>
  </si>
  <si>
    <t>Patient has a heart rate of 55 bpm and a QT interval of 330 msec.</t>
  </si>
  <si>
    <t>QTc Hodges Calculator</t>
  </si>
  <si>
    <t>Using the Hodges Formula for corrected QT interval, what is the patient's corrected QT interval in terms of msec?</t>
  </si>
  <si>
    <t>Patient has a heart rate of 130 bpm and a QT interval of 330 msec.</t>
  </si>
  <si>
    <t>Patient has a heart rate of 167 bpm and a QT interval of 330 msec.</t>
  </si>
  <si>
    <t>Patient has a heart rate of 161 bpm and a QT interval of 330 msec.</t>
  </si>
  <si>
    <t>Patient has a heart rate of 77 bpm and a QT interval of 330 msec.</t>
  </si>
  <si>
    <t>Patient has a heart rate of 135 bpm and a QT interval of 330 msec.</t>
  </si>
  <si>
    <t>Patient has a heart rate of 63 bpm and a QT interval of 330 msec.</t>
  </si>
  <si>
    <t>Patient has a heart rate of 171 bpm and a QT interval of 330 msec.</t>
  </si>
  <si>
    <t>Patient has a heart rate of 122 bpm and a QT interval of 330 msec.</t>
  </si>
  <si>
    <t>Patient has a heart rate of 151 bpm and a QT interval of 330 msec.</t>
  </si>
  <si>
    <t>Patient has a heart rate of 71 bpm and a QT interval of 330 msec.</t>
  </si>
  <si>
    <t>Patient has a heart rate of 58 bpm and a QT interval of 330 msec.</t>
  </si>
  <si>
    <t>Patient has a heart rate of 103 bpm and a QT interval of 330 msec.</t>
  </si>
  <si>
    <t>Patient has a heart rate of 108 bpm and a QT interval of 330 msec.</t>
  </si>
  <si>
    <t>Patient has a heart rate of 143 bpm and a QT interval of 330 msec.</t>
  </si>
  <si>
    <t>QTc Rautaharju Calculator</t>
  </si>
  <si>
    <t>Using the Rautaharju Formula for corrected QT interval, what is the patient's corrected QT interval in terms of msec?</t>
  </si>
  <si>
    <t>Patient has a heart rate of 178 bpm and a QT interval of 330 msec.</t>
  </si>
  <si>
    <t>Patient has a heart rate of 99 bpm and a QT interval of 330 msec.</t>
  </si>
  <si>
    <t>Patient has a heart rate of 79 bpm and a QT interval of 330 msec.</t>
  </si>
  <si>
    <t>Patient has a heart rate of 106 bpm and a QT interval of 330 msec.</t>
  </si>
  <si>
    <t>Patient has a heart rate of 83 bpm and a QT interval of 330 msec.</t>
  </si>
  <si>
    <t>Patient has a heart rate of 105 bpm and a QT interval of 330 msec.</t>
  </si>
  <si>
    <t>Body Surface Area Calculator</t>
  </si>
  <si>
    <t>What is the patient's body surface area? Please output your answer in terms of m².</t>
  </si>
  <si>
    <t>A 39-year-old man presented with abdominal pain and jaundice and was diagnosed with cholecystolithiasis. He had a 16-year history of organic psychiatric disorder induced by a large hematoma and contusion of the brain following injury in a traffic accident. Because of delusions of persecution and severe irritability, the patient was treated with several antipsychotics and mood stabilizers, including zotepine (400 mg/day for 6 years), risperidone (12 mg/day for 8 years), paliperidone (12 mg/day for 3 years), olanzapine (20 mg/day for 8 years), and lithium (1200 mg/day for 6 years). His serum lithium concentration ranged from 0.75 to 1.35 mEq/mL.
The patient’s clinical course is shown in Fig. . At admission, the patient’s height was 176.1 cm and his body weight was 77.1 kg. His blood pressure was 136/102 mmHg and his pulse rate was 111 beats per minute. His body temperature was 37.6 °C on admission (Day 1). Laboratory examinations on Day 2 revealed a white blood cell count of 11,480/mL (range 3500–8500), C-reactive protein of 2.89 mg/dL (range 0.00–0.30), aspartate transaminase of 130 U/L (range 13–33), alanine transaminase of 245 U/L (range 8–42), alkaline phosphatase of 692 U/L (range 115–359), lactate dehydrogenase of 230 U/L (range 119–229), total bilirubin of 6.3 mg/dL (range 0.3–1.2), γ-glutamyltransferase of 348 U/L (range 10–47), amylase of 128 U/L (range 37–125), serum creatinine of 0.92 mg/dL (range 0.6–1.1), urea nitrogen of 5 mg/dL (range 8–22), serum sodium of 156 mmol/L (range 138–146), serum potassium of 3.7 mmol/L (range 3.6–4.9), and serum chloride of 114 mmol/L (range 99–109).
Because the patient’s polyuria was &gt; 4000 mL/day, he received 3200 mL/day of 5% glucose perioperatively (Days 6–12). However, his serum sodium levels remained between 150 and 160 mmol/L. Plasma and urine osmolality were 318 mOsm/L and 141 mOsm/L, respectively, while the serum arginine vasopressin level was 6.4 pg/mL (range 0.0–3.8). Desmopressin was ineffective, resulting in a diagnosis of NDI. Nine days after admission (Day 9), laparoscopic cholecystectomy was performed. We gradually withdrew lithium starting on Day 15 because it was the suspected cause of NDI. Lithium was completely discontinued on Day 19. Urine volume increased further to a maximum of 10,000 mL/day. Because the patient had free water excretion resulting from NDI and we wanted to avoid excessive glucose to prevent diabetes mellitus, rehydration therapy with xylitol infusion was initiated. A maximum of 10,000 mL/day of 5% xylitol was administered for 8 days (Days 13–20).
The patient’s serum lithium concentration was 0.89 mEq/mL on Day 15. He developed lethargy on Day 19, although laboratory examinations showed no remarkable change (serum creatinine = 1.05 mg/dL, urea nitrogen = 8 mg/dL, serum sodium = 152 mmol/L). His consciousness level declined and his Glasgow Coma Scale (GCS) score was 6 points (E4V1M1) with metabolic acidosis on Day 20. The patient did not show meningeal signs, involuntary movements, or generalized tonic–clonic seizures. He had decreased muscle tension/tonus and deep tendon reflexes but showed jaw jerk reflex and snout reflex; a brainstem lesion was suspected. The patient maintained spontaneous breathing.
Arterial blood gas testing without oxygen therapy on Day 20 showed the following: fraction of inspired oxygen 0.21 (room air), pH 7.28 (range 7.36–7.44), carbon dioxide partial pressure = 14.7 (range 35.0–45.0), partial pressure of oxygen in arterial blood = 117.0 (range 75.0–95.0), hydrogen carbonate ion = 6.7 (range 22.0–28.0), and base excess = − 18.7 (range 23.0–27.0). Laboratory examinations revealed the following: serum creatinine = 1.58 mg/dL, urea nitrogen = 9 mg/dL, serum sodium = 155 mmol/L, serum potassium = 3.5 mmol/L, and serum chloride = 125 mmol/L. Computed tomographic and magnetic resonance imaging on Day 20 revealed brain edema but no cerebral herniation or findings of osmotic demyelination syndrome. Continuous hemodiafiltration (CHDF) was temporarily performed from Days 20 to 23, which corrected the patient’s metabolic acidosis. His consciousness level improved and his GCS rose to 12 points (E4V3M5) by Day 23. At that time, the patient showed normal brain stem reactions and deep tendon reflexes. He responded to a handshake. His serum lithium concentration was 0.05 mEq/mL on Day 22. However, his urine volume remained at approximately 3000 mL/day, serum sodium remained in the 150 mmol/L range, and serum creatinine increased to 4.74 mg/dL on Day 26. Urinalysis showed no remarkable findings throughout the examination period.
The patient’s serum sodium was in the high 140 mmol/L range and his creatinine level was near 1.5 mg/dL on Day 50. However, polyuria and polydipsia of approximately 4000 mL/day persisted. Renal biopsy on Day 60 showed deposition of double-refractive crystals in the cortical renal tubules. Tubular atrophy, macrophage and lymphocyte infiltration, and interstitial fibrosis were observed in parts of the tubulointerstitium. Decreased expression of water channel aquaporin-2 (AQP2) was observed in the cortical and medullary renal tubules (Fig. ); no urinary AQP2 was detected on ELISA (Human Aquaporin 2 ELISA Kit, Otsuka Pharmaceutical Co., Ltd., Tokyo, Japan). The diagnosis was lithium-induced NDI and cerebrorenal oxalosis induced by excess xylitol infusion.
Laboratory examinations on Day 80 revealed the following: serum creatinine = 1.25 mg/dL, urea nitrogen = 7 mg/dL, serum sodium = 147 mmol/L, plasma osmolality = 297 mOsm/L, and urine osmolality = 106 mOsm/L. The patient was discharged 82 days after admission; his thirst gradually decreased to 1500 to 2000 mL of water per day by 2 months after discharge. Urinary AQP2 levels increased to 1.14 ng/mg/g of creatinine and serum creatinine decreased to a low of 0.90 mg/dL. However, plasma and urine osmolality were 292 mOsm/L and 62 mOsm/L, respectively, 4 months after discontinuing lithium. The patient has had serum creatinine levels of approximately 1.2 mg/dL since that time.</t>
  </si>
  <si>
    <t>A 44-year-old woman was referred to our hospital on May 2009 due to an abnormal chest X-ray finding. She had a chest X-ray before a gastrofibroscopy at a local hospital. There were multiple rib fractures (). For further evaluation, she had a chest computed tomography (CT) scan done before visiting our hospital. The chest CT revealed multiple sclerotic masses with bone destruction in both hemithoraxes (right 2nd, 4th, 5th, 6th, 7th, and 10th ribs, left 2nd, 4th, 7th, 8th, and 9th ribs) of variable size (). Initially she was admitted to the pulmonology department to rule out bony metastases from a cancer of unknown origin. She had taken the bone densitometry of the L1-L4 lumbar spine by dual energy X-ray absorptiometry (DXA), at the local department of gynecology 1.5 years ago. The result of bone mineral density (BMD) was 0.726 g/cm2 and the average T-score of the L1-L4 lumbar spine was -2.6. The average Z-score of the L1-L4 lumbar spine was -2.0. Therefore, she was taking calcium, vitamin D supplements and hormone replacement therapy for osteoporosis. She also had a conization in 2002 due to squamous cell carcinoma in situ at the uterine cervix and thereafter received a total hysterectomy in 2005 due to uterine leiomyoma. She had no alcohol drinking or smoking history. There were no abnormal findings in her family history. Also, she had no trauma history. She did not have moon face, buffalo hump, or abdominal straie. She didn't have any pain on her ribs. On the physical examination, there wasn't tenderness around fracture sites. Her height and weight were 153 cm and 53 kg, respectively, with a body mass index (BMI) of 22 kg/m2. Her waist measurement was 83 cm, and she had experienced no recent weight changes. Her blood pressure was 140/80 mmHg with a pulse of 96 beats/min, a respiratory rate of 20 breaths/min, and a body temperature of 36.8℃. On the blood test, the leukocyte, hemoglobin, and platelet counts were 8,900/mm3 (neutrophils 85.9%, lymphocyte 8.4%, monocyte 5.7%), 14.9 g/dL, and 184,000/µL, respectively. Fasting glucose, albumin, aspartate aminotransferase, alanine aminotransferase, alkaline phosphatase, and creatinine were 93 mg/dL, 4.0 g/dL, 45 IU/L, 81 IU/L, 49 IU/L, and 0.56 mg/dL, respectively. Total calcium and phosphate were 10.5 mg/dL and 3.5 mg/dL, respectively. In addition, serum intact parathyroid hormone (PTH) was 35.6 pg/mL (normal range, 13-54 pg/mL).
To evaluate the patient for metastatic cancer, a bone biopsy was performed at the right 6th rib posterior arc in the pulmonology department. Also a bone scan and the bone densitometry of the L1-L4 lumbar spine and an abdominal CT were performed. Fragmented bony particles with small amounts of marrow tissue were observed in the biopsy tissue.
There were no cancer cells nor cytokeratin (CK)-positive epithelial cells on immunohistochemical staining. There was no cancerous lesion in abdomen CT, except a left adrenal incidentaloma, a well-marginated soft tissue mass 25 mm in diameter, was found (). On the bone scan, multi-focal increased uptake was observed in both ribs, suggesting non-traumatic micro-fractures caused by osteoporosis (). The average BMD, T-score and Z-score of the L1-L4 lumbar spine was 0.761 g/cm2, -2.1 and -1.7, respectively. Therefore, an endocrine cause of osteoporotic fracture was suspected, and a hormonal study for adrenal incidentaloma was performed. Free cortisol in the urine and 17-hydroxycorticosteroid were 580.4 µg/day (normal range, 20-90 µg/day) and 12.93 mg/day (normal range, 3-15 mg/day), respectively. A low-dose dexamethasone suppression test showed that the serum adrenocorticotrophic hormone level was 1.4 pg/mL (normal &lt;130 pg/mL), the basal cortisol was 26.3 µg/dL and the cortisol on the 3rd day was 35.4 µg/dL (normal, 3-6 µg/dL). Cortisol was not suppressed. Finally, she was diagnosed with Cushing's syndrome due to the left adrenocortical adenoma. A laparoscopic left adrenalectomy was performed in June 2009. A month after the laparoscopic left adrenalectomy, 24-hr urine free cortisol was checked, and was below 1.8 µg/day. A bone scan taken 1 year after the operation showed decreased multifocal uptake in the bilateral ribs () and the patient's BMD improved gradually, reaching 0.822 g/cm2 in 2012 (). Also, the average T-score and Z-score of the L1-L4 lumbar spine improved, reaching -1.6 and -1.0, respectively. Currently, she is being regularly followed-up and taking calcium and vitamin D for osteopenia.</t>
  </si>
  <si>
    <t>Patient has a heart rate of 52 bpm and a QT interval of 330 msec.</t>
  </si>
  <si>
    <t>Patient has a heart rate of 180 bpm and a QT interval of 330 msec.</t>
  </si>
  <si>
    <t>Case 1. The first patient was a 55-year-old woman with a height of 146 cm and weight of 42 kg. She was diagnosed with a right renal mass of about 63 × 58 × 62 mm in the lower pole of the right kidney. Laparoscopic right nephrectomy under general anesthesia was planned. Her preoperative electrocardiogram, chest X-ray, and laboratory parameters were within the normal range.
In the operating room, the patient’s blood pressure was 170/100 mmHg, heart rate was 80 beats/minute, and pulse oxygen saturation (SpO2) was 98%. The left internal jugular vein and left radial artery were accessed for monitoring. Standard induction was performed. The ventilation mode was volume-controlled ventilation with a tidal volume of 8 mL/kg, respiratory rate of 12 breaths/minute, and inspired oxygen fraction of 50% with no positive end-expiratory pressure. The patient was then placed in the left lateral recumbent position. Her PETCO2 before the introduction of CO2 pneumoperitoneum was 37 mmHg, and her SpO2 was 100%.
TEE (Vivid E95; GE Healthcare, Chicago, IL, USA) examination revealed no abnormality. Trocars were placed in the abdominal cavity at three sites (the navel, the subcostal margin at the midline of the clavicle, and the intersection of the anterior axillary line and level of the navel). The CO2 pneumoperitoneum was established at a pressure of 15 mmHg. Ten minutes after the introduction of CO2 pneumoperitoneum, while the surgeons were dissecting the perirenal fat without significant bleeding, TEE showed a sudden increase in small gas bubbles in the RA and small bubbles in the RV. The patient was immediately placed in the Trendelenburg position. About 8 minutes later, TEE showed a large amount of gas bubbles in the left atrium, left ventricle, ascending aorta, and pulmonary artery (). At the same time, the PETCO2 began to fall to 20 mmHg from 37 mmHg, and this decrease lasted for 20 minutes. There were no changes in the patient’s pulse, blood pressure, SpO2, or electrocardiogram parameters.
We quickly increased the fraction of inspired oxygen to 100%. Arterial blood gas analysis revealed a pH of 7.27, arterial oxygen pressure of 161 mmHg, arterial CO2 pressure of 65 mmHg, and lactic acid concentration of 2.4 mmol/L. After communication with the surgeon, the pneumoperitoneum pressure was reduced to 10 mmHg. Meanwhile, gas bubbles could still be seen in the whole heart, the hepatic vein, and the IVC (). There was no regional wall motion abnormality, and the RV was normal. Color ultrasonography showed no defect in the atrial septum or ventricular septum and no patent foramen ovale (PFO).
Nine hours after the operation, the patient exhibited slurred speech and developed an epileptiform seizure in the ward. After the seizure, the muscle strength of both limbs was weakened. The blood myoglobin and lactic acid concentrations were increased. However, a computed tomography scan showed no obvious infarction or hemorrhage. Postoperative transthoracic echocardiography was performed by an independent ultrasound physician, who confirmed that there was no defect in the atrial septum or ventricular septum and no PFO.</t>
  </si>
  <si>
    <t>The 29-year-old male patient is the first child of healthy unrelated Lithuanian parents. The proband was born at full term. Psychomotor development of the proband was delayed. He attended a regular school until the age of 16 years and was further educated in a professional school. An IQ evaluation at the age of 20 showed a score of 69. At his latest evaluation at the age of 29 years, his height was 164 cm, his weight was 85 kg, his BMI was 31 kg/m2, and the circumference of his head was 60 cm (90 centile). Other anthropometric measurements were thus: total upper limb length of 66 cm, upper arm length of 35 cm, forearm length of 25 cm, hand length of 15 cm, palm length of 8.5 cm, middle finger length of 6.5 cm, total lower limb length of 87 cm on the left and 86 cm on the right, thigh length of 42 cm on both sides, calf length of 45 cm on the left and 44 cm on the right, and feet length of 23 cm. The patient has minor facial anomalies (Fig. ), including flat face, sloping forehead with prominent supraorbital ridges, sparse and broad brows, depressed nasal ridge, short nose, long philtrum, and malar hypoplasia. Additionally, dental malocclusion, parodontosis, red and sparse scalp hair, male pattern baldness, and short neck are apparent. The patient is overweight and has limited elbow extension, brachydactyly of both hands, short rectangular nails, a single palmar crease, valgus deformation of the knees, brachydactyly of toes II–V of both feet, short rectangular toenails, and relative hyperplasia of the halluces (Fig. ). The patient complained of premature tiredness, excessive perspiration, and poor fine motor function. He has primary arterial hypertension, and a cardiac ultrasound showed a mitral valve prolapse. An ophthalmological examination revealed hypermetropia. Hormonal screening was remarkable for elevated levels of serum PTH (13.9 pmol/l (n = 1.6–7.3 pmol/l)) and somatotropin (12.2 mIU/l (n &lt; 9.0 mIU/l)). Elevated PTH levels were probably secondary to vit. D deficiency. TSH, T3, T4, FSH, LH, testosterone, cortisole and ACTH were within normal limits. 25-OH vitamin D was 51.4 nmol/l (n = 75–100 nmol/l), serum calcium was 2.58 mmol/l (n = 2.10–2.55 mmol/l), serum phosphorus 0.82 mmol/l (n = 0.74–1.52 mmol/l), serum glucose was 6.09 mmol/l (n = 4.2–6.1 mmol/l). The glucose tolerance test was normal. The ultrasound of the thyroid gland and MRI scan of the hypophyseal gland showed no abnormalities. The X-ray of the hands showed very short and broad tubular bones. Metacarpals II–V are proximally pointed. Coning of phalanges are present in the middle and proximal phalanges of the second to fifth fingers. There is relative sparing of the thumb. The metatarsal bones and phalanges are markedly shortened and there is disproportionate plumpness of the tubular bones of the hallux (Fig. ). Considering all clinical features and physical examination results, the diagnosis of acrodysostis type 2 was assigned for our proband.
To identify DNA sequence variants in the gene PDE4D and analyze segregation, Sanger sequencing was conducted for the proband and his parents. Phenol-chloroform-isoamyl alcohol extraction method was used to isolate genomic DNA from peripheral blood of all three patients. The PDE4D exons 2, 3, 6, 7, 13, 15 were amplified by PCR with specific primers (designed using the Primer Blast software, NCBI, USA) and sequenced in the DNA sample of the proband. PDE4D exon 2 was amplified and sequenced in the parents’ DNA samples to investigate inheritance pattern of the identified variant. Target PCR products from all three individuals were sequenced with BigDye® Terminator v3.1 Cycle Sequencing Kit (Applied Biosystems, USA) and the capillary electrophoresis was carried out with ABI3130xl Genetic Analyser (Applied Biosystems, USA). Sanger sequencing results were analysed with Sequence Analysis v5.1 software (Applied Biosystems, USA). The reference sequence of the PDE4D gene (NCBI: NM_001104631.2) was used for aligning the obtained sequences. Primers and PCR conditions are available from the authors upon request. The pathogenicity of identified DNA sequence variant was evaluated by using several bioinformatics tools: SIFT (), PolyPhen-2 (), MutationTaster2 (), PROVEAN (). PDE4D nucleotide sequence conservation analysis was performed using multiple sequence alignment tool Clustal Omega (EMBL-EBI, ).
Heterozygous missense variant NM_001104631.2:c.581G &gt; C (NP_001098101.1:p.(Arg194Pro)) located in exon 2 of the gene PDE4D was detected in the proband’s DNA sample by Sanger sequencing. Family segregation analysis of the identified variant revealed it’s de novo occurrence. Different in silico tools predicted this variant to be likely pathogenic: SIFT damaging (0,00), PolyPhen-2 (0,99), MutationTaster2 disease causing (0,99), PROVEAN deleterious (− 5,60). The pathogenicity of detected variant was classified according to the guidelines proposed by American College of Medical Genetics and Genomics [].</t>
  </si>
  <si>
    <t>Patient has a heart rate of 158 bpm and a QT interval of 330 msec.</t>
  </si>
  <si>
    <t>A 73-year-old male (height, 158 cm; weight, 62 kg) was referred by the cardiology department to the rehabilitation department because of a 3-week history of left foot drop. He also complained of numbness and a tingling sensation on the left lateral side of the lower leg and dorsum of the foot. At the time of referral, the left leg and foot were soft and non-tender. Only the right dorsalis pedis was pulsatile, but not on the left side. Pain in the left lateral lower leg and dorsum of foot was scored 3/10 on the Numeric Pain Rating Scale. The Medical Research Council scale for weakness showed the following grades (right/left): hip extension 5/5, knee flexion 5/5, ankle dorsiflexion 5/1, and hallucis extension 5/1. He had no lower back pain and the straight leg raise reached 80° on both sides. A positive Tinel's sign behind the fibular neck on the left side was noted. In a nerve conduction study, there was no compound motor action potential in the left deep peroneal nerve on the left extensor digitorum brevis or tibialis anterior muscle recordings, and no evoked sensory nerve action potential in the left superficial peroneal nerve (). Needle electromyography showed abnormal spontaneous activity at rest and no motor unit action potential activity in the left tibialis anterior, peroneus longus, and peroneus brevis muscles (). Computed tomography (CT) angiogram showed proximal occlusion of the left anterior tibial artery (ATA) () without any abnormal findings of the soft tissue. This led to a diagnosis of left common peroneal neuropathy due to occlusion of the left ATA. The patient was treated with oral warfarin.
The patient's medical history was reviewed. He did not have diabetes mellitus. He received a mitral valve replacement 5 years ago due to mitral stenosis, and echocardiography showed a moderate degree of aortic stenosis and regurgitation. In addition, he had complete atrioventricular block and valvular atrial fibrillation; and had a pacemaker inserted three years prior to referral. However, he had been prescribed only an antiplatelet agent because of a history of cerebellar intracranial hemorrhage 2 years previously.
Approximately 4 weeks prior to referral, he visited another hospital suffering from chest pain, and received percutaneous coronary angiography which took about 30 minutes. After percutaneous coronary angiography, he received conservative care in a general ward, without any physical restrain or requirement for absolute bed rest. He could ambulate the ward with only minimal assistance. Some days later, he complained of left leg weakness and a brain CT was performed to rule out an acute brain lesion. Magnetic resonance imaging (MRI) was contraindicated because of the cardiac pacemaker. The brain CT showed a subacute ischemic lesion in the right posterior temporal region but it did not clinically correlate with the weakness. Although he complained of foot drop and paresthesia, there were no symptoms of anterior compartment syndrome such as tenderness, redness or swelling of low leg. No deep vein thrombosis or abnormal findings of soft tissues were found upon ultrasonography of the left leg. After improvement of the chest pain, he was discharged home. Two weeks later he was admitted to the cardiology department in the present hospital due to chest pain, and was referred to the rehabilitation department. After diagnosis of the left common peroneal neuropathy and improvement of the chest discomfort with conservative therapy, he was transferred and received rehabilitation.</t>
  </si>
  <si>
    <t>Patient has a heart rate of 176 bpm and a QT interval of 330 msec.</t>
  </si>
  <si>
    <t>A 54-year-old man, with a history of type 2 diabetes mellitus, poorly controlled chronic hypertension, and chronic kidney disease on hemodialysis, was evaluated for a one-month history of a painful, non-mobile, subcutaneous nodule within the inferior and medial aspect of his right breast. The patient also complained of general pruritus but no malaise, joint pain or muscle pain. Body temperature, respiration, and pulse were normal. His blood pressure was elevated at 182/94 mm Hg. His body height, body weight, and body mass index were 165 cm, 52 kg, and 19.1, respectively.
On physical examination, a firm, superficial, erythematous nodule measuring approximately 1 × 2 cm was noted within the lower, inner quadrant of the right breast. There was no nipple discharge, history of trauma, or cancer history. Given the possibility of breast carcinoma, the patient was admitted for further evaluation. Upon admission, initial laboratory results revealed: BUN, 40 mg/dl; creatinine, 28.63 mg/dl, C-reactive protein, 7.04 mg/L; hemoglobin, 6.3 g/dl; and a white blood count, 6700 /ml, with a left shift.
Chest X-ray upon admission showed increased patchy infiltrates bilaterally and a non-contrast chest CT was performed for further evaluation. The chest CT revealed diffuse patchy airspace consolidation and patchy pulmonary alveolar infiltrates with fine interstitial thickening over both lung fields, most severe within the left upper lobe and right lower lobe (Figure ). The primary diagnosis was atypical pneumonia. Differential diagnosis included asymmetric pulmonary edema and multifocal bronchoalveolar carcinoma.
Sputum culture, sputum cytology, serum mycoplasma antibody, and legionella antibody were performed. Azithromycin and augmentin were begun for possible atypical pneumonia. Sputum cytology was negative for malignant cells. Sputum culture, however, revealed Klebsiella pneumoniae and Klebsiella oxytoca (without tubercle bacillus). Appropriate antibiotic therapy was continued and repeat serial chest X-rays, performed during his hospital stay, showed resolution of the alveolar infiltrates, bilaterally.
Incidentally noted on chest CT was a small oval nodular lesion measuring approximately 1.0 cm × 0.6 cm over the inferior and medial aspect of the right breast with infiltration within the subcutaneous adipose tissue (Figure ). As the nature of the breast nodule was unclear, a breast ultrasound (GE Healthcare, Milwaukee, WI) was recommended for further evaluation. Breast sonography revealed an oval, heterogeneous, predominantly hypoechoic nodule within the right breast measuring 1.35 cm × 0.39 cm in size between 3 and 4 o’clock, 2 cm from the nipple, with a faint echogenic interface, partially indistinct margin, and increased blood flow signals on color Doppler (Figure ). Skin thickening and additional hypoechoic satellite nodules were noted in the surrounding area (Figure ). As this presentation was felt to be unusual in a male breast, breast malignancy was suspected. As the patient refused mammography or MRI, a sono-guided biopsy of the lesion was performed using an 18-gauge core biopsy needle (Figure ). Pathology from four strips tissue revealed fibroadipose tissue and hemorrhage with inflammatory cell infiltration. As the pathology was considered indeterminant, an excisional biopsy of the mass was performed. Pathology from the excisional biopsy confirmed breast panniculitis, consisting of fibroadipose tissue with prominent inflammation and fibrotic change in a vague perivascular pattern (Figure ). Hemorrhage and hemosiderin deposition were also present. Histologic section further revealed a vasculitis involving medium size arteries and small vessels without giant cells or granuloma formation (Figure ).
Mycoplasma antibody titer, legionella antibody titer, anti-neutrophil cytoplasmic antibody (ANCA), autoimmune markers, carcinoembryonic antigen, cancer antigen 15–3, prostatic specific antigen, immunoglobulin G, immunoglobulin A, human immunodeficiency virus antibody titer, hepatitis C antibody titer, and hepatitis B surface antigen titer were all negative. A non-contrast head CT was also negative, performed as part of a headache work-up. Renal sonogram revealed increased cortical echogenicity of both kidneys compatible with chronic renal parenchymal disease. No definite renal infarctions were identified.
The lesion within the right breast resolved after excisional biopsy without further treatment. As the diagnosis was compatible with an isolated breast panniculitis with vasculitis (BPWV), the patient did not receive systemic corticosteroids or anti-inflammatory therapy during admission or after discharge and his breast symptoms did not recur during the subsequent 5 years of clinical follow-up.</t>
  </si>
  <si>
    <t>A fifteen-year-old girl, born at term of normal delivery second of three siblings, initially presented in the Orthopaedics OPD in 2010 with a history of progressive knee deforming of 1month and was referred to an endocrinologist for evaluation of metabolic bone disease. Dietary history was suggestive of adequate calcium and vitamin D intake and adequate sun exposure. No history of malabsorption or renal disorder. On examination, height 150 cm (5–10 percentile), weight 32 &lt;5th percentile, US: LS = 0.96, percentile target height: 161.5 cm, genu valgum deformity noted, intermalleolar distance: 10.9 cm, bilateral wrist widening noted.
Biochemical evaluation revealed serum calcium: 14.2 mg/dl, phosphorus: 3.4 mg/dl, 25(OH) vitamin D: 25.10 nmol/L, iPTH: 1967 pg/ml, alkaline phosphatase: 1400 U/L, 24 hours urinary calcium: 282 mg/24 hours. Imaging: X-ray hand showed features of rickets [Figures -]. CT neck: Features s/o left superior parathyroid adenoma. Lesion in lower pole of left lobe of thyroid Sestamibi scan: S/o functioning parathyroid adenoma on left side. She underwent left inferior parathyroidectomy in May 2010: however, on follow up after 1 year she was found to have elevated parathyroid hormone (PTH) and calcium and was then referred to SGPGI with a diagnosis of persistent hyperparathyroidism (HPT).
At evaluation in SGPGI there were no records of previous surgery; repeat methoxy iso butyl isonitrile (MIBI) revealed a superior parathyroid adenoma on left side and was concordant with the ultrasonography (USG) finding of a left superior parathyroid adenoma. Bilateral neck exploration was performed with intraoperative parathyroid hormone (IOPTH) monitoring. At operation, both right parathyroid glands were found to be grossly normal; a left superior parathyroid adenoma was found which was excised (2.2 × 1.6 × 1.6 mm, weight 2.2 gm). However, left inferior parathyroid gland could not be found. IOPTH according to Miami criteria was curative, as there was &gt;50% drop from the pre-excision value of 2130 to 231 at 10 minutes. Histophalogical examination was suggestive of parathyroid adenoma. At the last follow up, in 2016, her biochemical parameters including calcium and iPTH were within normal limits and she was free of bone pains, though her genu valgum persisted.</t>
  </si>
  <si>
    <t>A 14-year-old adolescent boy was referred to our Endocrinology Department for evaluation of short stature. As no medical records were available, previous growth velocity could not be evaluated. The patient reported that he had always been short for his age throughout his childhood.
His recent medical history was negative for headaches, vomiting, or vision changes. There were no reports of fatigue, cold intolerance, constipation, and skin or hair changes. Appetite was normal with no recent weight loss. There were no academic concerns. He regularly played football, with no history of traumatic or nontraumatic fractures. He took no medications. For several months, he had reported minor bilateral symmetrical crookedness on his second fingers, without any pain or local symptoms.
He had been born at 36 gestational weeks, weighing 2450 g with no history of abnormal gestation, breech presentation, ischemic insult at birth, or other neonatal events.
Parental heights were normal, with a target height of 177.5 cm. Parental pubertal timing was also within normal limits. Family history was negative for short stature, endocrine, or autoimmune conditions.
Clinical examination revealed a dysmorphic, proportionate, and relatively short adolescent with normal vital signs. His anthropometric parameters were −2 SDs (standard deviations) for weight (37 kg) and between −2 SDs and −2.5 SDs for height (148 cm) (Belgian charts). His height was below his midparental genetic interval. His upper:lower segment ratio and arm span were normal. His hands and feet appeared short, with middle, painless tumefaction of soft tissue around the index proximal interphalangeal joints. No spinal abnormalities were noted, but a mild pectus excavatum was present. There was no thyromegaly. Testicular and pubic hair development was in Tanner stage II (testicular volume 6 ml). The most prominent dysmorphic features were a pear-shaped nose, a thin upper lip with small lower jaw, prominent ears, and markedly thin and sparse blonde hair with rarefaction of the lateral eyebrows (). The teeth examination was difficult because he wore dental braces to correct dental irregularities.
An extensive biological workup was performed. Complete blood count and serum levels of inflammatory markers, electrolytes, glucose, renal function, liver enzyme, and tissue transglutaminase antibody levels were normal. The laboratory findings showed normal thyroid and adrenal function and normal growth hormone secretion (normal levels of insulin-like growth factor and insulin-like growth factor binding protein). Additional pituitary and gonad testing revealed a normal prolactin level and pubertal testosterone, luteinizing hormone (LH), and follicle-stimulating hormone (FSH) levels (). The bone age was evaluated at 12 years 6 months.
A renal and cardiac ultrasound looking for other possible somatic malformations [] wasperformed and showed normal morphological kidneys, ureters, and urinary bladder and no cardiac abnormalities.
After this first clinical, biological, and radiological evaluation, the working diagnosis was constitutional growth delay with late normal puberty, but skeletal dysplasia (dysmorphic features in the context of short stature) was considered for differential diagnosis.
During the follow-up 6 months later, the initial apparent soft tissue tumefaction of his indexes had progressed to localized noninflammatory and painless deformity, causing limited difficulty in writing and typing on a keyboard. This sign was isolated, and the patient did not complain of pain or history of local trauma or infection. At this time, his clinical appearance was normal, except for the aforementioned dysmorphic traits. His growth velocity (5 cm/6 months) was normal in the context of spontaneous pubertal progress (Tanner stage III, testicular volume 8–10 ml).
Clinical examination of his hands revealed isolated ulnar deviation of the second fingers and symmetrical deformity of proximal interphalangeal joints of both hands (). He had no other painful or deformed joints.
His feet look normal, but the toes are short ().
Theoretically, a differential diagnosis with inflammatory arthritis was considered, but the clinical findings (dysmorphic features, short stature, and relatively asymptomatic finger abnormalities) were more suggestive of a skeletal dysplasia. Radiographs of hands, feet, and pelvis were performed and allowed the definitive diagnosis.
The plain radiograph of his wrists showed cone-shaped epiphyses of the middle phalanges of the second digit of both hands with moderate deviation of the phalangeal axis (Figures and ).
Similar cone-shaped epiphyses were found in the proximal phalanx of the great toe and up to the fourth one of both feet with shortness of all toes ().
No other radiological joint impairments (juxtaarticular osteopenia or erosions) were found. Radiographs of the pelvis and whole-body magnetic resonance imaging (looking for fine abnormalities, particularly long bone cysts not visible on plain radiographs) [] were normal. The bone age was retarded at 12 years 6 months (the chronological age was 14 years 6 months).
Taking together the clinical and particularly the radiological findings, the correct diagnosis of trichorhinophalangeal syndrome (TRPS) was achieved. This was a delayed diagnosis, and our explanations for this include the underrecognition of the dysmorphic features (in our first examination), the underinterpretation of fingers tumefaction in the clinical context, and consecutively no hand radiological exam being conducted.
Other entities associating ectodermal and skeletal phenotypes were reviewed, particularly Albright osteodystrophy, acrodysostosis, and other brachydactyly syndromes, but several features of the presentation were inconsistent with these diagnoses.
Cytogenetic analysis was not performed. The family history appeared to be negative, his parents and his sister do not manifest the syndrome phenotype, and in such conditions, a sporadic case of TRPS type I was considered highly possible.</t>
  </si>
  <si>
    <t>Upon assurance of patient's consent to participate in the study by signing the written consent form, from 8 months before the investigation, a 34-year-old married female patient (a medical staff) with a history of BN and weight and height of 52 kg and 164 cm, respectively, had been initially treated with slow-release bupropion at an initial dose of 75 mg due to sadness and impatience (mostly in the mornings) as well as hypersomnia and overeating. The mentioned dose reached 300 mg within 2 weeks. The patient was simultaneously taking 300 mg of bupropion with 20 mg of propranolol and 10 mg of chlordiazepoxide 10 at noon. The patient stated that her appetite would be decreased only in case of taking the three pills simultaneously. During the 8 months, the patient lost 6 kg of weight. Accordingly, after a while, she gradually increased the dose of slow-release bupropion to 450 mg/day due to the persistence of weight. Following such an increase in bupropion dose from 300 mg to 450 mg, after 3 days, she was suffering from painful muscular contractions in the legs, thighs, respiration, and swallowing and also abdominal pain, drooling, and suffocation feeling. She then referred the emergency department and received 10 g of diazepam intramuscularly. However, no change in symptoms made her suspected to be with acute dystonia. To this end, she was treated with 2 mg of biperiden intravenously, and then symptoms were resolved shortly. After 3 days, with the beginning use of 450 mg of bupropion again, the symptoms of acute dystonia begin to recur, which is ameliorated by the injection of biperiden. Two days later, the patient took 300 mg of bupropion again, which also led to acute dystonia symptoms.
The patient stated a history of BN disorder since the age of 15, during which she had used different calorie diets, fluoxetine tablets, ritalin tablets, diethylpropion hydrochloride tablets, laxatives, and bisacodyl suppositories as well as the intragastric balloon method. Besides, the patient stated no history of head trauma, convulsions, fever, and drug use. There was also no history of psychiatric disorders and physical diseases in her family.
Normal complete blood cell counts, calcium and magnesium levels, vitamin B12 levels, folic acid levels, and ferritin levels were reported. The patient's brain magnetic resonance imaging (MRI) also reported normal conditions. Accordingly, following diagnosis of bupropion-induced acute dystonia, the patient was advised to discontinue bupropion intake. In the follow-ups done 2 weeks later, 3 months later, and 6 months later, no signs of acute dystonia was observed.</t>
  </si>
  <si>
    <t>A 14-year-old girl was admitted to the pediatric emergency room with complaints of vomiting and dizziness. The patient stated that she had ingested 40 tablets verapamil (contains 120 mg verapamil hydrochloride in each tablet) 10 h before the emergency service admission. The patient underwent continuous cardiac monitoring. Her serial electrocardiography (ECGs) were obtained. On her physical examination, her body weight was 60 kg and her height was 157 cm. She was lethargic, her arterial blood pressure (BP), heart rate, respiration rate, and body temperature were measured as 57/32 mmHg, 50/min, 14/min, and 36.2°C, respectively. In the emergency department, gastric lavage and active charcoal treatment were not performed because she received the drug 10 h before the admission. 20 ml/kg 0.9% saline infusion has been given to the patient two times in the emergency department. The patient was taken to the PICU because her bradycardia and hypotension were resistant despite treatment. A central venous catheter was inserted quickly and 2500 ml/m2 hydration was started. In the laboratory analyses, complete blood count, renal function tests, serum electrolytes, and arterial blood gas analyses were taken, and all the results were within normal limits apart from elevated lactate levels (5.2 mml/L). Hyperglycemia was not found in the patient's blood glucose monitoring. In our follow-up, her general condition was poor and lethargic; bradycardia and ventricular extrasystoles were seen in the ECG []. She was in cardiogenic shock and dopamine infusion, at a rate of 10 mcg/kg/min was started, and calcium gluconate was given for CCB toxicity but her vital parameters did not change. Then, norepinephrine infusion therapy (0.1 mcg/kg/min) was started because she had peripheral vasodilatation symptoms and flushing. At the 2nd h of the patient's PICU hospitalization, we considered it appropriate to start ILE treatment, as the patient's hypotension and bradycardia continued, despite increased doses of inotropic drugs and calcium support. Intravenous lipid infusion (20% Intralipid) therapy was started at a rate of 1.5 ml/kg for 2 h. Half an hour after starting the ILE treatment, the patient's rhythm returned to the sinus rhythm, the ventricular extrasystoles disappeared on the patient's ECG and her arterial BP began to improve. The patient's BP was 79/52 mmHg when we started treatment. BPs were measured at 30 min, 1 h, and 2 h after the treatment had started, and the BPs were 84/56, 90/61, and 92/67 mmHg, respectively. Vital signs of the patient before and after ILE treatment are given in . After treatment, her inotropic drugs were gradually reduced within 8 h, and her consciousness began to recover very quickly. On the 2nd day of the intensive care stay, the patient was transferred to the cardiology service with complete neurological recovery and no organ failure. She was discharged from the hospital on the 4th day of admission. Detailed informed consent was obtained from the patient's parents in this case report.</t>
  </si>
  <si>
    <t>A 27-year-old male was referred to the Endocrine Unit of the University-Hospital of Padova, Padova, Italy, in 2017 after developing truncal obesity, facial rounding, and plethora in the previous four to six months. There were no medical events or endocrine diseases in his own or familial medical history. Informed consent was obtained from the patient for publication of this case.
Physical examination revealed a plethoric moon-shaped face and central obesity, without purple striae or a buffalo hump. The blood pressure was 150/90 mm Hg, and the patient’s height, body weight, and waist circumference were 187 cm, 90 kg, and 104 cm, respectively (body mass index 25.74 kg/m2).
The results of routine laboratory tests including liver and kidney function tests were normal. The fasting plasma glucose level of 6.5 mmol/L [reference interval (RI): 3.7–5.6 mmol/L] and glycosylated hemoglobin level of 44 mmol/mol (RI: 20–42 mmol/mol) were consistent with new-onset impaired fasting glucose. A sodium level of 146 mmol/L (RI: 136–145 mmol/L) and potassium level of 3.5 mmol/L (RI: 3.4–4.5 mmol/L) suggested increased mineralocorticoid activity.
After exclusion of exogenous steroids, first-line screening tests for suspected endogenous hypercortisolism were performed. The 24 hours urinary free cortisol excretion level was elevated (6.465–5.375 nmol/24 hours; RI: 16–168 nmol/24 hours), the salivary cortisol rhythm was impaired (late-night salivary cortisol level of 55–46 nmol/L; RI: 0.5–2.6 nmol/L), and serum cortisol level was not suppressed after administration of 1 mg dexamethasone (cortisol 444 nmol/L). These results confirmed a diagnosis of endogenous CS. ACTH levels were increased (14.1 pmol/L; RI: 2.2–11 pmol/L), indicating ACTH-dependent CS.
Over the next few weeks, hypokalemia was observed along with increased blood pressure levels. Therefore, we initiated medical therapy with potassium canrenoate and metyrapone, which achieved rapid control of blood pressure and potassium levels.
To identify the source of ACTH secretion, the patient underwent all second-line dynamic tests for ACTH-dependent hypercortisolism.
After the human CRH test (100 μg), there was a significant increase in both ACTH level (15.2 to 50.6 pmol/L, +233.3%) and cortisol level (763 to 1.631 nmol/L, +113.8%). There was also a significant increase in both ACTH level (16.8 to 27.7 pg/mL, +64.7%) and cortisol level (778 to 1,032 nmol/L, +32%) during the DDAVP test. These results suggested pituitary ACTH secretion (). However, no cortisol suppression was found after the HDDST (8 mg overnight, cortisol level 778 to 690 nmol/L, −11.3%).
Pituitary MRI revealed a 4-mm pituitary microadenoma; however, the clinical features, in particular the rapid onset of severe hypertension and hypokalemia, combined with reduced cortisol suppression after the HDDST, suggested EAS. Therefore, the patient underwent chest CT and abdominal enhanced MRI, which showed multiple pancreatic nodules; their neuroendocrine origin was suggested by the uptake of 68-Ga-DOTATOC PET/CT, confirming the presence of somatostatin receptors.
Considering the discordant responses to second-line dynamic tests and evidence of both pituitary and pancreatic lesions, we decided to perform BIPSS to facilitate the differential diagnosis between CD and EAS. The central IPS to peripheral (P) ACTH ratio (IPS:P =25) after CRH administration confirmed the pituitary origin of ACTH secretion.
Based on the clinical presentation (pituitary adenoma and pancreatic nodules in a young patient), we performed Sanger sequencing for multiple endocrine neoplasia type 1 (MEN1), which confirmed a pathogenic variant in the menin gene (base pair insertions c.188_189TT cDNA692_693_inTT Q64Sfs56, loss of frameshift).
The patient underwent pituitary surgery, and histological examination confirmed a pituitary adenoma with positive ACTH staining. After surgery, low levels of morning serum cortisol confirmed the remission of CD, requiring replacement therapy. On physical examination, we observed reduction in body weight and facial plethora; moreover, the patient’s blood pressure normalized without antihypertensive treatment.
A few months after the pituitary surgery, the patient underwent abdominal surgery (duodeno-cephalo-pancreatectomy and distal pancreatectomy). The histology report revealed well-differentiated neuroendocrine tumors and focal nesidioblastosis; immunohistochemistry showed positive staining for chromogranin, synaptophysin, and glucagon, and negative staining for ACTH, serotonin, somatostatin, gastrin, insulin, and pancreatic polypeptide.
At the last follow-up visit (38 months since diagnosis), clinical and biochemical parameters confirmed remission of CD, and abdominal imaging markers of neuroendocrine neoplasia were also negative.</t>
  </si>
  <si>
    <t>A 16-year-old boy complained fever and persistent cough unresponsive to antibiotics. Chest X-ray was normal. After 2 weeks skin petechiae and ecchymoses appeared and the boy was admitted to an Infectious Disease Division. Peripheral blood count showed: hemoglobin 11.9 g/dL, platelet 1 × 103/μL, white blood cells 8.5 × 103/μL, neutrophils 87%, lymphocytes 5%. ITP was suspected and intermediate dose methylprednisolone (0.5 mg/kg/day) was administered for 2 days. CT scan showed multiple masses both in the chest and abdomen, enlarged liver, and hypodense areas in the spleen. On admission to our center, clinical examination revealed obesity (weight 125 kg and height 171 cm), diffuse petechiae all over the skin and ecchymoses on upper and lower limbs. No enlarged peripheral lymph nodes were found. Liver and spleen margins were 2 and 2.5 cm under the lower costal limit, respectively. Laboratory investigation confirmed thrombocytopenia (platelet count 10 × 103/μL) with hemoglobin 12.2 g/dL and white blood cells 13.6 × 103/μL. Erythrocyte sedimentation rate measured 104 mm/h, reactive C protein 17.4 mg/dL (n.v. &lt;0.8), lactate dehydrogenase level 1051 IU/L. Liver function tests including albumin, bilirubin, alkaline phosphatase, gamma glutamyltransferase, coagulation parameters, and transaminases as well as serum immunoglobulin (Ig) levels were within the normal range. Viral serology for EBV, hepatitis A, B, and C viruses and HIV as well as autoimmune markers were negative, thus excluding secondary thrombocytopenia. FDG-PET documented high metabolic activity in all the sites evidenced as pathologic by CT scan. Leukemia/lymphoma diagnosis was suspected. Bone marrow aspirate and trephine biopsy revealed normal cellularity with no evidence of neoplastic infiltration and increased megakaryocytes, a picture compatible with ITP. A tru-cut biopsy of one of the abdominal masses was excluded due to adiposity and, consequently, it was decided to perform a laparoscopic procedure. In order to achieve a safe platelet value, a dose of 30 g of IVIG for two consecutive days was administered before surgery. Platelet rose to 30 × 103/μL and two units of platelets were transfused immediately before and during surgery.
Laparoscopy was complicated by copious bleeding and converted to open surgery. Bleeding was soon controlled with no further complications. Due to the need of respiratory and hemostasis surveillance, the patient was transferred to Intensive Care Unit for 5 days. The platelet count fell to 22 × 103/μL and intravenous methylprednisolone (1 g daily for 3 days) was administered with a prompt rise of platelet count (204 × 103/μL at day 3). Histological report revealed Hodgkin lymphoma, nodular sclerosis type (immunophenotypic profile: CD 30+, CD15+/–, CD20–, CD3–, CD43–, LCA–, EMA–, ALK–). Chemotherapy was started according to AIEOP LH 2004 protocol, which includes 6 COPP/ABV cycles (cyclophosphamide, vincristine, procarbazine, prednisone/adriamycin, bleomycin, vinblastine) followed by involved field radiotherapy. Platelet count showed an asymptomatic second fall to 75 × 103/μL during the first course and rose up to normal values without the need of additional treatments. The boy is now in complete remission, with a normal platelet count, 13 months after the end of treatment (Fig.).</t>
  </si>
  <si>
    <t>A 172-cm tall, 18-year-old man, weight 100 kg, was admitted to our department in January 2020 due to left medial deep ankle pain after stamping the clutch about 10 days ago, who had an extreme liking of seafood, beer and carbonated drinks. During the physical examination, medial ankle tenderness and mild swelling were present, with a VAS score of 6 or 7, but the range of ankle motion was normal. Ankle X-rays, computerized tomography (CT) and magnetic resonance imaging (MRI) scans were conducted and a medial talus osteochondral lesion with subchondral cyst formation was detected (Fig. ). Various laboratory tests detected high levels of uric acid (568 µmol/L), anti-streptolysin O (130.10 IU/mL), procalcitonin (0.28 ng/mL) and a high level of serum C-reactive protein (39.50 mg/L). The patient’s erythrocyte sedimentation rate, blood cell counts, and other biochemical indexes were all within the normal range. He was primarily diagnosed with a Hepple stage V type talus osteochondral lesion, but the etiology was not clear. An ankle arthroscopy was conducted, and we found a few gouty tophus deposits in the talus articular cartilage and synovial tissue. The medial, central talus articular cartilage was soft, uneven and partially defective, with gouty tophus deposits. A 1.5-mm K-wire was drilled into this site to confirm the talus lesion site under C-arm fluoroscopy. A medial curved incision was made on the medial malleolus and the talus osteochondral lesion was exposed after inverted V-shaped medial malleolus osteotomy and removed with trephine; the removed lesions were found to be gouty tophus (Fig. ), which was further confirmed by the finding of monosodium urate monohydrate (MSU) crystals in postoperative histological sections (Fig. ). After complete debridement of these lesions, the lesion site was not a regular shape, and a very small amount of normal osteochondral tissue was cut with a small osteotome to form a square lesion site. Then an osteochondral block of the same size was harvested from the autologous talus neck and grafted onto the site and fixed with two 2.0 mm bioabsorbable screws. The donor site was filled and tamped with the cancellous bone on the osteotomy surface of the medial malleolus. Then the medial malleolus was fixed with three cannulated screws after reduction. Aceclofenac dispersible tablets and allopurinol were taken by the patient immediately after the operation and he was advised to use his left ankle passively, with no weight-bearing for 5 weeks. At this time his serum uric acid concentration was in the normal range and a good medial malleolus union was revealed by X-ray imaging. Partial weight-bearing was encouraged 2 months postoperatively when the cyst talus osteochondral lesion had disappeared and was replaced with normal bone tissue 6 months postoperatively. The patient could walk with slight pain at this time with a VAS score of 1 and was very satisfied with the outcome. Regular monitoring of serum uric acid concentrations and his modified diet continued, and he has been followed up for 12 months.</t>
  </si>
  <si>
    <t>The patient analyzed is a 14-year-old boy affected by severe AIS. He was recruited for the study in a tertiary outpatient clinical center specializing in conservative treatment of spinal disorders. The patient presented two primary curves, a right thoracic curve (60° Cobb angle) and left lumbar curve (63° Cobb angle) (). He was 170 cm and 70 kg (Body Mass Index (BMI): 24.22; Tri-Ponderal Mass Index (TMI) []: 14.25). Aesthetic impairment was observed as he obtained a score of 51.1 at the TRACE test in the recently developed Rasch version [] (). Radiological parameters of the curves, both in brace and out brace, are described in . In-brace spine x-ray is shown in .
The patient had come to our attention with a prescription of a rigid brace (Lyonese) 23 hours per day; nevertheless, self-reported compliance was just 8 to 10 hours per day. Because of the severity of the curves that well exceeded threshold for surgery consideration (63°), surgical treatment was advised; however, the patient refused surgery. For this reason, a very rigid brace (Sforzesco) was prescribed 23 hours per day. A thermic sensor was applied (Thermobrace) in order to objectively verify compliance [].
: The present case report adheres to the CARE (CAse REporting) structure and reporting Guidelines []. The present study is a case study with a prospective observational design. Additional and non-invasive procedures have been used, i.e. actigraphy. The subject’s rest-activity data were recorded for one consecutive week, at home, through an accelerometer, in the last week of July 2018; that period of the season was the holiday period for the subject, with no school commitments. The period coincided with the first days of Sforzesco brace wear 23 hours per day. The study protocol was conducted in accordance with the current national and international laws and regulations governing the use of human subjects (Declaration of Helsinki II). The subject, before the beginning of the study, signed an informed consent that explained the study protocol highlighting its benefits and possible risks.
: Actigraphy is widely used to study insomnia, sleep and rest-activity circadian rhythms disorders [,]; it represents a valid and practical tool that is extremely less invasive than the traditional polysomnography (PSG). An actigraph recording can be performed at home without hospitalization, lasting for many consecutive weeks []. It was also shown that the circadian period of the actigraph-defined sleep/wake rhythm accurately predicted the period of the PSG-defined activity-rest cycle [].
RAR was recorded using an the Actiwatch 2 actigraph (Philips Respironics, OR, USA). The device is composed by a piezoelectric triaxial accelerometer able to convert axial movements over time in electrical signals. The subject’s activity counts (AC) were recorded 24 hours/day for one week, i.e. seven consecutive days, from Monday to Sunday. The ACs data were transferred from actigraph to a PC with the use of the Philips Actiware 6 Software (Philips Respironics, OR, USA) and then exported and analyzed, epoch per epoch (1 epoch = 60 seconds), in an Excel working sheet (Microsoft Corporation, WA, USA) before performing the rhythmometric analysis (see statistical analysis for details).
: To determine the existence of RAR for each single day and for the week of monitoring, the ACs were analyzed using the single and the population mean cosinor method respectively [,]. Both methods studies the cosine mathematical function that best fits the data as a function of time and they describe three specific rhythmometric parameters: MESOR, the Midline Estimating Statistic of Rhythm; A, the amplitude; and Φ, the acrophase. The MESOR is a rhythm-adjusted mean for a 24-h period, A is the measure of one half the extent of the rhythmic variation in a cycle, and Φ indicates the time interval within which the highest values are observed. The three parameters are reported with the relevant 95% confidence intervals (CI) (). The statistical rhythmometric analyses were carried out using the Time Series Analysis Serial Cosinor 6.3 (Expert Soft Technology, Richelieu, France). Significance was set at p &lt; 0.05.
: In parallel with RAR monitoring, sleep parameters were also objectively monitored for seven consecutive nights with the same actigraph (Philips Respironics, OR, USA). The Actiwatch 2 is a widely used actigraph worn on the non-dominant wrist that has the capability to determine both RARs but also sleep parameters [] and it has been validated against PSG in healthy children and adults []. It is however important to underline that sleep parameters can be derived from Actiwatch 2 recordings using three different threshold settings (low, medium, or high) for detection of movements. The threshold settings use different magnitudes of activity for discriminating sleep and wake states, and thus affect the sleep parameters derived from the actigraph. Therefore, in the present case study, a low actigraphic sensitivity threshold (80 counts per epoch) was selected since this cut-off value seems to provide the best combination of sensitivity and specificity in young subjects [,].
Ten sleep parameters were measured:
I) Sleep Start (SS): the start of sleep was derived automatically using the Actiwatch 2 algorithm; it is expressed in hours and minutes (hh:mm);
II) Sleep End (SEnd): the end of sleep was derived automatically using the Sleepwatch algorithm; it is expressed in hours and minutes (hh:mm);
III) Time in Bed (TB): the difference between SS and Send, expressed in minutes;
IV) Sleep Latency (SL): the period of time, in minutes, between bedtime and sleep onset time;
V) Sleep Efficiency (SE): the percentage of time in bed actually spent sleeping;
VI) Wake After Sleep Onset (WASO), the amount of time spent awake after sleep has been initiated; WASO is typically expressed in minutes;
VII) Total Sleep Time (TST), the amount of sleep, expressed both in minutes and percentage, obtained during a sleep period;
VIII) Immobility Time (IT), the total time, expressed both in percentage and minutes, spent without recording any movement during time in bed;
IX) Mobility Time (MT), the total time, expressed both in percentage and minutes, spent recording significant movement during time in bed;
X) Fragmentation Index (FI), the sum of the percentages of mobility and immobility accesses in one minute, divided by the number of immobility accesses. FI is expressed in percentage.
The data are reported as mean±SD. Together with the actigraph, the study subject received a sleep diary to record bed time, wake up time, the number of nocturnal awakenings, or the time spent without wearing the device.
: The sensor applied showed a very good compliance to treatment in the period analyzed with an objectively reported compliance of 22.8 hours per day.
: The single cosinor method revealed the presence of a statistically significant RAR for each single day (p &lt; 0.001). Similarly, the population mean cosinor applied to total data of the seven days of monitoring, revealed the presence of a significant RAR (p &lt; 0.001); specifically: the percentage of rhythm was 23.4%, the mean MESOR was 84.6 ACs, the amplitude registered a mean value of 74.4 ACs and the acrophase occurred at 17:56 h. reports the rhythmometric parameters of RAR and shows graphically the rhythm.
: and report both the raw data and the mean±SD of all sleep parameters. The subject showed a large variability in all ten parameters with a large gap between minimum and maximum values. For instance: SL ranged from 0 to 89 minutes with a mean value of 25.9 ± 35.9 minutes and, similarly, FI ranged from 11.3% to 43.2% with a mean value of 27.3 ± 12.8%. In general, the subject reached a good sleep quantity: 507.9 ± 30.2 minutes of TB with a mean TST of 450.7 ± 20.1 minutes, corresponding to the 88.9 ± 4.3% of time spent sleeping; on the contrary, as expected, sleep quality, although not bad, was not excellent: SE was equal to 83.3 ± 7.2%, mean WASO value was 57.1 ± 24.6 minute, and IT registered a mean value of 86.3 ± 4.4%. It is also important to note that sleep timing, i.e. SS and SEnd, showed an expected marked delay: on average, the subject started to sleep at 01:36 ± 01:02 h and woke up at 09:55 ± 00:40 h.</t>
  </si>
  <si>
    <t>A 57-year-old male patient, weighing 60 kg and 165 cm in hight, was referred to our institute with a past history of sudden onset severe headache, nuchal rigidity, and diplopia 15 days back. At the time of presentation, central nervous system examination revealed a conscious, oriented patient with normal higher function, without diplopia or neck rigidity. There was no loss of power in all four limbs, 4/5 in both the upper limbs, and 4/5 in both the lower limbs as per Medical Research Council (MRC) rating. His sensory system, other cranial nerves, brain-stem function appeared normal. His other systems were within the normal limit. His vitals were also within the normal limit (pulse rate: 70/ min, regular; blood pressure: 124/76 mm Hg, respiratory rate: 14/ min). Laboratory investigations (routine hematological; liver and kidney function tests; serum electrolytes; coagulation profile), chest X-ray, electrocardiogram (ECG) were normal. Magnetic resonance imaging of brain showed gross subarachnoid hemorrhage (SAH) and intraventricular hemorrhage (IVH) but no focal lesion of parenchyma or any midline shift []. Cerebral angiography revealed an anterior communicating artery aneurysm, which was thought to be the cause of SAH and IVH. According to Hunt and Hess classification, he was considered grade II. The patient was posted for clipping of anterior communicating artery aneurysm through the pterion (right) approach. An informed consent was taken for surgery, anesthesia, and postoperative care in ICU.
The patient was premedicated with tablet alprazolam 0.5 mg orally at the night before operation. On the day of surgery, after establishing intravenous (IV) line with 18G cannula, the patient received injection (Inj) midazolam 2 mg, Inj ondansetron 6 mg, and Inj glycopyrrolate 0.2 mg. General anesthesia was induced by Inj fentanyl (2 μg/ kg) and thiopentone (5 mg/kg) following preoxygenetion and intubation was done with size 8.5 flexometallic endotracheal tube (Sheridan/SPIRAL-FLEX®, Hudson RCI) using Inj rocuronium (0.6 mg/kg). Anesthesia was maintained with O2:N2O (40:60), propofol (infusion at 100-150 μg/kg/min) and intermittent bolus of Inj vecuronium and Inj fentanyl. Mannitol (1 g/kg) was infused to provide optimum brain relaxation. For invasive monitoring, central venous catheter was placed via the right subclavian vein and intra-arterial catheter was placed at left radial artery. Intraoperative monitoring included five lead ECG, invasive blood pressure, SpO2, end tidal carbon dioxide, central venous pressure, urine output, core temperature, bi-spectral index, and neuromuscular monitoring. Keyhole-type craniotomy was done and surgery proceeded uneventfully in the supine position and haemodynamics remained stable throughout the operative period, which lasted for 6 h. N2O was discontinued before dural closure. At the end of the surgery, neuromuscular blockade was reversed when the TOF ratio was 40% with 0.5 mg Inj glycopyrrolate and 2.5 mg neostigmine. The trachea was extubated once the TOF ratio was 90%, respiratory effort was adequate, and patient was obeying commands. He was shifted to the postoperative recovery room.
One hour after surgery, the patient developed sudden generalized convulsions, a rapid deterioration in the consciousness level, with dilatation of the left pupil. The airway was secured with Gudel's airway (number 5) and Inj midazolam 4 mg was given to control the convulsions. He maintained an oxygen saturation of 97-99% with 3L oxygen through the facemask. His arterial blood pressure and pulse rate were 120/70 mmHg and 92/ min, respectively. An immediate computed tomography (CT) scan of brain done postoperatively, revealed accumulation of air in the bi-frontal subdural space compressing mainly the right sylvian fissure and right lateral ventricle without any apparent midline shift (mount Fuji sign []), indicating a diagnosis of tension pneumocephalus. The patient was taken to the operation theatre immediately for aspiration of pneumocephalus through a frontal drill hole and air came out under pressure. The patient's sensorium showed marked improvement after the surgery and he started responding to verbal commands. The rest of the postoperative course was uneventful and the patient was discharged 15 days later without any neurological deficit.</t>
  </si>
  <si>
    <t>The patient was born with C/S at 38 weeks of gestation with a birth weight of 3820 g; was the 3 rd alive child of a 35-year-old mother in her 4th pregnancy. His mother’s second pregnancy was a male with agenesis of corpus callosum (ACC), congenital heart disease and absence of nasal bone which were detected on ultrasound at 24th week. The pregnancy had been terminated without genetic tests or autopsy. The patient’s antenatal ultrasonographic investigation showed an IACC at 18 weeks of gestation but fetal MRI was not performed and amniocentesis revealed 46, XY karyotype. He had not defecated for the first three days of life; he defecated a large amount of stool after rectal stimulation. The patient underwent laparotomy for intestinal biopsies and diagnosed with HSCR and ileostomy was opened.
He presented to our clinic when he was one year old with fever for two days. His weight was 8.4 kg (3 rd percentile); height 74 cm (3 rd percentile); and head circumference 46 cm (25th percentile). Hypertelorism, uplifted earlobes with a central depression, frontal bossing, telecanthus, deeply set eyes, infraorbital fold, long lashes, broad eyebrows with a medial flare, a wide nasal bridge with prominent and rounded nasal tip, low-hanging columella, open-mouth expression, thin “M” shaped upper lip, prominent chin, short neck, wide-spaced nipples, overlapping toes, and pes planus were noted (
–). Abdominal examination showed no guarding or rebound tenderness; he had orange-colored liquid stool in an ileostomy bag. He had eye contact, social smile, and stereotypic hand movements, speaking indistinguishable three words. Traction response was poor, and he was hypotonic on vertical suspension. He could not sit unassisted. Deep tendon reflexes were normal; bilaterally plantar reflexes were extensor; sustained Achilles clonus was noted. At admission, urinalysis showed pyuria. Acute pyelonephritis was diagnosed. Urinary ultrasound and voiding cystourethrogram showed grade 3 hydronephrosis affecting the right ureter. Cranial magnetic resonance imaging (MRI) demonstrated enlargement of the third and lateral ventricles, the occipital and temporal horns. There was a bilateral incomplete hippocampal inversion, enlargement of thalamus, nucleus caudate, and ACC (
–). A heterozygous “class 2” c.646dupT (p.Cys216LeufsTer23) mutation on exon 6 of ZEB2 (zinc finger E-box binding homeobox 2) gene was detected by a mutation surveyor program, and the diagnosis of MWS was made. At 16 months, he presented with fever due to pneumonia and generalized seizure for 5 minutes. His EEG showed no epileptic discharge but an immature parietooccipital rhythm for his age. Valproic acid was initiated. The patient is still on follow- up for developmental delay, renal, and gastrointestinal problems.</t>
  </si>
  <si>
    <t>A 15-month-old Korean boy was referred to evaluate the cause of recurrent sinusitis and otitis media. He was born 2,700 g at 40 weeks of gestational age with normal-vaginal delivery, was well up to 6 months of age. After then, he had suffered from recurrent sinusitis and otitis media which failure to treat even though high-dose, oral amoxicillin therapy, consequently. The parent and older brother were healthy, but 2 maternal uncles were previously diagnosed as XLA at the adulthood ().
Physical examination showed normal growth and development, body weight was 10.6 kg (25th–50th percentile) and height was 77.2 cm (10th–25th percentile). There were no abnormal morphologic findings except absence of tonsil, purulent postnasal drip and palpable lymph-node. The fluid collection and cloudiness of the ear drum were observed.
Laboratory tests revealed as follows: white blood cells, 9,700/µL (neutrophils, 25.0%; lymphocyte, 63.8%); serum IgG, IgA, IgM and IgE levels were 151, 0, 11 mg/dL, and 54.7 KU/L; significantly decreased levels of CD19+ B cells in the peripheral blood (1.1%, 59/µL); the CD4/CD8 T-cell ratio was 2.7:1, respectively.
Radiologic examination showed normal finding in chest X-ray, however there was mucosal thickening in both maxillary sinuses and no adenoid shadow in paranasal sinuses views. Based on the family history of XLA, agammaglobulinemia and absent circulating-CD19+ B cells, and absence of adenoid and tonsil with recurrent sinusitis and otitis media, he was diagnosed as XLA. Mutational analysis for BTK gene of the proband and family members was performed to identify the underlying genetic defect. Informed consent was obtained before the start of the study. DNA was extracted from peripheral blood leukocytes. All coding exons with flanking intronic regions of the BTK gene were amplified using the polymerase chain reaction. Sequence chromatograms were compared with the reference sequence of BTK, NM_000061.2. As a result, the proband (III:2) was found to be hemizygous for a 1-bp deletion (c.82delC), which was predicted to result in frameshift at the 28th codon (Arg) and premature termination at the 5th downstream amino acid of the BTK protein (p.Arg28Alafs*5) (). A family study revealed that two maternal uncles (II:1 and II:2) were hemizygous patients and maternal grandmother (I:2), mother (II:4), and cousin (III:4) were heterozygous carriers for the same mutation.
After diagnosis of XLA, a scheduled Intravenous Immunoglobulin (IVIG) therapy (400 mg/kg, monthly) was started. The serum level of IgG was reached to target level (or therapeutic level) after 3rd dose of IVIG. The recurrent sinusitis and otitis media were not recurred during 8 months after diagnosis and treatment</t>
  </si>
  <si>
    <t>A 68-year-old man (170 cm, 70 kg) was planned for his first elective PDD TURBT under spinal anesthesia. The patient was medicated with losartan (25 mg/day) for hypertension and tamsulosin (0.2 mg/day) for dysuria. Preoperative examinations were within the normal ranges. On the day of the operation, the BP and PR were 126/81 mmHg and 71 bpm in the early morning, respectively. Daily medications were orally administered. Subsequently, crystalloid infusion was started. About 3 h before the PDD TURBT, the patient took a 5-ALA (1.5 g) solution. Thirty minutes before entering the operation room, the BP and PR were 96/57 mmHg and 80 bpm, respectively. When the patient stood up and headed to the operation room, he felt sick. The S-BP was 42 mmHg at that time. After 20 min, the vital signs were 76/44 mmHg and 68 bpm, respectively. He complained of dizziness with cold sweat and no rash. Fluid resuscitation with the Trendelenburg position was initiated. The operation was canceled due to sustained hypotension, and continuous dopamine infusion (0.3% solution; 3 mL/hr) was started. About 16 h after the 5-ALA pretreatment, the vital signs were 67/32 mmHg and 78 bpm, respectively. Continuous dopamine infusion was necessary until the next day. No reason was found for the hypotension except the 5-ALA pretreatment.</t>
  </si>
  <si>
    <t>Adjusted Body Weight</t>
  </si>
  <si>
    <t>Using the adjusted body weight formula, what is the patient's adjusted body weight in terms of kg?</t>
  </si>
  <si>
    <t>A 48-year-old South Asian woman (Patient A) from Bangladesh (height 168 cm, weight 80 kg) was admitted to the medical ward for three days after which she was transferred to the ICU; she had cough and increasing dyspnea for three days before hospital admission. Comorbidities included hypertension, hypercholesterinemia, coronary artery disease, previous stroke (fully recovered), and type 2 diabetes. On admission, her laboratory results were as follows: hemoglobin (Hb): 143 g/L, white blood cells (WBC): 9.0 × 109/L, lymphocytes: 1.4 × 109/L, platelets: 261 × 109/L, international normalized ratio (INR): 1.1, D-dimer: 510 μg/L, fibrinogen plasma concentration: 8.4 g/L, and C-reactive protein (CRP): 52 mg/L. Her chest radiograph showed cardiomegaly and extensive bilateral peripherally predominant ground-glass opacities. Polymerase chain reaction (PCR) result was positive for severe acute respiratory syndrome coronavirus 2 (SARS-CoV-2) and negative for influence/respiratory syncytial virus (RSV). Blood cultures were negative. The patient was treated with nasal oxygen therapy and antibiotics (ceftriaxone and doxycycline, according the hospital’s COVID-19 protocol). Antiviral therapy and dexamethasone were not administered. Later, CRP increased to 137 mg/L on the second day of hospitalization. The patient was transferred to the ICU on the third day because of increased respiratory rate and oxygen requirement. ROTEM performed 2 hours after ICU admission () revealed that Patient A was hypercoagulable with the EXTEM assay showing an increased clot firmness with an amplitude of clot firmness 5 minutes after coagulation time (CT) (A5) of 65 mm and a maximum clot firmness (MCF) of 78 mm, indicating hypercoagulability with a high risk of thrombosis []. FIBTEM also showed increased clot firmness (A5 41 mm and MCF 50 mm), indicating increased fibrinogen concentration and fibrin polymerization. Furthermore, the EXTEM lysis index 60 minutes after CT (LI60) was 97%, i.e., in the physiologic range (82–97.9%), whereas FIBTEM LI60 was 100% []. Treatment consisted of continuation of antibiotics, enoxaparin 40 mg twice a day in view of ROTEM results, and high flow nasal oxygen and intermittent face mask continuous positive airway pressure (CPAP) therapies. The patient did not need intermittent positive pressure ventilation (IPPV) or any vasoactive support. Laboratory results on the second day in the ICU were as follows: Hb: 131 g/L, WBC: 10.8 × 109/L, platelet count: 307 × 109/L, INR: 1.1, activated partial thromboplastin time (APTT) ratio: 1.3, D-dimer: 510 μg/L, and CRP: 196 mg/L. The patient recovered well and was transferred from the ICU to the medical ward after two days in the ICU with a CRP of 73 mg/L and was discharged three days later with a prescription of her usual medication plus enoxaparin 40 mg once daily for 2 weeks. The patient did not show any clinical signs of thrombosis during her hospital stay.</t>
  </si>
  <si>
    <t>A 36-year-old man was admitted to West China Hospital because of low libido, decreased morning erections, and loss of axillary and pubic hair that lasted 8 years. He had a history of binocular diplopia, increased stool frequency 7 years prior to admission, and weight loss of 10 kg. He also had thyroid nodules, and thyroid functional tests showed normal FT3 (7.41, normal 3.6–7.5 pmol/L), FT4 (21.56, normal 12–22 pmol/L), and increased TSH (24.79, normal 0.27–4.2 μIU/mL). He ignored the test result, because of the normal concentration of FT3 and FT4. Four years ago the patient got married and was referred to our hospital because of sterility. At this time, the hormonal examination implied central hypogonadism with serum levels of 1.6 mIU/mL FSH (RR, 1.5–12.4), LH 1.0 mIU/mL (RR, 1.7–8.6), E2 &lt;5 pg/mL (RR, 7.63–42.8), and T &lt;0.03 ng/mL (RR 2.49–8.3). Magnetic resonance imaging (MRI) of the sella region was therefore performed, revealing a pituitary tumor measuring 4.3 × 4.1 × 3.0 cm in the sella, involving cavernous sinuses and extending inferior to the sphenoid sinus and third ventricle (Fig. ). He was referred to our multidisciplinary team of pituitary disease and transferred to department of neurosurgery. On physical examination at admission, the patient was 168.0 cm tall and weighed 59.0 kg with a body mass index (BMI) of 20.9 kg/m2. The patient's char-acteristics were as follows: temperature, 36.2 °C; pulse, 56 beat/min; blood pressure, 94/64 mmHg; respiratory rate, 20 breath/min. The patient presented with blurred vision. The TgAb and TPOAb were positive. The thyroid gland was diffusely enlarged and ultrasonography of the thyroid revealed a multinodular gland with a moderate parenchymal heterogeneity suggesting Hashimoto thyroiditis. The laboratory hormone examination showed hypopituitarism (Table ). The computer perimetry suggested a defective visual field. Based on these data, we diagnosed the patient with TSH-producing pituitary macroadenoma, hypopituitary, and Hashimoto thyroiditis. Two weeks after diagnosis, total resection of the pituitary macroadenoma was performed through trans-sphenoidal neurosurgery in September 2014. Upon immunohistochemical examination, the resected pituitary adenoma cells exhibited positive staining with the TSH and PRL antibody, and the percentage of positive Ki-67 was &lt;2%, suggesting that the tumor was benign (Fig. ). After the operation, TSH and thyroid hormone rapidly decreased to a normal range. However, the concentration of ACTH, cortisol, LH, FSH, and testosterone were still extremely low. One year after the operation, this patient was attended to by our pituitary disease MDT team for reproductive reconstruction. We treated him with human chorionic gonadotropin (HCG) 2000 IU, qod and human menopausal gonadotropin (HMG) 75 IU, qod. Over the next 2 months, his sperm concentration increased, and finally his wife became pregnant naturally. The patient was administered hydrocortisone 20 mg/d, testosterone 80 mg/d, and followed up by our pituitary MDT team.</t>
  </si>
  <si>
    <t>A 54-year-old woman with failed back surgery syndrome following a lumbar microdiscectomy had a spinal cord stimulator inserted in October 2009. A Specify 5-6-5 electrode (Medtronic, Minneapolis, MN, USA) was implanted with the connectors tunnelled subcutaneously and connected to the IPG in the right iliac fossa. There were no intraoperative or postoperative complications. The patient experienced good relief of lower limb pain with stimulation.
At the point of insertion, she weighed 78.8 kg, with a height of 157 cm (body mass index [BMI], 31.9). Her pre-PMP assessment revealed moderate levels of depression and high levels of pain-related disability. Her Beck Depression Inventory score was 18 (mild). She had a Pain Anxiety Symptoms Scale of 60 (mean, 94; SD, 39; range 0–200, where 0 = no pain anxiety and 200 = severe pain anxiety).
In October 2011, she underwent reprogramming with failure to achieve satisfactory stimulation. Her imaging revealed twisting of the connecting wires adjacent to the pulse generator (Fig. ). As it was still partially functioning, she chose to defer revision surgery. Eventually the device failed completely. In May 2012, her IPG was repositioned with new connector leads. The connector wires were found knotted and twisted intraoperatively. The new wires were tunnelled to the right lumbar region above the belt line. No further problems have been reported on follow-up.</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</si>
  <si>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</si>
  <si>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A 55-year-old man who suffered from hematochezia for 3 mo consulted our hospital in July 2016 (Figure ).
The pathological diagnosis following biopsy showed “moderately differentiated adenocarcinoma of the sigmoid colon” (Figure ). Abdominal enhanced computed tomography (CT) showed mesenteric lymph node metastasis and multiple low-density lesions in the liver. The capecitabine plus oxaliplatin (XELOX) scheme was recommended for the neoadjuvant therapy regimen for three cycles. However, even with therapy, the evaluation was progressive disease (PD) given that lymph node and liver lesions continued to grow; thus, surgery was excluded.
From February 2 to October 14, 2017, folinic acid, fluorouracil, and irinotecan (FOLFIRI) plus bevacizumab was implemented for 12 cycles, and the classification was stable disease (SD); bevacizumab plus S-1 was offered as the maintenance treatment. On March 30, 2018, CT indicted disease progression. Due to intestinal obstruction, the patient underwent laparoscopic intestinal adhesion lysis and transverse colostomy on May 30, 2018.
The patient had no medical history of past illness.
The patient neither smoke tobacco nor consume alcohol. There was no notable family medical history, such as cancer.
The height and weight of the patient were 160 cm and 56.8 kg, respectively. On July 15, 2018, the performance status (PS) was 1 for this patient, with a body temperature of 36.3 °C, pulse rate of 86 beats/min, and blood pressure of 152/96 mmHg.
In July 2016, immunohistochemistry (IHC) and polymerase chain reaction (PCR) were performed to guide therapy at diagnosis. Kirsten rat sarcoma 2 viral oncogene homolog (KRAS), neuroblastoma RAS Viral Oncogene Homolog (NRAS), and v-raf murine sarcoma viral oncogene homolog B1 (BRAF) were wild-type, and mismatch repair proteins were proficient. On May 29, 2018, a peripheral blood sample was assessed for circulating tumor DNA (ctDNA) using next-generation sequencing (NGS) with an array of 189 genes to determine whether ras-rat sarcoma viral oncogene homolog/v-raf-murine sarcoma viral oncogene homolog (RAS/RAF) status changed during the past 2 years and EGFR monoclonal antibody could be used as the third-line therapy. The test results showed that KRAS, NRAS, and BRAF were still wild-type. Interestingly, high-level amplification of HER2 (absolute copy number: 63.67) (Figure ) was identified at the same time, which was reported as the resistance mechanism of anti-EGFR therapy previously[-]. Also, adenomatous polyposis coli (APC) and tumor protein 53 (TP53) alterations were detected, with a mutant allele frequency (MAF) of 7.3% and 9.3%, respectively. IHC for HER2 showed a score of 3+ based on the tumor tissue biopsy obtained on July 22, 2016 (Figure ), while fluorescence in situ hybridization (FISH) showed high-level amplification of HER2 (Figure ); thus, the two tests confirmed the results of ctDNA.
On March 30, 2018, CT showed that most of the liver lesions were increased compared to January 17, 2018, while new, multiple lesions were detected in the lung. Thus, the classification was PD, and the patient failed to respond to two lines of therapy.</t>
  </si>
  <si>
    <t>A 62-year-old, 180 cm, 90 kg male with a history of unstable angina, old inferior wall myocardial infarction and irreducible, obstructed paraumbilical hernia presented for resection of gangrenous loop of small bowel with anatomical repair of hernia. He also had long-standing diabetes, hypertension and was on multiple medications such as regular insulin, aspirin 75 mg, clopidogrel 75 mg, metoprolol 25 mg, atorvastatin 20 mg daily and nitrocontin 2.6 mg twice daily.
On examination, he was obese with poor effort tolerance. There was no pallor or edema feet and no signs of heart failure. His resting heart rate (HR) was 70/min and blood pressure measured 130/80 mmHg.
Most of his preoperative blood investigations including coagulation profile were within normal limits except random blood sugar which was 164 mg/dl. Electrocardiography (ECG) showed Q waves in leads II, III and aVF and ST segment depression in leads V1 -V6. The preoperative chest X-ray was normal. Two-dimensional echo done on admission revealed akinetic inferior and mid-posterior wall; hypokinetic basal, posterior wall, mid and distal interventricular septum; mildly dilated LV and left ventricular ejection fraction (LVEF) &lt;25%.
Two months ago, a detailed cardiac work up of the patient had been done wherein a coronary angiogram revealed anomalous origin of the LAD from RCA and absent left main coronary artery (). Thallium scan also showed LVEF of 25% at rest tomography angiography showed a common ostium for RCA and LAD ().
Chronic total occlusion of RCA (after giving off LAD) as well as a short, narrowed out left circumflex (LCx) artery resulted in complete loss of viable myocardium in their corresponding territories. Thus, the myocardium had its blood supply from LAD and partly from LCx artery.
The patient was on medical management as coronary revascularization could not be considered owing to the semi-emergent nature of surgery and that most of the myocardium was already compromised. The patient's relatives were initially reluctant to give their consent for the procedure, thereby causing delay in surgical intervention. Until then, the patient was managed conservatively on continuous Ryle's tube aspiration, intravenous fluids and antibiotics.
All the prescribed medications were continued preoperatively except aspirin and clopidogrel, which were stopped at admission. Low molecular weight heparin (enoxaparin 60 mg subcutaneously twice daily) was started. It was discontinued 24 hours prior to surgery. The patient was hemodynamically stable and co-operative. Therefore, sequential epidural combined with local infiltration of the surgical site with 0.25% bupivacaine was selected as the anesthetic technique. Central venous pressure (CVP), arterial blood pressure (ABP), blood gas analysis and continuous cardiac output (CO) monitoring (Edwards Life sciences FloTrac monitor) were used along with routine monitors. The baseline ABP, HR, CVP, CO were 122/72 mmHg, 90/min, 7 mmHg and 7 L/min respectively. An epidural catheter was inserted in T10 -T11 interspace with the patient in sitting position. This provided sufficient analgesia and motor blockade for surgery. The surgical site was also infiltrated with 10 ml of 2% lignocaine. The patient was on spontaneous ventilation with tittrated mild sedation with fentanyl and midazolam. Total fluid administered was 1.5 L (1 L of normal saline; 500 ml of colloid). It was guided by CVP, stroke volume (SV), stroke volume variation (SVV) and CO on the Edwards Sciences FloTrac Vigileo monitor. The patient remained hemodynamically stable until about 50 min of the start of surgery when ABP was 86/54 (65mmHg) and CO was 3 L/min probably due to last epidural bolus of bupivacaine. This was not accompanied by any ECG changes. CVP remained normal. Blood loss was minimal. Ionotropic support (nor-adrenaline 0.07 μg/kg/min) was then started. Thereafter, ABP stabilized and serial ABG's done during surgery were normal. The surgical procedure included resection of gangrenous segment of bowel, anastomosis and anatomical repair of hernia, which lasted approximately 2 h.
Postoperatively, 12 lead ECG was done, which showed no fresh changes. Trop-T done after 12 h of surgery was also negative. Intensive monitoring (ABP, CVP, ECG, and CO) was continued for 48 h postoperatively. The ionotropic support was tapered and discontinued after 36 h of surgery to maintain a mean ABP of 75-80 mm Hg. Analgesia was maintained with epidural infusion of 0.125% bupivacaine with100 mcg fentanyl in 50 ml of normal saline titrated to effect and hemodynamics, intravenous analgesics (diclofenac 75 mg 8 hourly and tramadol whenever required). All preoperative medications including enoxaparin (60 mg sc twice daily for 2 days) and Aspirin were restarted on the 1st postoperative day (POD) and review done by a cardiologist and an endocrinologist. Epidural catheter was removed on the 2nd POD after which clopidogrel was resumed. The course of stay in the surgical intensive care unit (48 h) and later in the ward was uneventful. The patient was discharged on the 5th POD.</t>
  </si>
  <si>
    <t>A 28-year-old healthy Turkish woman (height 166 cm, weight 75 kg), without any medical history was admitted to a peripheral hospital at 37 weeks gestation for an elective caesarean delivery. During the course of the delivery, intravenous short-term infusion of 0.2 mg methylergometrine and 30IE oxytocin was administered for easy release of the placenta and prevention of bleeding during the post-partum phase. There were no complications during delivery. Approximately 30 minutes after delivery, the patient developed severe distress and chest pain. On physical examination, rales were detected in both lungs (Killip class II). The patient was transferred to our hospital for further investigation.
On electrocardiogram, a sinus tachycardia (100/min) without ST-segment changes was seen. The patient's blood pressure was 100/60 mmHg and her pO2 was 52 mmHg without oxygen supplementation. Chest x-ray revealed severe fluid consolidation (N-terminal prohormone brain natriuretic peptide-brain natriuretic peptide value 3900 pg/ml). Oxygen and loop diuretics rapidly improved the patient's respiratory status. The initial two-dimensional echocardiography showed moderately reduced systolic left ventricular function with a midventricular hypokinesia. Left ventricular end diastolic diameter was normal. The ejection fraction as measured by the Simpson's method was 38%. Laboratory investigations found raised levels of troponin T (0.19 ng/ml,; normal &lt; 0.03 ng/mL) and creatine kinase (356 U/L; normal &lt; 145 U/L). The patient was started on diuretics and angiotensin-converting enzyme inhibitors, after which she recovered quickly and showed no respiratory distress or other signs of heart failure.
In the absence of any cardiovascular risk factors and the age of the patient, we decided against using coronary angiography for initial anatomic. We conducted contrast-enhanced cardiac magnetic resonance (CMR) imaging, which showed a circular midventricular hypokinesia and no delayed enhancement after gadolinium application. Neither myocardial necrosis nor ischemia were seen, therefore coronary angiography was not performed
The patient's cardiac enzymes normalized within three days after admission. Two-dimensional echocardiography showed that systolic left ventricular function had completely recovered without any wall motion abnormalities within those three days.
Based on the patient's history with absence of cardiovascular risk factors, mild cardiac enzyme elevation and CMR findings of midventricular hypokinesia without necrosis and ischemia, she was diagnosed with tako-tsubo CMP. Seven days after admission, the patient and her healthy newborn child were discharged.</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</si>
  <si>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</si>
  <si>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A 30-year-old woman comes to the physician because of headaches and nausea for the past 3 weeks. The headaches are holocranial and last up to several hours. During this period, she has also had a swishing sound in both ears, which decreases when she turns her head to either side. She has had multiple episodes of blurring of vision and double vision for the past 2 weeks. She has vomited twice in the past week. She has nodular cystic acne and polycystic ovarian disease. Current medications include an oral contraceptive, metformin, and isotretinoin. She is 163 cm (5 ft 4 in) tall and weighs 89 kg (196 lb); BMI is 33.5 kg/m2. Her temperature is 37.3°C (99.1°F), pulse is 70/min, and blood pressure is 128/82 mm Hg. She is oriented to time, place, and person. Examination shows acne over her cheeks and back. Hirsutism is present. Visual acuity is 20/20 in both eyes. There is esotropia of the left eye.</t>
  </si>
  <si>
    <t>We present the case of a 48-year-old man, complaining of a bilateral knee injury and functional disability. The patient fell about two meters down an embankment one hour before the presentation and was unable to stand up due to pain, so he was brought to our hospital by ambulance.
Clinical examination revealed a marked bilateral swelling of both knees, severe pain at the passive mobilization of the knee joints, pain-limiting active flexion to less than 30°, and an inability to actively extend the knee joints or to perform an active straight leg raise bilaterally. Additionally, weight-bearing had hardly been possible. There was a loss of fullness and a palpable deficit at the inferior poles of his patellae. Testing of the ligamentous knee joint stabilizers was significantly limited by guarding due to the severe sharp pain. The patient's medical history revealed that a couple of years earlier, he had a right knee sprain resulting in an acute rupture of the anterior cruciate ligament (ACL), which was treated conservatively. The patient does not take any drugs regularly, and we note that he is allergic to levofloxacin. The weight and height of the patient were recorded at the physical examination as 107 kilograms and 180 cm, with a body mass index (BMI) of 33.
Plain radiographs of his knees showed bilateral knee effusions with patella alta (high-riding patellae) on both anteroposterior and lateral views. Insall-Salvati ratios measured 1.6 and 1.47 for right and left knee, respectively () (normal values range from 0.8 to 1.2; patella alta &gt; 1.2 and patella baja &lt; 0.8). Moreover, the irregularity and incongruity of the patellar tendons on the lateral radiographs were additional signs suggestive of the extensor mechanism's rupture and consistent with the tendons' rupture from the lower pole of the patellae bilaterally.
Our patient was operated under general anesthesia 48 hours after the accident. He was placed in the supine position. The clinical examination under anesthesia of both knees demonstrated a full instability of the MCL with a valgus stress test at both 0 and 30° of knee flexion. No laxity was demonstrated in the remaining ligaments of the knee joint. The lower extremities were prepared and draped together in the usual sterile fashion. The intervention was performed without the use of a tourniquet.
Our ligamentous reconstruction was approached by an anterior longitudinal midline incision. Dissection was carried down through the skin and subcutaneous tissues to the level of the patellar and quadriceps paratenon, which were carefully preserved. The patellar tendon rupture was identified near the proximal osteotendinous junction bilaterally (). The hemarthrosis was evacuated, and the joint was copiously irrigated. A chronic tear of the right ACL was identified, with the proximal portion of the ligament missing and only scar tissue remaining with the ACL stump adhering to an intact Posterior Cruciate Ligament (PCL). A complete proximal (femoral) MCL tear was identified bilaterally, confirming our clinical suspicion. The medial and lateral retinacula, which were involved as well, were identified for later repair.
At first, with the same incision, the MCL tear was approached. Proximal reinsertion at the level of the medial femoral condyle using a DePuy Mitek super QuickAnchor™ Plus DS® was done to ensure the stability of the medial motion plane. Then, after debridement of the tendinous tissue and visualization of the inferior pole of the patella, three DePuy Mitek super QuickAnchor™ Plus DS® were screwed into the medial, middle, and lateral thirds of the patella in the proper coronal plane. The purchase of the anchors was tested as we were able to deliver the patella to the distal extent of the incision by pulling on the anchor sutures. Then, a circumferential 1.2 mm thick stainless steel wire was passed through the center of the thickness of the patella superiorly and the tibial tuberosity inferiorly. Gradual tension was applied on the metallic wire to obtain the optimal patellar height, confirmed by an intraoperative lateral X-ray. One suture in each anchor was used to create a running Krackow stitch distally through the tendon, ensuring that full-thickness bites were obtained.
The second limb of each suture was passed in a locked fashion through the proximal free tendon and tied within the substance of the tendon. The additional suture within each anchor was incorporated into the repair for reinforcement in a simple continuous fashion. The reconstruction was further protected by a strip of quadriceps tendon measuring 10 × 1 cm, long enough to cover the patellar tendon, which was harvested and turned down. The edges of the turned down quadriceps tendon were fixed to the underlying patellar tendon using slowly absorbable interrupted sutures (Vicryl 2.0). Next, the medial and lateral retinacula tears were repaired using interrupted No. 2 PDS sutures (Ethicon; Somerville, New Jersey, USA). The strength of the repair was tested bilaterally through a gentle range of motion; a flexion up to 130° was possible.
Postoperatively, the legs were placed in knee immobilizer braces, with the knees locked in full extension. The postoperative course was uneventful, and radiographic control was satisfactory (). On the second postoperative day, the patient began ambulation with a walker while keeping the extension knee braces. Full weight-bearing was permitted as tolerated, along with isometric quadriceps-strengthening exercises. The rest of the protocol is as follows: knee flexion exercises limited to 45° were started at the second postoperative week. He had no pain and reached 45° of active bilateral knee flexion. He had an active flexion of 80° at the sixth week, and the knee braces were discontinued. In the eighth postoperative week, the patient achieved a bilateral active complete knee extension and could walk without crutches. As part of his daily physiotherapy program, he was allowed full knee flexion along with a focus on muscle strengthening exercises. Twelve weeks after surgery, the patient presented 100° maximum bilateral knee flexion and returned to work.
Upon examination seven months after surgery, the patient showed an adequate range of motion of both knees (135° flexion, 0° extension) (). Quadriceps muscle, the primary contributor to knee joint stability, had a good strength with no clinical signs of muscular atrophy or extensor lag. The patient denied any sense of instability, and, consequently, he returned to his recreational sports activities. In addition, he reported feeling that his knees were as strong as they were before the accident. At the final follow-up 12 months after the injury, the patient was symptom-free and extremely satisfied as he recovered completely.</t>
  </si>
  <si>
    <t>A 79-year-old woman was referred to our hospital for recurrent paroxysmal AF with palpitation. She had a history of transient ischaemic attack and hypertension. She was on candesartan (8 mg once daily), amlodipine (2.5 mg once daily), and apixaban (2.5 mg twice daily). Her body weight was 39 kg, and height was 159 cm. All laboratory findings were within normal range. Electrocardiogram showed normal sinus rhythm and no evidence of ischaemic changes or ST elevation. Chest X-ray was unremarkable. She showed a dilated left atrium (LA diameter: 31 mm, LA volume index: 35 mL/m2) and normal left ventricular systolic function (left ventricular ejection fraction: 76%). Pre-procedural cardiac computed tomography (CT) showed four pulmonary veins, and slight dilated ascending aorta (maximum diameter: 40 mm, ) with mild calcific plaques. We decided to perform CA for AF, and recommended TOE before the CA to assess the presence or absence of left atrial appendage thrombus (LAAT) because she had a CHADS2 score of 4.
On the day before the CA, TOE was performed with an iE33 (Philips Medical System, Andover, MA, USA) with a 4-MHz OmniPlane probe. After local pharyngeal anaesthesia with lidocaine spray, the patient was placed in the left lateral position and midazolam (3 mg) was administered for mild sedation. Her physical examination showed a regular pulse rate (PR) of 62 b.p.m., a blood pressure (BP) of 117/84 mmHg, and a normal temperature. Her physical examinations at the time of TOE procedure were unremarkable. At 3 min after probe insertion, she had a BP of 117/84 mmHg, PR of 62 b.p.m., and there was no abnormal finding of the ascending aorta at that time (). We then administered additional midazolam (2 mg) due to body movement. At 5 min after the insertion, we confirmed that the absence of LAAT (BP: 95/40 mmHg, PR: 76 b.p.m.). However, TOE showed ascending aortic dissection without pericardial effusion (). The probe was removed at the end of anaesthesia after flumazenil (0.2 mg) infusion. After waking, she had severe back pain, and underwent a contrast-enhanced cardiac CT. Cardiac CT demonstrated Stanford type A aortic dissection extending from the aortic root to the bifurcation of common iliac arteries, and tight stenosis in the right coronary artery (maximum diameter; 49 mm, ). An electrocardiogram showed a normal sinus rhythm and no ST-segment abnormalities. The patient underwent a replacement of the ascending aorta, and a coronary artery bypass graft surgery for the right coronary artery. After surgery, the patient gradually stabilized, and she was transferred to a rehabilitation hospital on the 60th postoperative day. After 9 months of follow-up, the patient is doing well.</t>
  </si>
  <si>
    <t>An 80-year-old woman, 155 cm in height and 70 kg in weight, was admitted to our institution via the emergency room due to a right femur fracture. The patient had a 5-year history of hypertension, which was relatively well controlled with the medication regimen of an antihypertensive agent and aspirin. She did not exercise much due to obesity and depression. She showed delirium symptoms after admission and underwent brain computerized tomography (CT) to exclude organic brain diseases. A brain CT showed severe stenosis of the middle cerebral artery (MCA), an old localized infarction of the basal ganglia, and diffuse atrophy of the brain. She exhibited cardiomegaly on the preoperative chest X-ray, 1 degree A-V block on EKG, an ejection fraction of 65% on echocardiography and other blood studies, and her vital signs are within the normal limits. The preoperative PT/PTT was 12.7/24.4 seconds, INR was 1.15, and arterial blood gas analysis (ABGA) revealed the following: pH 7.376, PaO2 78.6 mmHg, PaCO2 27.5 mmHg.
On the 4th hospital day, she was scheduled to undergo total hip replacement surgery and aspirin was maintained until the 3rd hospital days. Upon arrival at the operating theater, standard monitoring devices were applied and the left radial artery was cannulated for continuous blood pressure monitoring. The patient's blood pressure (BP), heart rate (HR) and O2 saturation was 140/70 mmHg, 80 beats/min, and 98%, respectively, through a simple facial mask with 4 L/min of oxygen. Spinal anesthesia was administered with the patient in the right lateral position using a 26-gauge Quincke spinal needle at the L3-4 interspace with 0.5% hyperbaric bupivacaine 8 mg under standard aseptic conditions. The patient was then placed in the supine position. During the pin-prick test, the patient became unresponsive with BP 70/40 mmHg and HR 40-45 beats/min. Repeated ephedrine administration intravenously (IV) followed by epinephrine 10 µg and full dripping of the crystalloid did not increase the BP. Endotracheal intubation was performed after 7-8 minutes of manual ventilation and norepinephrine 0.1 µg/kg/min, dopamine 2 µg/kg/min were administered continuously. The patient's BP and HR was still 60/40 mmHg and 110 beats/min, respectively, and IV epinephrine 0.02 µg/kg/min was started. The ABGA at that time revealed the following: PaO2 = 488.9 mmHg, PaCO2 = 30.8 mmHg at FiO2 1.0, and EtCO2 = 28 mmHg and O2 saturation = 99%. The cause was suspected to be high spinal anesthesia rather than a pulmonary embolism because of the ABGA findings. Central venous catheterization via the right internal jugular vein was performed to administer the drugs and for hemodynamic monitoring. The central venous pressure was 30 mmHg and emergent TEE was performed immediately. TEE revealed an enlargement of the right atrium (RA) and right ventricle (RV), straightening of the interventricular septum and hypokinesia, which were consistent with PE. IV heparine 5,000 IU was administered and maintained at 1,000 IU/hr. 50 µg/kg of milrinone IV was loaded for 10 minutes and maintained at 0.5 µg/kg/min to manage RV failure. The ABGA results exhibited pH 7.224, PaO2 55.2 mmHg and PaCO2 52.8 mmHg, which were also consistent with PE.
The operation was postponed and the patient was transported to the intensive care unit (ICU). Twenty minutes later, her heart beat decreased to 30 beats/min and cardiopulmonary resuscitation was performed. Chest 3 dimensional PTCA and non-contrast brain CT were performed when the patient's hemodynamic parameter became temporarily stable.
A low density ovoid thromboembolism from the lobar pulmonary artery of the left lower lobe to the entire segmental pulmonary artery of the left lower lobe and enlargement of the right atrium and ventricle, which suggested a poor prognosis, was observed on the enhanced PCTA (). In addition, a low density large acute infarct at the right MCA territory with gyral swelling of the right insula and temporal lobe were noted on the non-enhanced brain CT scan (). After 17 hours admission to the ICU, her heart rate decreased to 30 beats/min, resuscitation was ineffective and she died.</t>
  </si>
  <si>
    <t>A 52-year-old man presents to the office complaining of a 2-week history of fatigue, progressively worsening shortness of breath, and swelling of his lower legs and feet. His past medical history is only significant for slightly elevated blood pressure. The patient denies tobacco use although he does admit to drinking 8-10 beers, daily, for the past 10 years. He takes a low dose of aspirin daily, ever since he had an anterior myocardial infarction 2 years ago. The patient works as a financial consultant and frequently travels for work. The current temperature is 36.8°C (98.3°F), the pulse rate is 68/min, the blood pressure is 152/84 mm Hg, and the respiratory rate is 16/min. His weight is 102 kg (224 lb) and height 180 cm (5 ft 9 in). Echocardiography demonstrates an ejection fraction of 35% and a thin left ventricular wall.</t>
  </si>
  <si>
    <t>Case 2: A 47-year-old female diagnosed with type 2 diabetes 2 years before, and treatment started immediately thereafter. However, after a year, she stopped taking medications on her own decision. She presented to emergency department of our hospital with a fever of 38°C and bilateral lower leg pain for three days. She was hospitalized with a diagnosis of lower right leg cellulitis, and we began cefazolin administration at 3 g/day. On admission, her diabetic control was poor (HbA1c, 11.5%, postprandial blood glucose, 268 mg/dL); in addition, her body temperature was 39.2°C, pulse rate 106 beats/min, blood pressure 137/71 mmHg, height 166 cm, and body weight 61 kg. Routine laboratory testing showed an elevated leukocyte count of 13.8 × 103 cells/μL and a C-reactive protein level of 4.49 mg/dL. Serological tests for syphilis and HIV were negative. Soon after starting antibiotic treatment, her fever subsided. Five days later, redness and swelling disappeared; therefore, we changed treatment to cefdinir at 900 mg/day. She was discharged on day 8. The following day, we confirmed H. cinaedi from the blood culture taken on day 1; nevertheless, we decided to adopt a wait-and-see approach because no exacerbation of disease was observed since her initial admission.</t>
  </si>
  <si>
    <t>A 20-year-old woman presented with progressively worsening dyspnea for 6 months. She had no history of evaluation or treatment for her symptoms, although the symptoms started at the age of high school. Her symptoms became worse with time, and she presented with NYHA class III exertional dyspnea and orthopnea. Her height, weight, and body surface area were 156 cm, 49 kg, and 1.45 m2 respectively. Her vital signs were blood pressure 104/68 mmHg, heart rate 104/min, and respiratory rate 22/min. A regular heart beat was detected with wide fixed splitting of S2 at the pulmonary valve area, and no clubbing of the fingers or nails was observed. A simple chest X-ray showed cardiomegaly and a dilated pulmonary trunk with cephalization of pulmonary vascular marking. Electrocardiography revealed normal sinus rhythm with compatible findings of RV hypertrophy. A transthoracic echocardiogram revealed a large tissue defect of 29 mm with a bi-directional shunt through the interatrial septum (). The RV was prominently dilated and revealed significantly decreased contractility with a D-shaped left ventricle (LV) showing normal contractility (). There was no significant RV hypertrophy. The systolic pulmonary arterial pressure measured by maximal tricuspid regurgitation velocity (TR Vmax) was estimated at 95 mmHg (TR Vmax = 4.6 m/sec), which was roughly equal to systemic systolic blood pressure (). Her walking distance was 362 m on the 6-minute walking test with slightly decreased oxygen saturation from 98% to 92%. Further evaluations to identify the etiology of the pulmonary hypertension included a pulmonary function test, chest computed tomography angiogram and autoimmune panel, but all were negative.
Cardiac catheterization confirmed severe pulmonary hypertension with a mean pulmonary arterial pressure of 48 mmHg (76/36 mmHg absolute) and pulmonary vascular resistance (Rp) of 9.6 Wood units (WU) on room air. The mean systemic arterial pressure was 84 mmHg (97/73 mmHg absolute). After administering oxygen (10 L/min for 10 minutes via a nasal prong) and inhaling iloprost, her mean pulmonary arterial pressure was 50 and 46 mmHg respectively, and had not changed significantly. We failed to identify the pulmonary arterial responsibility after pulmonary vasodilator administration. Based on these findings, closure of the ASD was not performed. Instead, medical treatment including oral bosentan was started to improve patient's symptom.
Her symptoms and exercise tolerance improved from NYHA class III to NYHA class I to II after 1 year of using bosentan. She was able to walk 426 m during the 6-min walk test without desaturation. A follow-up echocardiogram showed no significant interval change except slight improvement in RV contractility compared to the initial echocardiogram, even though her symptoms were much improved. TR Vmax was 4.3 m/sec by continuous wave Doppler test, but there was no significant improvement in comparison with the initial test. Although the follow-up echocardiogram result was very disappointing, we decided to perform a cardiac catheterization and balloon occlusion test to confirm the change in Rp and possibly correct the ASD. We expected some favorable changes in pulmonary vascular physiology, because her exercise tolerance had much improved.
A follow-up cardiac catheterization revealed severe pulmonary hypertension with mean pulmonary arterial pressure of 45 mmHg (75/29 mmHg absolute). The mean aortic pressure was 74 mmHg (95/60 mmHg absolute). Although the patient still had severe pulmonary hypertension, Rp had decreased markedly from 9.6 to 4.2 WU and calculated pulmonary to systemic flow ratio (Qp/Qs) increased from 1.9 to 2.6 in comparison with the initial data. We performed the transient balloon occlusion test using a 34 mm sizing balloon for 10 minutes. As a result, mean pulmonary arterial pressure decreased to 36 mmHg (48/25 mmHg absolute), and mean aortic pressure increased to 85 mmHg (118/70 mmHg absolute). We decided to close the ASD with a transcatheter occluder device considering her young age and the high perioperative risk. We performed percutaneous closure of the defect with a 34 mm Amplatzer® septal occluder (AGA Medical Corp., Minneapolis, MN, USA).
No residual leak was observed on the follow-up transthoracic echocardiography. The patient was given antiplatelet therapy and was maintained on 62.5 mg bosentan bid with diuretics and an angiotensin receptor blocker for 1 year. Finally, her physical activity and symptoms were much improved as she could walk 554 m on the walk test 1 year after the device was deployed. A chest X-ray showed remarkably decreased pulmonary vascularity, but cardiomegaly remained. Follow-up transthoracic echocardiography showed increased left atrial size from 37 to 42 mm and LV chamber size of end-diastole/end-systole from 40/23 to 46/28 mm. RV size had decreased significantly, and RV contractility was much improved in comparison with the initial study, but a compressed LV still remained on the parasternal short axis view (). TR Vmax also decreased markedly from 4.6 m/sec to 3.0 m/sec ().</t>
  </si>
  <si>
    <t>We report a 15-year-old girl who presented with recurrent headaches, arterial hypertension, and a systolic murmur.
Echocardiographic examination in a medical practice had revealed a potential coarctation of the aorta.
The patient had no history of serious illness.
There were no medically relevant aspects from the patient’s personal history. Other than arterial hypertension and coronary artery disease in the patient’s grandfather, there was no known cardiac disease within the family.
The patient presented in good general condition. Body weight was 61 kg and height were 172 cm. Her blood pressure in the right arm with 144/86 [MAP (mean arterial pressure) 110 mmHg] was significantly higher than that in the left arm [118/82 (MAP 96) mmHg] and of the right leg [118/72 (MAP 91) mmHg]. We consistently felt an unequal pulse between the right and left radial arteries (right stronger than left). A 2/6 systolic murmur was identified ventrally in the second and third left intercostal space, and, less prominently, dorsally between the shoulder blades. All other aspects of the physical examination were normal.
No laboratory examinations were done in the diagnostic work-up.
Echocardiography and cardiac MRI revealed a hypoplastic native aortic arch with a bi-carotid trunk and a segment just proximal of the left subclavian artery which was stenosed by 75% ().</t>
  </si>
  <si>
    <t>A 63-year-old, 164 cm, 79 kg male was admitted after sustaining left hip and tibia fracture due to a road traffic accident. The patient underwent a transsphenoidal approach operation due to a pituitary adenoma 5 years previously and had been followed up for panhypopituitarism and diabetes mellitus at our institution.
The patient complained of mild dyspnea 10 hours after the traffic accident. Arterial blood gas analysis (ABGA) revealed pH 7.423, PaCO2 37.3 mmHg, PaO2 50.1 mmHg, SaO2 86.5% (FiO2 0.2). The alveolar-arterial oxygen gradient was increased to 53 but his chest x-ray was normal. On the 3rd hospital day, dyspnea and hypoxemia worsened and chest computed tomography (CT) was performed due to suspected PE. Chest CT scan showed thromboembolism in the right interlobar pulmonary artery, right lower lobe segmental artery and subsegmental pulmonary artery (). Heparin treatment was initiated immediately and dyspnea and hypoxemia improved. Transthoracic echocardiography was performed on the 4th hospital day without showing any abnormality or thrombus. On the 7th hospital day, left lower limb venography was taken but there was no venous thrombus and an inferior vena cava filter was not inserted. The patient was scheduled for an operation 11 days after the accident.
During heparin administration activated partial thromboplastin time (aPTT) was maintained between 60 and 67 sec and heparin was stopped at midnight on the day before the operation. Prothrombin time and aPTT were within normal range on the day of operation. Laboratory tests were within normal range except BUN/Cr which was increased to 23.7/1.5 mg/dl.
The patient was not premedicated. On arrival in the operating room, standard monitoring devices were applied. After Allen's test, the left radial artery was cannulated for continuous blood pressure monitoring and the initial blood pressure (BP) was 120/70 mmHg. 5 L of 100% O2 was applied to the patient via oxygen mask and initial ABGA showed pH 7.43, PaCO2 38.1 mmHg, PaO2 102.9 mmHg, and SaO2 98%. Spinal anesthesia was administered with the patient in the right lateral position using a 25-gauge Quincke spinal needle at the level of the L3-4 interspace under standard aseptic conditions. A total of 12 mg of 0.5% tetracaine, mixed with saline, the patient's CSF, and epinephrine 1 : 200,000 was administered slowly to the patient. The patient was then positioned supine and a sensory block to T10 was confirmed by pin-prick test 5 min later. During spinal anesthesia, 700 ml of Hartmann's solution was administered to the patient and there were no significant changes in BP or heart rate (HR). Forty min after spinal anesthesia, a pneumatic tourniquet was inflated on the left thigh. It was inflated to 350 mmHg, without prior use of an Esmarch bandage. Immediately after the skin incision was made, the patient became unresponsive with BP 50/30 mmHg and HR 40 bpm. Ephedrine hydrochloride 8 mg was administered intravenously followed by another 12 mg but BP did not increase. Phenylephrine 300 µg was administered and endotracheal intubation was performed immediately and the patient was ventilated with 100% oxygen. BP increased to 80/70 mmHg but cardiac arrest then followed, and external cardiac massage was initiated. The patient received epinephrine 1 mg and atropine 0.5 mg repeatedly for 4 times without any response and infusion of epinephrine 0.1 µg/kg/min and norepinephrine 0.1 µg/kg/min was started. Fifteen min after cardiopulmonary resuscitation was instituted, HR increased to 140 bpm and BP increased to 140/90 mmHg. ABGA at that time showed pH 7.127, PaCO2 37.2 mmHg, PaO2 144.4 mmHg, HCO3 12.0 mmol/L, BE -15.9 mmol/L, and SaO2 98.1%. Sodium bicarbonate 200 mEq was intravenously administered because of metabolic acidosis. BP was maintained by continuously infusing epinephrine and norepinephrine. Emergent TEE revealed multiple emboli in the right atrium and the interatrial septum to be bulging into the left atrium (). After the TEE diagnosis of PE, vital signs improved (BP 120/70 mmHg, HR 110 bpm) and the operation resumed. The patient was transferred to the intensive care unit (ICU) with 100% oxygen applied through an endotracheal tube (anesthesia and operation time were 135 min and 50 min in length, respectively). On admission to the ICU, mechanical ventilation was continued with FiO2 1.0. ABGA showed pH 7.165, PaCO2 66.6 mmHg, PaO2 66.6 mmHg, and SaO2 87.1%.
Heparin treatment was initiated immediately on arrival to ICU and D-dimer was 9467 ng/ml. D-dimer increased to 52,796 ng/ml on postoperative day (POD) 2. PaO2 continuously improved and ABGA on POD 7 was pH 7.485, PaCO2 32.4 mmHg, PaO2 142.2 mmHg, and SaO2 99.0% (FiO2 0.4). The patient was extubated on POD 9. The patient was on heparin treatment for 20 days. D-dimer started to decrease and chest CT and echocardiography did not show any pulmonary or intracardiac emboli. The patient's vital signs came to within normal range and the patient was transferred to the general ward on POD 30.</t>
  </si>
  <si>
    <t>The patient was a 50-year-old man (height 159 cm, weight 69 kg) scheduled for extraction of impacted wisdom teeth (#18, 28, 38, and 48) and saucerization owing to chronic osteomyelitis in the right mandibular molar area. The patient had a history of heavy snoring, but was otherwise in good health. However, he had an extreme phobia of tooth extraction. The oral surgeon also determined that the procedure would be highly invasive; as a result, intravenous sedation was requested from the department of dental anesthesiology. We planned conscious sedation using dexmedetomidine to help secure the patient's airway during the extraction procedure. The authors also planned PCS for adequate titration of sedation levels. The patient received an explanation about the dental procedure under sedation, after which he provided written consents for the procedure and the case report.
The results of the pre-anesthesia examination performed the day before the surgery after the patient was admitted showed no specific findings, except eosinophil levels elevated to 13% in the blood test. He was given instruction for NPO for eight hours before the procedure and was sent to the operating room after securing an 18-gauge intravenous line in his left arm.
The PCS pump used was a Perfusor® Space PCA Infusion Pump System (B. Braun Medical Inc., Germany). Dexmedetomidine (Precedex 200 µg/2 ml) was diluted in normal saline to prepare a 50 ml solution at 4 µg/ml. Without setting a basal infusion dose in the PCS pump, the bolus dose, lock-out time, and injection speed were set to 0.1 µg/kg, 1 min, and 1,500 ml/h, respectively.
Electrocardiogram, noninvasive blood pressure, oxygen saturation, and bispectral index (BIS) monitors were attached to the patient. The patient held the PCS demand button in one hand and the patient was instructed to push the button if he felt any anxiety or pain. Oxygen was supplied through a nasal canula, while capnography measurements were obtained simultaneously ().
The sedation procedure took a total of 100 min, and the procedure included saucerization of the region around #37 and extraction of impacted wisdom teeth (#18, 28, 38, and 48). The single dose administered when the patient pushed the button was 1.73 ml, equivalent to 6.93 µg. The patient pushed the button a total of 13 times, but was pushed four times within the lock-out time; therefore, the drug was actually administered nine times, totaling 15.6 ml (62.4 µg).
The patient maintained his state of consciousness and was able to respond to commands. His respiratory rate and vital signs also remained within a normal range (). During the operation, the button was pushed several times during painful procedures. Afterwards, the BIS value dropped to around 60 once, but was maintained around 90 throughout. The serum dexmedetomidine concentrations calculated from the patient and the number of times the button was pushed are shown in . The patient was discharged the next day without any complications.</t>
  </si>
  <si>
    <t>Delta Gap</t>
  </si>
  <si>
    <t>What is the patient's delta gap in mEq/L?</t>
  </si>
  <si>
    <t>A 22-year-old man presented to the emergency department (ED) with a history of tonic-clonic generalized seizures, loss of consciousness, and head trauma following consumption of 800 mg Tramadol. On admission the patient's vital signs were as follows: systolic blood pressure = 160 mm Hg, diastolic blood pressure = 80 mm Hg, O2 saturation = 85%, pulse rate = 106/min, respiratory rate = 24/min and axillary temperature = 37.4°C. Initial examination revealed agitation and bilateral pupil mydriasis with positive pupillary response to light. Arterial blood gas (ABG) analysis showed a high anion gap metabolic acidosis: pH = 6.80, PaCO2 = 30.4 mm Hg, HCO3 = 4.6 mEq/L, Na = 139 mEq/L, Cl = 108 mEq/L. The metabolic acidosis in this patient could not be explained solely by lactic acidosis following seizure activity so other potential causes were explored. A thorough history of the patient’s family revealed that the patient drank homemade alcohol three days prior to presentation. Methanol poisoning was diagnosed on the basis of the previously mentioned history and initial evaluation and the decision was made to begin hemodialysis. Due to the history of head trauma, a computed tomography scan (CT scan) of the brain was performed prior to sending the patient to the dialysis unit (). Protective measures including ethanol gavage, folic acid, and sodium bicarbonate were administered to the patient while waiting to begin hemodialysis. Hemodialysis was then performed for four hours. Following hemodialysis, the patient’s acidosis was reduced, and the clinical features were improved. Approximately one hour later, the patient’s level of consciousness decreased and unilateral mydriasis with negative pupillary light response (anisocoria) developed in the right eye. The patient was immediately intubated and brain CT scan was repeated (). A large epidural hematoma was seen in the right fronto-parietal lobe with evidence of mass effect. The patient was taken to the operating room for hematoma evacuation.</t>
  </si>
  <si>
    <t>The patient discussed in this case report is a 53-year-old male with a past medical history of hypertension, hyperlipidemia, and diabetes mellitus type 2, managed on metformin and canagliflozin. After undergoing a routine laparoscopic appendectomy, his postoperative course remained uneventful. He started tolerating oral feeds, having bowel movements and remained hemodynamically stable. Therefore, he was discharged two days after the surgery. However, a few hours later, on the day of discharge, he presented to the emergency department with sudden onset generalized abdominal pain, non-exertional shortness of breath, and fever.
On presentation, he was febrile (temperature: 100.7°F), tachycardia (heart rate: 114 bpm), tachypneic (respiratory rate: 30/min), and hypoxic with an oxygen saturation of 87% on room air. His physical examination was benign; lungs were clear to auscultation bilaterally and soft, non-tender abdomen. The surgical site looked clean, without any discharge, and was non-tender to touch.
The patient’s initial laboratory measurements were all within normal limits: blood glucose 126 mg/dL, sodium 134 mmol/L, potassium 4.5 mmol/L, chloride 105 mmol/L, bicarbonate 17 mEq/L, blood urea nitrogen (BUN) 11 mg/dL, and creatinine 0.9 mg/dL. The exception was a high anion gap of 20.8 mEq/L and a pH of 7.21. The patient was started on four liters nasal cannula, switched to non-rebreather as he remained hypoxic, and was subsequently admitted to the hospital for further management. A septic workup was initiated, and the patient was placed on empiric antibiotics.
Further laboratory results revealed positive serum ketones (beta-hydroxybutyrate 2.69 mmol/L), whereas the urinalysis revealed glucosuria (urine glucose &gt; 1500 mg/dL) and ketonuria and no proteins. A urine culture was negative for any infectious growth. Serum lactate was 13 mg/dL. A computerized axial tomography (CAT) scan of the patient’s chest showed bilateral lower lobe consolidations suggestive of probable pneumonia. A CAT scan of his abdomen showed probable postoperative ileus with no obstruction or abscess. On further questioning, the patient reported having resumed canagliflozin and his regular diet as instructed upon being discharged.
Due to a high anion gap and positive ketones in the blood with normal blood glucose levels, the patient was diagnosed with euglycemic diabetic ketoacidosis secondary to his SGLT2-inhibitor use. Thus, canagliflozin was stopped, and the patient was started on an insulin drip with 10% dextrose. Subsequently, he was transferred to the intensive care unit (ICU) for closer monitoring. The patient’s condition started improving after the treatment with insulin and dextrose. On day two, following admission, his symptoms improved, and subsequent laboratory results also looked better with a lower anion gap of 16.2 mEq/L. On day three following admission, he was switched from an insulin drip to subcutaneous insulin and sliding scale as his laboratory results approached normal, with an anion gap of 13.2 mEq/L and beta-hydroxybutyrate of 0.81 mmol/L. With symptom resolution, the patient was then returned to the floor. However, his urine glucose remained high (&gt;1500 mg/dL).
Discharged the next day and advised to continue subcutaneous insulin for a week, the patient was asked to consult his endocrinologist for further management. He was also recommended against resuming canagliflozin.</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</si>
  <si>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carbon dioxide 6 mmol/L (normal range: 21-32 mmol/L), anion gap 24 mmol/L (normal range: 3-11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</si>
  <si>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A 12-year-old boy who experienced a cardiac arrest was referred to our emergency department from a local hospital in January 2020. His medical history revealed a cardiac fibroma that was detected prenatally. After birth, the fibroma was partially resected twice at another hospital, as the size and extent of the tumor prohibited single-stage resection. Heart transplantation was considered at the time. At the age of 2 years, he experienced cardiac arrest and was admitted to the same hospital. At that time, ventricular tachycardia was repeatedly detected. He developed central nervous system complications, including hypoxic-ischemic encephalopathy and quadriplegia, after which he had received oral amiodarone. Later, hydrocephalus was detected on brain magnetic resonance imaging, and he was treated with a ventriculo-peritoneal shunt.
The patient’s medication was discretionally discontinued at 10 years of age. At 12 years of age, he experienced a cyanotic spell at home and was unable to breathe. He received cardiopulmonary resuscitation from his father. When the rescue squad arrived, they determined that he was in ventricular fibrillation. Defibrillation was performed, and sinus rhythm was restored. The boy was transported to a local hospital where he received endotracheal intubation. Thereafter, he was referred to our hospital, where he was admitted to the pediatric intensive care unit.
On admission, the patient’s blood pressure and heart rate were 115/70 mm Hg and 151 beats per minute, respectively. He was intubated and was in a stuporous state. Cardiac murmurs were not heard on chest auscultation. Venous blood gas analysis revealed pH, 7.22; pCO2, 58 mm Hg; pO2, 28 mm Hg; HCO3, 18.9 mmol/L; and SvO2, 39%. Serum biochemical analysis showed a lactate level of 9.25 mmol/L. The levels of serum electrolytes were as follows: sodium, 142 mEq/L; potassium, 3.6 mEq/L; chloride, 109 mEq/L; total calcium, 8.4 mEq/L; ionized calcium, 2.3 mEq/L; inorganic phosphorous, 4.0 mg/dL; and magnesium, 1.7 mg/dL. Serum cardiac enzyme levels were as follows: creatine kinase, 155 IU/L; creatine kinase-MB, 3.37 ng/mL; troponin-T, 0.137 ng/mL; and pro-brain natriuretic peptide, 85.9 pg/ml. Cardiomegaly was observed on chest radiography (). Electrocardiogram showed sinus tachycardia with intermittent monomorphic ventricular premature contractions (VPCs). On the 1st day of hospitalization, the patient was supported by mechanical ventilation, without an intravenous inotropic agent. On the 2nd day, VPCs preceded abrupt ventricular fibrillation. He was resuscitated with sinus rhythm restoration following cardiopulmonary resuscitation and defibrillation (2 J/kg). Transthoracic echocardiography () and cardiac computed tomography () demonstrated a known fibroma (about 9.5 cm × 5.5 cm) in the anteroseptal wall of the left ventricle without blood flow obstruction. Soon after, he developed ventricular tachycardia (), and direct current cardioversion was performed along with intravenous amiodarone administration. Additionally, intravenous dopamine was administered for hypotension management. From the third to 9th days of hospitalization, he experience recurrent ventricular tachycardia refractory to multiple (45 times) direct current cardioversions (2 to 4 J/kg) and aggressive administration of antiarrhythmic agents (intravenous amiodarone and lidocaine). Although we suspected that the fibroma induced the arrhythmia, we believed additional partial resection of the tumor would not prevent it. Further, the patient’s poor neurocognitive and psychomotor states posed additional considerations for management. On the 10th day of hospitalization, he underwent an electrophysiology study, and a single-chamber implantable cardioverter defibrillator (ICD) generator (Visia AF MRI XT VR SureScan; Medtronic, Minneapolis, MN, USA) with a lead (model 6935M-62cm, Medtronic) attached to the right ventricle was inserted (). On the 11th day, weaning from mechanical ventilation was initiated. Additionally, the intravenous antiarrhythmic agents were discontinued, and oral amiodarone (10 mg/kg/day) and propranolol (0.75 mg/kg/day) were prescribed. On the 18th day, in the absence of an episode of ventricular arrhythmia from ICD memory for five days, he was discharged in stable condition with the ICD generator and followed up in the outpatient clinic.</t>
  </si>
  <si>
    <t>Only values from the day of admission are given, although the vignette talks about the patient through Day 18. Answer is using the formula 142 - 109 - 36 (Sodium - Chloride - 36).</t>
  </si>
  <si>
    <t>A 27-year-old Hispanic male with a past medical history of obesity (BMI: 28.59 kg/m²), long-standing uncontrolled HTN, stage 3 CKD, and obstructive sleep apnea presented to the hospital with complaints of fatigue, generalized weakness, and bleeding from the upper lip. Approximately a week ago, he got a cut on his lip while drinking from an open can and since then was suffering from slow oozing of blood from the wound site. He also reported 25-30 pounds unintentional weight loss over the past two months. He denied dysuria, hematuria, urgency, cloudy urine, abdominal pain, diaphoresis, fever, chills, syncopal attacks, palpitations, headache, blurry vision, dyspnea, or lower extremity swelling.
The patient was diagnosed with HTN at the age of 13. Three years ago, he was evaluated for exertional chest pain and uncontrolled HTN, which led to the diagnosis of CKD stage III/IV with a baseline creatinine of 2.9 mg/dL. Cortisol level was normal, aldosterone level was less than 1 ng/dL, and renin activity level was elevated at 24.40 ng/mL/hour, but the patient was on lisinopril and repeat testing after discontinuing lisinopril was normal at 1.4 ng/mL/hour. Vasculitis work-up including antinuclear antibody (ANA), anti-neutrophilic cytoplasmic antibody (ANCA) screen, anti-double stranded DNA antibody, and C3 and C4 complement levels were all within the normal range. Renal artery duplex had shown no signs of renal artery stenosis, and CT of the chest had shown a 3.7 cm (borderline) ascending thoracic aorta but no signs of coarctation. Transthoracic echocardiography findings were within the normal range. Exercise cardiac stress test showed no evidence of myocardial ischemia. No secondary cause of HTN could be elicited, and the patient was diagnosed with primary essential HTN. He was placed on three anti-hypertensive drugs: amlodipine 10 mg daily, carvedilol 25 mg two times a day, and hydralazine three times a day. He had stopped taking his blood pressure (BP) medication about one year ago due to insurance issues.
He reported consumption of two beers a week but denied smoking and recreational drug abuse. The patient was adopted at the age of 6 when he immigrated from Mexico to the United States; hence, substantial medical history of his biological family could not be obtained.
On arrival, the patient was afebrile with temperature of 98.7°F, respiratory rate of 14 breaths per minute, heart rate of 98 beats per minute, elevated BP of 175/99 mm Hg, 100% oxygen saturation at room air, and BMI of 27.12 kg/m². Systolic BP in his previous outpatient visits ranged from 140 to 180 mm Hg, indicative of poorly controlled BP. On physical examination, the patient appeared well built but he was pale and lethargic. He had a scab on his upper lip and on removal of the scab, slow oozing of blood was noted. Rest of his examination including cardiovascular, respiratory, abdominal, and neurological showed no abnormalities. Blood chemistry revealed serum sodium of 137 mmol/L, potassium of 5.0 mmol/L, chloride of 98 mmol/L, bicarbonate of 9 mmol/L, anion gap of 30 mmol/L, serum phosphorus of 11.7 mg/dL, corrected calcium of 7 mg/dL, blood urea nitrogen (BUN) of 228 mg/dL, and serum creatinine of &gt;37 mg/dL (Architect Analyzer, Abbott Laboratories, Abbott Park, IL, USA, alkaline picrate kinetic [AP-K] method) []. The glomerular filtration rate (GFR) was unmeasurable and therefore not reported. The calculated GFR using the Modification of Diet in Renal Disease (MDRD) equation was less than 1.5 mL/minute/1.73 m². His baseline creatinine was around 2.9 mg/dL. Complete blood count showed hemoglobin of 4.7 g/dL, hematocrit of 15.8%, mean corpuscular volume of 87.3 fL, and platelet count of 127 x 103/mcL. Peripheral smear showed poikilocytosis, ovalocytes, and elliptocytes. Parathyroid hormone levels were elevated at 1,008 pg/mL. Uric acid levels and creatine phosphokinase levels were elevated at 16.5 mg/dL and 353 U/L, respectively. Protime was mildly elevated to 15.2 seconds, with an unremarkable international normalized ratio (INR) of 1.2. On gross inspection, the urine sample was pale yellow and cloudy in appearance. The urinalysis showed a specific gravity of 1.012, with pH of 5.0, two plus proteinuria, two plus blood, three plus white blood cell esterase, and positive for leukocytes and red blood cells. Urine culture grew Escherichia coli (100,000 CFU/mL). Serological work-up including human immunodeficiency virus (HIV) antigen/antibodies and hepatitis B core IgM antibody, and urine drug screen were all negative.
Chest X-ray did not show any signs of fluid overload such as pulmonary edema or pleural effusion (Figure ). Electrocardiogram showed prolonged QT (QTc 493 ms) (Figure ) and transthoracic echocardiogram revealed mild left ventricular hypertrophy (Figure ). Renal ultrasound reported bilaterally increased parenchymal echogenicity and cortical thinning consistent with chronic renal insufficiency (Figure ).
The patient emergently underwent transfusion with two units of packed red blood cells. HTN was controlled with amlodipine and intravenous hydralazine. His metabolic acidosis was slowly corrected with intravenous bicarbonate infusion. An internal jugular venous hemodialysis catheter was placed, and the patient underwent emergent hemodialysis. With initiation of hemodialysis, bleeding and electrolyte imbalances resolved. During his hospital course, he was also treated with a five-day course of ceftriaxone for urinary tract infection. At discharge, his creatinine level had come down to 15.1 mg/dL, BUN was down to 56 mg/dL, potassium was down to 3.9 mmol/L and hemoglobin was 7.5 g/dL. Eventually, the patient was transitioned to peritoneal dialysis. Unfortunately, due to the patient's non-compliance with dialysis, he has been admitted multiple times over the past year with similar presentations.</t>
  </si>
  <si>
    <t>A 55-year-old female with past medical history of seizure disorder, bipolar disorder, and chronic pain was admitted to ICU due to severe agitation. The patient complained of dizziness along with nausea shortly before hospitalization which was first reported to home physical therapist. There was no neurological deficit besides becoming agitated progressively over time for which she was given several doses of benzodiazepines. Her initial vital signs were blood pressure 119/75 mmHg, pulse rate 58/min, tympanic temperature 98.5, and body weight 99 kg. The second set of laboratory data after ICU admission revealed following: sodium 148 mEq/L, potassium 5.6 mEq/L, chloride 108 mEq/L, carbon dioxide 6 mEq/L, urea nitrogen 24 mg/dL, creatinine 1.85 mg/dL, calcium 8.7 mg/dL, and albumin 4.0 mg/dL. The serum anion gap was elevated at 34. Serum osmolality was not obtained. The patient was intubated for airway protection using lorazepam and rocuronium. Arterial blood gas revealed pH 7.22 and PCO2 17 mmHg. Her baseline creatinine before admission was noted as 1.1 mg/dL. Blood concentrations of commonly abused alcohols were sought given anion gap metabolic acidosis and additional history of psychosocial issues from family. Urinalysis was negative for crystals. Ethylene glycol level became available 169 mg/dL (26.45 mmol/L) 19 hours after admission and other alcohols were negative. Glycolic acid or glyoxylic acid blood concentration was not obtained. Quantification of consumed ethylene glycol was not possible due to the lack of reliable consumption history. Plotting of blood concentrations of ethylene glycol and urea and their corresponding natural logarithm with trend lines using linear regression function is shown in . Fomepizole therapy was initiated and, within 2 hours, hemodialysis followed. The patient was treated using Polyflux Revaclear MAX dialyzer (Gambro, 1.8 m2 membrane surface area) via right internal jugular vascular catheter. Blood flow and dialysate flow were set 300–400 mL/min and 1.5 times blood flow, respectively. Total volume treated was 138.6 L for 8 hours with average blood flow 290 mL/min. The patient was maintained on continuous IV drip of lorazepam for sedation along with several doses of IV phenytoin for subtherapeutic drug level noted upon admission.</t>
  </si>
  <si>
    <t>A 27-year-old woman, living in the central region of Thailand, gravida 1, presented at 37 weeks and 5 days' gestation with complaints of both arm and leg weakness and painful muscle cramps. Her symptoms had begun 5 days earlier. She had myalgia and showed progressive difficulty of proximal muscle activities more than distal muscle activities, without signs of muscle wasting. The patient had no ptosis, and her respiration was normal. A dermatologic exam was unremarkable. She had no history of diarrhea or toxin exposure. Her daily medication consisted of a tablet of ferrous fumarate and a single supplement containing iron, iodine, and folic acid (Triferdine). She had no significant prior antenatal history, no hearing problem, no sign of autoimmune disease, no history of dry eyes or dry mouth, no history of diuretic intake, no history of chronic alcohol intake, and no family history of weakness and hypokalemia.
In the initial assessment, the patient was afebrile, and her blood pressure was 109/65 mmHg. A neurological examination revealed the following motor power: grade 3/5 in both arms, grade 4/5 in both forearms, grade 4/5 in both thighs, and grade 5/5 in both legs. All the deep tendon reflexes were 2+. The well-being of the fetus was assured by a nonstress test. Normal fetal bone development and mineralization were observed by ultrasound.
Investigations showed a total leukocyte count of 8,310/mm3 (5000–10000), with a neutrophil count of 68% (40–75), a lymphocyte count of 24% (20–50), a monocyte count of 6% (2–10), and eosinophil count of 2% (1–6). The hemoglobin was 11.7 g (11–15), platelets were 261,000 cells/mm3 (140,000–400,000), serum potassium was 2.0 mmol/L (3.5–5.0), sodium was 139.5 mmol/L (135–145), and chloride was 108 mmol/L (97–110). Bicarbonate was 19.9 mmol/L (22–32), and it decreased over the next few days to 16.0 mmol/L. In addition, albumin was 3.2 g/dL (3.4–5.0), calcium was 9.7 mg/dL (8.4–10.4), corrected serum calcium was 10.34 mg/dL, magnesium was 1.8 mg/dL (1.8–2.4), phosphorus was 3.8 mg/dL (2.5–4.5), blood sugar was 114 mg%, BUN was 4.1 mg/dL (7–18), creatinine was 0.52 mg/dL (0.55–1.02), aspartate aminotransferase (AST) was 194 U/L (15–37), alanine aminotransferase (ALT) was 124 U/L (0–65), globulin was 2.7 g/dL (2.8–3.3), total bilirubin was 0.43 g/dL (0.0–10.0), direct bilirubin was 0.22 mg/dL (0–0.50), and alkaline phosphatase was 137 U/L (40–150). Urine analysis was negative for blood and urinary tract infections. The urinary pH was 7.0 (5.0–7.5) on a pH meter, and the urinary ketone level was 2+. CPK was 5,338 IU/L (&lt;145). Thyroid function tests were in the normal limit for a third-trimester pregnancy, and serum morning cortisol was mildly increased. Urine was collected after 24 h. The 24 h urine potassium level was elevated at 77 mmol, suggesting hypokalemia from renal losses. Serum anion gap was 13.6 mmol/L. The reduction in bicarbonate and normal anion gap pointed to normal anion gap metabolic acidosis. The patient had no history of extrarenal causes of normal anion gap metabolic acidosis such as vomiting, diarrhea, gastrointestinal fistula, and laxative abuse. These data suggest renal tubular acidosis as a cause. Urine pH of 7.0 pointed out that kidneys could not acidify urine compatible with distal tubular dysfunction. Her serum phosphate was normal and she had no glucosuria. Serum bicarbonate easily increased to 20.9 mmol/L after 0.36 mEq/kg administration. So, all data suggest that she had distal RTA. Then she had no history and no clinical suggestion of anemia and autoimmune disease and had no history of deafness, and besides the fact that screening tests for the underlying causes of the distal RTA were normal the etiology in this case was indeterminate. The serum uric acid was 4.1 mg/dL, antinuclear antibody was negative, and a whole abdomen ultrasound showed mild hydronephrosis, without any detectable renal mass or stones.
Treatments included hydration, correction of the metabolic acidosis with alkali therapy, and potassium supplementation. The patient's clinical and laboratory test results gradually improved. One week after starting the treatments, all the laboratory test results were negative. The patient was discharged.
At 412/7 weeks of gestation, the patient was diagnosed with failure to progress and was taken to the operating room for a cesarean section. A healthy male newborn was delivered. The newborn weighted 3,360 g at birth, and he had an Apgar score of 9 and 10 at 1 and 5 min, respectively. Thin meconium-stained amniotic fluid was found. The operation and postpartum period were uneventful. On follow-up, serum electrolytes, CPK, and creatinine were within normal limits. At the 6-week postpartum check-up, the patient was in good health. She received an injection of depot medroxyprogesterone acetate (DMPA) for contraception.</t>
  </si>
  <si>
    <t>A 59-year-old female with a history of neuromyelitis optica with baseline paraplegia and neurogenic bladder on chronic foley presented to the emergency department with altered mental status.
She was recently admitted to the hospital with septic shock requiring pressors for one day secondary to resistant Escherichia coli urinary tract infection and acute kidney injury (AKI) with elevated creatinine of 1.4 mg/dL (baseline of 0.6-0.7 mg/dL approximately five months ago) and decreased creatinine clearance (CrCl) of 36 mL/min. Her renal function quickly improved on day two of admission to a creatinine of 0.7 mg/dL and CrCl of 56.5 mL/min. She was initially started on intravenous (IV) ceftriaxone and later changed to IV cefepime due to her urine culture, sensitivity pattern, and renal recovery (Figure ). A PICC line was placed and the patient was discharged with IV cefepime. She had completed a 10-day course of cefepime just one day prior to the current admission.
During this admission, initial vitals were temperature 35.8ºC, heart rate 68 beats per minute, respiratory rate 19 breaths per minute, and blood pressure 81/54 mmHg. Her systolic blood pressures were in 80s for the last two to three months prior to admission and was maintained on home midodrine. This was attributed to autonomic dysfunction secondary to neuromyelitis optica after extensive workup. Examination was notable for expressive aphasia and altered mental status. She was also found to have AKI with elevated creatinine of 2.19 mg/dL (baseline 0.6 mg/dL), blood urea nitrogen of 68 mg/dL (baseline 7 mg/dL), and estimated glomerular filtration rate (eGFR) of 23 mL/min/1.73 m2 (baseline &gt;60 mL/min/1.73 m2). Electrolyte levels were serum sodium 145 mmol/L (baseline 141 mmol/L), serum potassium 4.4 mmol/L (baseline 4.3 mmol/L), serum chloride 108 mmol/L (baseline 104 mmol/L), and serum bicarbonate 18 mmol/L (baseline 26 mmol/L). Her urine output was decreased to 600 mL in 24 hours. Brain computed tomography did not show any acute intracranial findings. Magnetic resonance imaging of the brain showed an interval increase in the size of the right centrum semi-ovale and a hyperintense demyelinating lesion without enhancement which ruled out an acute demyelinating process (Figure ).
She continued to become more lethargic over the next few hours and developed jerking of the left upper extremity and face. Medical management to treat the seizures was partially successful. Serum cefepime levels were measured and found to be elevated at 295 mg/L. After three hours of hemodialysis, cefepime levels improved from 295 mg/L to 70 mg/L. She was then started on continuous renal replacement therapy (CRRT) for ongoing clearance of cefepime. Serum cefepime level the next day was 17 mg/L. Her mental status continued to improve and CRRT was stopped 48 hours after initiation. Figure shows the trend of the patient’s renal function during her first admission.
Figure shows the timeline of renal function in relation to her current admission. She did not require additional dialysis while hospitalized.</t>
  </si>
  <si>
    <t>Delta Ratio</t>
  </si>
  <si>
    <t>What is the patient's delta ratio?</t>
  </si>
  <si>
    <t>A 43-year-old German woman was examined after incidental findings of bilateral nephrocalcinosis by ultrasound during her second pregnancy. Figure shows an ultrasound image demonstrating renal medullary nephrocalcinosis in her left kidney. Even though her recent medical history was unremarkable, the patient had claimed strong thirst and polyuria in childhood. Strong appetite for salty food was denied, even though beneficial effects after consumption of salt-rich foods were noticed. She ingested no laxatives or diuretics, nor did the patient abuse alcohol or other drugs. The patient denied nausea, vomiting, diarrhoea, weakness, fever, night sweats, weight loss and heat intolerance. The patient is mother of two healthy daughters.
Physical examination was normal. The blood pressure was normotensive (136/80 mmHg), no oedema were detected. ECG was normal. Laboratory tests showed hypokalaemia (3.0 mmol/L), low-normal total serum calcium (2.31 mmol/L), hyperaldosteronism (515 ng/L, 847 ng/L) (normal range 30–340), hyperreninaemia (43.1 ng/L, 25.6 ng/L) (normal range 2.0–24.6) and increased calcium excretion in the urine [7.5 mmol/day or 0.13 mmol/kg body weight/day (normal range &lt;6.2 mmol/day or &lt;0.1 mmol/kg body weight/day)]. Serum sodium (139 mmol/L), chloride (104 mmol/L), magnesium (0.87 mmol/L) and phosphate (0.9 mmol/L) levels were normal. In venous blood, pH was normal, bicarbonate levels are at the high limit of normality and there seems to be respiratory compensation (venous pH 7.37, HCO3 28.2 mmol/L, pCO2 56.9 mmHg, PO2 29.4 mmHg). In arterial blood, pH was high but bicarbonate levels were normal (pH 7.498, HCO3 25.7 mmol/L, pCO2 30.5 mmHg, PO2 118 mmHg). Fractional excretion of sodium (FENa 2.3%) was increased and tubular phosphate reabsorption (80%) was determined to be in the normal range. FE of potassium (FEK 22%, 29%) was increased, whereas FE of chloride was increased (FECl 2.52%). The trans-tubular potassium gradient (TTKG 21) was high in our patient considering the presence of hypokalaemia, indicating renal potassium wasting. Serum creatinine was 1.10 mg/dL [estimated glomerular filtration rate (eGFR) (Modification of Diet in Renal Disease, MDRD) 58 mL/min], indicating mild-to-moderate CKD (Grade 3a) (2012 KDIGO guidelines). Proteinuria and albuminuria were not detected (protein &lt;40 mg/mL, albumin &lt;3 mg/mL; creatinine 0.4 g/L in urine). After 14 h of water deprivation, our patient had a reduced urine osmolality [392 mOsmol/kg; normal 915 ± 91 mOsmol/kg) at a plasma osmolality of 294 mOsml/kg] [], indicating that she cannot concentrate her urine well. Since antidiuretic hormone (AVP) in plasma is high [plasma copeptin [computed tomography (CT)-pro-AVP] levels 32.4 pmol/L; normal range 2.3–24.5 pmol/L], this decreased urine concentrating capacity does not have central cause (i.e. impaired AVP release by the pituitary gland), but has a renal origin.
Computed tomography scan densitometry was unremarkable. There was no amelogenesis imperfecta []. Hypothyroidism was diagnosed earlier [anti-thyroid antibodies negative (TRAK) or with non-significant titres (TPO, Tg)] and substituted with L-thyroxin. Hyperparathyroidism [serum parathyroid hormone (iPTH) levels (126 ng/L) (normal 15–65 ng/L)] was also detected earlier. Since thyroid/parathyroid ultrasound examination, computed tomography neck/thorax scan, parathyroid scintigraphy, osteodensitometry and X-rays of hands were unremarkable, the patient was initially treated with vitamin D substitution. Although this treatment resulted in a suppression of PTH levels to high-normal values, vitamin D substitution was later discontinued because of possible progression of nephrocalcinosis. The patient was treated with oral supplementation of potassium (80 mmol/day) and ramipril (10 mg/day). In the follow-up period, her serum potassium improved to a level of 3.5 mmol/L. Her serum creatinine stabilized at the level of 1.13 mg/dL (eGFR 59 mL/min) over the next 3 years of follow-up.</t>
  </si>
  <si>
    <t>An 86-year-old woman was admitted to our hospital with a chief complaint of fatigue and acute renal failure. She was scheduled to be admitted to the orthopedic department for pain control of lumbar spinal canal stenosis. However, she vomited once in the morning a week before presentation and was unable to bathe without assistance two days prior to admission. Blood tests revealed severe renal impairment. The patient was referred to the department of internal medicine for consultation on the day of admission. This patient’s medical history included medial osteoarthritis of the left knee, lumbar spinal canal stenosis, and an L2 vertebral fracture two years before admission. There were no malignant findings. She was followed by her general practitioner for blood tests every six months. Her creatinine was 0.64 mg/dL eight months prior to the hospital visit and 1.14 mg/dL one month prior to the hospital admission with no further investigation. Her vital statistics were as follows: height 142 cm, weight 41.8 kg; blood pressure 145/76 mmHg, pulse rate 74 beats/min, body temperature 36.4°C, respiratory rate 16 breaths/min, and oxygen saturation (SpO2) 98%. Blood tests revealed severe renal dysfunction with the following levels: blood urea nitrogen 139.9 mg/dL, creatinine 16.81 mg/dL, Na 134 mEq/l, K 7.5 mEq/l, Cl 100 mEq/l, Ca 8.1 mg/dL, P 11.4 mg/dL, and erythrocyte sedimentation rate (ESR) 101 mm/hour. Urinalysis showed white blood cells (2+), protein (2+), occult blood (1+), and granular and waxy casts in the urine sediments on the fourth day of admission (Tables -). Blood gas tests revealed the following: pH 7.146, partial pressure of carbon dioxide (PCO2) 21.6 mmHg, bicarbonate (HCO3) 7.2 mmol/L, cK+ 7.5 mmol/L, cLac 0.4 mmol/L, and AnGap 16.9 mmol/L. The lab tests indicated metabolic acidosis with an enlarged anion gap.
Emergency hemodialysis with a right internal jugular vein catheter was initiated on the second day of admission. Considering further rapid progression, steroids were urgently administered on the third day of admission due to suspicion of antineutrophil cytoplasmic antibody (ANCA)-associated glomerulonephropathy. This was performed prior to a bone marrow biopsy and immunofixation electrophoresis. Considering renal atrophy and renal damage due to malignancy, an abdominal CT, head MRI, and upper gastrointestinal endoscopy were performed. However, there was no renal atrophy, and no obvious malignant findings were observed (Figure ). Additional tests for antinuclear antibody, anti-streptolysin 0 antibody, anti-glomerular basement membrane antibody, and anticardiolipin antibody were all normal. The serum immunoelectrophoresis that we had submitted on the second day of admission came back on the eighth day, and the IgG, IgA, and IgM had decreased. On the twentieth day of admission, a renal biopsy of the right kidney was performed. Crystals in the tubules and periodic acid-Schiff (PAS)-negative urinary casts suggested acute kidney injury associated with cast nephropathy (Figures -). Additional investigations were performed to determine the cause of the cast nephropathy. On the 33rd day of admission, Bence-Jones protein-λ M protein was detected in the urine. And IgD-λ M protein and Bence-Jones protein-λ protein were detected on the 36th day (Figure ). Additional blood data showed a λ type free light chain of 8440 mg/L (κ/λ ratio of &lt;0.001). This indicated light chain MM or monoclonal gammaglobulinemia (MGRS). Bone marrow examination showed scattered plasma cell nests of 23%, which was consistent with MM (Figure ). Finally, the patient was diagnosed with IgD-λ type MM. There were indications for treatment. However, based on a discussion with a hematologist, it was concluded that active treatment for myeloma would not improve the patient’s condition. This patient was bedridden and her condition was poor. The side effects of the treatment could have impinged on her appetite and condition. When we discussed this with the patient, she refused to undergo chemotherapy or further active treatment. As a result of this discussion, we decided to treat her with palliative measures. For the anemia, we employed a blood transfusion and a darbepoetin alfa injection. Maintenance dialysis was initiated for the chronic renal failure. As it was difficult for the patient to return home, she was admitted to a nursing care facility.</t>
  </si>
  <si>
    <t>A 44-year-old African American female with history of peptic ulcer disease, mitral valve prolapse and anemia presented to the clinic for evaluation of epigastric abdominal pain, nausea and constipation. Review of systems was positive for weight loss of approximately 15 to 20 lbs and fatigue; negative for fever, hematochezia or melena. Medication consisted of dicyclomine, metoclopramide, sucralfate and ferrous sulfate recently prescribed by ER physician for abdominal symptoms. Past surgical history significant for total abdominal hysterectomy with bilateral salpingo-oophorectomy. Family history negative for colon cancer and her mother died from lung cancer at age 70. Physical examination revealed an obese female with blood pressue of 163/88 mmHg and epigastric tenderness to palpation. There were no palpable masses or lymphadenopathy detected. Stool guaic was negative. Laboratory investigation showed calcium level of 15.7 mg/dL, phosphorous 2.8 mg/dL, sodium 136 meq/L, potassium 3.5 meq/L, chloride 100 meq/L, bicarbonate 31 meq/L, BUN 30 mg/dL, creatinine 1.9 mg/dL, glucose 121 mg/dL, total protein 8.1 gm/dL, albumin 3.6 gm/dL, total bilirubin 0.4 mg/dL, SGOT 75 U/L, SGPT 50 U/L and alkaline phosphatase 227 U/L. White blood cell count was 11.3 K/mm3, HgB 8.6 gm/L, HCT 27.2 %, MCV 75.6 fL and platelet count 778 K/mm3, CEA 702 ng/mL. Intact PTH was not measured. Instead, the carboxy (C)-terminal PTH assay (includes C-terminal, intact PTH and midmolecule) was measured and found to be within normal limits at 48 ng/dL (reference range &lt; 88 ng/dL; Specialty Laboratories, Valencia, CA).
She was admitted for evaluation and treatment of severe hypercalcemia. After administering IV pamidronate (Aredia) along with normal saline and IV furosemide, calcium level gradually declined from 15.7 to 10.1 mg/dL over a period of 7 days. CXR was normal and screening mammogram revealed BIRAD 2 benign findings. CT scan of abdomen with and without contrast showed multiple lesions within the liver (). Colonoscopy revealed a 3 cm ulcerated mass near the splenic flexure (biopsy showed moderately differentiated adenocarcinoma). EGD was normal. The following day after surgical consultation she was taken to the operating room for exploratory laparotomy undergoing segmental resection of the transverse colon, where the identified cancer was located (). Open core needle biopsy of a liver mass demonstrated adenocarcinoma compatible with metastasis from colon.
She was admitted on two additional occasions about 1 week apart, 6 days after initial hospital discharge, for refractory hypercalcemia associated with nausea, vomiting, lethargy and confusion. Temporary and partial response was observed to IV pamidronate, in addition to saline diuresis and IV furosemide, lowering calcium from 15.6 to 12.8 mg/dL over period of 10 days. On the second occasion, hypercalcemia was partially corrected with IV zoledronic acid (Zometa), along with saline diuresis and furosemide, dropping calcium from 16.2 to 13.1 mg/dL over 3 days. After being admitted to hospice, her condition continued to deteriorate and she died 7 weeks after initial hospital admission.</t>
  </si>
  <si>
    <t>The present case report was published with the prior consent of the patient’s guardians.
A 23-year-old, 168 cm tall female patient, weighing 42 kg, visited the emergency room with a chief complaint of abdominal pain. The abdominal pain, accompanied by nausea and vomiting, kept increasing gradually for eight hours. The patient was diagnosed with major depression and bulimia nervosa nine years ago. The patient also had a history of frequent vomiting after episodes of binge eating, along with numerous suicide attempts. Ten hours before reporting to the hospital, the patient ate a very large quantity food, equivalent to approximately ten portions; however, the quantity of the vomit was much less, relative to the amount of food taken. The physical examination revealed abdominal pain and distension in the entire region, along with tenderness, but no rebound tenderness. Subsequent abdominal computed tomography (CT) revealed clear gastric distension. The results of various blood tests were normal. In the joint general surgery consultation that followed, it was decided that an immediate surgical treatment was not necessary; hence, the need for continuous observation of the condition was explained, and a gastroenterological or psychiatric hospitalization was advised, but both the patient and her guardians declined hospitalization. Afterward, they were warned of the possible complications, such as electrolyte imbalance, aspiration pneumonia, gastrointestinal perforation, ischemic changes, due to the pressure applied by gastrointestinal distension, and the possibility of death, in case the condition worsened. The self-discharge form was signed, and they returned home.
Seven hours after returning home, the patient re-visited the emergency room due to persistent abdominal pain, and mental confusion. At the time of the visit, the patient was unconscious. On physical examination, a more severe abdominal distension, and signs of abdominal rigidity were observed. Both legs of the patient had turned pale in color. No auscultation sounds were heard over the abdomen, and the dorsalis pedis pulse was not felt on either foot. Shock was suspected due to a 60/40 mmHg blood pressure, 160 beats/min heart rate, 22 times/minute aspiration rate, and 36.4℃ temperature. Other findings included pH 7.076, PaCO2 22.3 mmHg, PaO2 122 mmHg, HCO3- 6.3 mM/L, base excess (BE) 23.7 mM/L, and lactic acid 11.1 mM/L, which were measured in the arterial blood gas analysis and, thus, metabolic acidosis was confirmed. The electrolyte levels Na+ 157 mM/L, K+ 6.2 mM/L, and Cl- 130 mM/L, indicated that the electrolyte imbalance was severe (). In addition, the patient was in a severe hypoglycemic state with a blood sugar level of 15 mg/dl; because of an elevated creatinine level of 2.84 mg/dl, acute renal failure was suspected. First, to treat the metabolic acidosis, sodium bicarbonate was set at 80 mEq/h. In the abdominal X-ray, the gastrointestinal tract (GIT) was seen to be filled with a large amount of food but without any bowel gas (). Abdominal CT revealed a very large dilation of the stomach, esophagus, and the second part of the duodenum; it was suspected that the distended organs were pressing against the descending aorta, and the right kidney was pressed upwards (). One hour after the emergency room re-visit, the patient's mental state became lethargic—communication became impossible and spontaneous respiration decreased; as SpO2 was measured to be 88%, endotracheal intubation was performed. A Foley catheter was then inserted, but no urine was drained; an emergency hemodialysis was prepared, and for enough fluid supply, a central venous catheter was inserted into the right jugular vein. For continuous monitoring of changes in the vital signs, a conduit was placed in the right radial artery. An attempt was made to insert a nasogastric tube to relieve gastrointestinal pressure, but the food was not drained due to a blockage near the esophagus, which made further insertion impossible. An abdominal CT performed for follow-up observation revealed that the abdomen was still filled with food, and the nasogastric tube was twisted at the end of the esophagus (). It was also suspected that insertion was not possible due to gastroesophageal junction deviation or esophageal stenosis; however, no such sign was seen.
There was no decompression through the nasogastric tube, and as time passed, the mental state of the patient changed into a state of confusion. The patient’s vital signs became increasingly unstable. Since the symptoms and follow-up blood test results exacerbated, instead of performing a percutaneous drainage, it was decided to attempt a surgical decompression; subsequently, the patient was transferred to the operation room six hours after the re-visit. In the emergency room, a total of 3,170 ml of crystalloid fluid, in which a 5% glucose solution was included, was administered. Urine volume was not measured.
After reaching the operation room, the patient’s blood pressure was 70/46 mmHg and the heart rate was 128 beats/min. First, in order to improve the vital signs, crystalloid fluid was administered at the highest speed via the right arm’s peripheral venous catheter and via the central venous catheter of the right internal jugular vein. The instillation of norepinephrine was initiated with sustained dosing at an additional rate of 0.2 μg/kg/min, and continuous infusion of vasopressin at 4–8 unit/h was also initiated. Subsequently, general anesthesia was induced using sevoflurane 1–2 vol% and rocuronium 50 mg. In the arterial blood gas analysis conducted after entering the operating room, pH 7.45, PaCO2 20.8 mmHg, PaO2 335 mmHg, Na+ 161 mM/L, K+ 3.8 mM/L, glucose 205 mg/dl, lactate 13 mM/L, hemoglobin 6.8 g/dl, and HCO3- 14.4 mM/L were measured (). Four units of erythrocytes were prescribed to correct the reduced hemoglobin, and 20 mg of furosemide was injected due to a continuous lack of urination. Furthermore, for rapid transfusion, the rapid infusion system (RIS) was connected to the central venous catheter of the right internal jugular vein, and the transfusion of four erythrocyte units was initiated.
The operating surgeon planned and performed a gastrotomy, after making a skin incision of approximately 10 cm and within 20 min of beginning the surgery. The food and 5,000 ml of body fluid present in the stomach were drained via suction. Thirty minutes after the operation, blood pressure was maintained low at 60/40 mmHg and almost all food was drained; as a large amount of continuous gastric bleeding occurred after decompression, a total of 6,000 ml was drained into the suction bottle. In the follow-up arterial blood gas analysis, results showed: pH 6.75, PaCO2 46 mmHg, and lactate 20 mM/L. Acidosis had worsened, the blood sugar level had significantly increased to 469 mg/dl, electrolyte imbalance had exacerbated with K+ 7.5 mM/L, and hemoglobin had fallen to 4.3 g/dl, suggesting a large amount of bleeding. To correct this, 60 mEq of sodium bicarbonate, and two units of insulin were administered. Further, 1.2 g of calcium chloride was administered to treat hyperkalemia. Moreover, additional 20 μg of epinephrine was injected to correct persistent hypotension.
Bleeding in the stomach continued, and despite initiating erythrocyte transfusion via RIS, hemoglobin level decreased. As a result, a large amount of internal bleeding was suspected, and additional eight units of erythrocytes, and eight units of fresh frozen plasma were prescribed. The operating surgeon tried to determine the cause and area of bleeding, but as the surgical incision was only 10 cm, abdominal organs other than the stomach could not be identified with the naked eye. To reduce bleeding, the operating surgeon considered performing a total gastrectomy or extending the abdominal incision to confirm the bleeding areas from, other organs but concluded that the bleeding was due to ischemia-reperfusion injury after surgical decompression, and DIC. Since the patient’s vital signs steadily worsened, it was decided that the abdomen be closed urgently, and the patient moved to the intensive care unit (ICU).
One hour after the start of the operation, suturing after gastrectomy was completed. When the closing of the abdomen started, non-invasive blood pressure was not measured, and flat waveforms were observed in the catheter of the right radial artery. There was no pulse detected via palpation, and after confirming pulseless electrical activity through the observation of electrocardiogram, an additional 1 mg of epinephrine was injected, and cardiopulmonary resuscitation (CPR) was initiated.
A total of 3 mg of epinephrine was injected, with cardiac rhythm monitoring at 2 min intervals; afterward, 2 units of vasopressin were injected at 2 min intervals, totaling an injection of 4 units of vasopressin. After completing the abdominal closure while performing CPR, the patient was transferred to the intensive care unit, and no urine output was seen until the patient left the operation room.
The operation was conducted for 1 h 20 min, and the anesthesia time was 1 h 50 min. During the operation, a total of 800 ml, four erythrocyte units, were transfused, and 6,200 ml of crystalloid fluid were administered. A total of 6,000 ml was drained into the suction bottle—5,000 ml of food and body fluid through the suction unit via gastrectomy, and 1000 ml due to bleeding that had occurred after decompression from the start of the operation until finish; however, as mentioned earlier, the incision area was small, and bleeding occurring from other abdominal organs could not be confirmed, making it difficult to estimate the exact estimated blood loss. Additionally, prescribed erythrocytes and fresh frozen plasma were transfused through the RIS as the patient left the operation room.
After entering the ICU, CPR was stopped due to a return of spontaneous circulation, but the existing usage of epinephrine, norepinephrine, and vasopressin was preserved, and transfusion continued. However, blood pressure was still not measured, an additional 1,000 ml of bleeding was confirmed through the nasogastric tube, and bleeding from the closed abdominal area continued. Subsequently, as 3.5 g/dl hemoglobin was measured in the follow-up test, transfusion continued, and a 113.1-second prothrombin time, 180-s activated partial thromboplastin time, and platelet count of 22,000/μl were found, confirming that the patient was in a state of DIC. Despite continuous drug administration and transfusion, the hemoglobin level decreased to 1.8 g/dl, and after three hours in the ICU, the heartbeat disappeared, and the patient was declared dead.</t>
  </si>
  <si>
    <t>A 17-year-old male with no significant past medical history was brought to the emergency department (ED) after a self-inflicted gunshot wound to the head. In the ED the mother was specifically asked about potential overdoses. She stated that there was a recently purchased bottle of acetaminophen in the garage where her son had been working. She had asked him to bring her the bottle; approximately five minutes later, he went into another room and she heard a gunshot.
Upon arrival in the ED, the patient was intubated without medication. He had a systolic blood pressure of 130 mm Hg, a pulse of 111 beats per minute, a respiratory rate of 16 via bag-assisted respirations and a temperature of 36.5°C. Physical exam was notable for a single penetrating wound to the right temporal bone. Pupils were fixed and dilated. There was no evidence of trauma anywhere else on his body. The computed tomography scan of his brain demonstrated a non-survivable head injury with multiple skull fractures, intraparenchymal, intraventricular, subarachnoid and subdural blood. Additionally, there was significant cerebral edema with evidence of tonsillar herniation. The remainder of the physical exam was consistent with brain death, with no additional signs of trauma. Initial laboratories returned with a hemoglobin, 11 gm/dL; platelets, 218 103/mm3; sodium, 138 mEq/L; potassium, 2.9 mEq/L; chloride, 104 mEq/L; bicarbonate, 22 mEq/L; blood urea nitrogen, 12 mg/dL; and creatinine, 0.96 mg/dL. His aspartate transaminase (AST) was mildly elevated at 50 IU/L and his alanine transferase was normal at 20 IU/L. Initial international normalized ratio was 1.26. His acetaminophen level drawn at arrival was markedly elevated at 134 mg/L. The EPs initiated N-acetylcysteine (NAC) therapy and requested a medical toxicology consultation. Family expressed their interest in organ and tissue donation. The intensive care service requested input from the toxicology team with regard to immediate treatment for the patient, as well as timing and toxicological issues that could affect organ donation and transplantation.
After conversations with the family, there was no further history available regarding potential ingestions or time of ingestion. An exact time of ingestion could not be determined. The family located the bottle and found approximately 20 grams of acetaminophen missing, an amount capable of producing fulminant hepatic failure. Given the lack of overdose information with evidence of a significant ingestion, intravenous NAC was continued indefinitely. Charcoal therapy was considered, but with the unknown time of ingestion and the duration of time elapsed from pre-hospital transportation through ED resuscitation, the patient was outside the window for likely therapeutic benefit.
The process of brain death evaluation was initiated. Our institutional policy for pediatric patients (defined as &lt;18 years of age) is to have two separate brain death exams on separate calendar days. During this period, a multidisciplinary group of pediatric intensive care physicians and medical toxicologists participated in supportive care. Initial plans for heart, lung, and pancreas donation were decided, but the viability of the kidneys and liver were unknown. The next 24 hours of laboratory evaluation is summarized in .
After the patient was declared brain dead, organs were recovered and transplanted into six different recipients. The heart, lung, pancreas and one of the kidneys were successfully transplanted, and at three months post transplant all organs were functioning well. The liver was split, with one recipient also receiving a kidney. The patient who received the right hemi-liver alone did not experience complications and had excellent allograft function at three months. The patient who received both the left hemi-liver and a kidney had a prolonged intensive care hospitalization for two months post transplant for infectious complications; however, the transplanted organs were functioning normally during the intensive care stay and at three months post transplantation.</t>
  </si>
  <si>
    <t>A 32-year-old Asian female was referred to an endocrinologist for evaluation of hypertension and hypokalemia. Blood pressure of 170/120mmHg was found during a routine annual examination. She was asymptomatic and did not take diuretic, liquorice or herbs. She did not have diarrhea, vomiting, history of chronic alcohol intake or toxin exposure. Her parents had hypertension starting in late adulthood. She had no family history of stroke, renal disease, periodic paralysis or hypokalemia. Her electrolytes were notable for serum potassium of 3 mmol/L (mEq/L) with spot urine potassium concentration of 23mmol/L. Despite taking a combination of antihypertensive drugs of amlodipine 10mg daily and atenolol 50mg daily, her blood pressure remained 130/100-150/110mmHg.
On examination, the patient's blood pressure was 134/96 mmHg and heart rate was 104 beats/min. Clinical examination findings were unremarkable except for being overweight according to Asian criteria (body mass index, 23.4 kg/m2). No Cushingoid appearance was detected. Auscultation showed no renal bruit. Laboratory evaluation showed hypokalemia and normal renal function [sodium 140mmol/L (136-145), potassium 3.31mmol/L (3.5-5.1), chloride 106mmol/L (98-107), carbon dioxide 26.4mmol/L (22-29), blood urea nitrogen 19mg/dL (7-18), creatinine 0.77mg/dL (0.51-0.95)]. Urinalysis showed 3-5 red blood cells per high-power field, without protein and glucose. She required up to 1.5 g of oral potassium chloride daily to maintain normokalemia. Supine plasma renin activity and aldosterone concentrations were 1.41 ng/mL/h (reference range, supine position 0.23-3.33 and seated position 0.36-3.84 ng/mL/h) and 25.2 ng/dL (reference range, supine position 1-16 and seated position 2.5-31.5 ng/dL), with an aldosterone/renin ratio of 17.87 (primary hyperaldosteronism, ratio &gt;20; secondary hyper- aldosteronism, ratio ~10). Clinical and laboratory data favored a diagnosis of secondary aldosteronism. Magnetic resonance imaging of renal arteries was initially planned to exclude renal artery stenosis, but the examination revealed multiple cysts of varying sizes in both the kidneys and the liver, consistent with ADPKD(). There was no adrenal mass or renal artery stenosis.
After the diagnosis of ADPKD had been established, the patient received valsartan 80mg daily without further requirement of potassium(). After a 4-year follow-up, her blood pressure was controlled within the normal range, and she had no further episodes of hypokalemia.</t>
  </si>
  <si>
    <t>A 42-year-old African-American man with HIV/AIDS, not taking any medications including HAART and pneumocystis jiroveci prophylaxis since January 2007, presented in August 2007 with complaints of progressing shortness of breath, right-sided pleuritic chest pain, non-productive cough, and low-grade fever for last several weeks. He was diagnosed with HIV initially in 1999, during hospitalization for community-acquired pneumonia. The patient also had a history of facial herpes simplex virus type 2 (HSV-2) which has been recurrent and a history of pneumocystis pneumonia in June 2005. Previous laboratory studies from November 2006 revealed a CD4+ lymphocyte count of 20 and viral load HIV RNA of 65,833 copies/ml. He was a social drinker and had never used illicit drugs or tobacco products. HIV was presumed to be acquired sexually.
On initial assessment in the emergency department, he was cachectic but was in no acute distress. He had a fever of 38°C, blood pressure of 92/60 mmHg and regular pulse of 85 beats per minute. He was breathing at 20 breaths per minute. Oxygen saturation was 95% on room air, which decreased to 90% during ambulation. There were no oral lesions. His neck was supple. Examination of the lungs revealed bilateral expiratory wheezes and rare rhonchi. Cardiac examination demonstrated normal first sound, second sound with a regular rhythm and no murmurs. His abdomen was soft, nontender, nondistended with normoactive bowel sounds. His extremities were warm and his skin was dry with multiple small herpetic ulcers on the left ear and the left side of the face.
Laboratory tests revealed the following concentrations: sodium 138 mmol/L, potassium 4.5 mmol/L, chloride 103 mmol/L, bicarbonate 26 mmol/L, BUN 2.9 mmol/L, creatinine 61 μmol/L, glucose 4.78 mmol/L, white blood cell 3.4 × 109/L, neutrophils 86%, hemoglobin 7.1 mmol/L, hematocrit 33%, platelets 322 × 109/L, LDH 497 U/L, CD4+ lymphocyte count of 2. Chest X-ray was negative for infiltrate (Figure ), but high resolution CT of the chest revealed subtle right middle lobe and right upper lobe ground-glass opacity (Figure ).
The patient was admitted to the medical ward with a working diagnosis of pneumocystis pneumonia. A sputum sample was collected spontaneously for a culture work-up (Bartlett score: +3). No sputum sample was collected for mycobacterial stains. Empiric treatment with trimethoprim-sulfamethoxazole (1 tablet double-strength × 3 per day) and prednisone (40 mg × 2 per day) was started. The patient was also placed on treatment for HSV with acyclovir (400 mg × 3 per day). The prednisone doses were reduced as part of initial therapy for pneumocystis pneumonia. On the third day, direct fluorescent antibody test for Pneumocystis jiroveci was negative, but the culture was positive for Bordetella bronchiseptica. The patient was placed on droplet precautions; treatment was switched to levofloxacin (400 mg per day). Trimethoprim-sulfamethoxazole dose was modified to (1 tablet single-strength per day) for pneumocystis prophylaxis and azithromycin (1200 mg once per week) for Mycobacterium avium complex prophylaxis began. The patient subsequently improved on levofloxacin and on the seventh day was discharged home on levofloxacin, trimethoprim-sulfamethoxazole, azithromycin, and acyclovir. After eleven days, the patient visited our office. The patient had no complaints, no fever and no cough and his shortness of breath was fully resolved. On retrospect, the patient reported that he had been visited by his brother and his brother's dog at his home about a week prior to the illness.</t>
  </si>
  <si>
    <t>A 36-year-old female smoker presented to the emergency department with epigastric abdominal pain, radiating to her back, of 1 week duration. Her past medical history was significant for type 2 diabetes for which she was on oral hypoglycemic agents and insulin; presumed secondary HTG for which she was on atorvastatin and gemfibrozil; furthermore, she used medroxyprogesterone acetate for contraception. She had stopped all these medications except the contraceptive 12 months prior to her presentation. The patient has no history of alcohol abuse, thyroid dysfunction, or family history of HTG. On admission, all vital signs were within normal limits. Physical examination was normal except for epigastric tenderness and a BMI of 31.4 kg/m2.
The initial relevant laboratory testing revealed sodium of 129 meq/l, potassium 3.7 meq/l, chloride 97 meq/l, BUN 10 mg/dl, creatinine 0.77 mg/dl (at baseline), bicarbonate 13.7 meq/l, anion gap 18 meq/l, glucose of 324 mg/dl, amylase 31 IU/l, lipase 206 IU/l, and TG 2,329 mg/dl with a previous baseline of around 2,000 mg/dl, serum calcium 9.0 mg/dl, TSH 1.182 µIU/ml, serum lactate 1.8 meq/l, negative urine ketones with serum beta-hydroxybutyrate 0.16 mmol/l, and negative urine pregnancy test. The abdominal computerized tomography scan showed no definite evidence of pancreatitis or any other pathology.
Despite unremarkable imaging, normal amylase, mild elevation of lipase, and a TG level that was mildly elevated from previous baseline, she was treated for possible HTGP with IV insulin based on the overall clinical picture. The differential diagnosis includes diabetic ketoacidosis (DKA); however, the patient lacked serum or urinary ketones. Regardless, IV insulin would treat both conditions of HTGP and DKA. The clinical impression of HTGP was further supported when her lipase increased to 370 IU/L and the TG levels on the initial sample was re-assayed resulting in a corrected reading of &gt;10,000 mg/dl. The TG levels decreased to 6,069 mg/dl with IV insulin on day 5. However, given the worsening abdominal pain, plan for plasmapheresis to rapidly reduce the TG levels was taken. The TG levels decreased to 2,055 mg/dl after the first exchange and to 642 mg/dl after the second session, and her symptoms improved significantly.</t>
  </si>
  <si>
    <t>The patient is a 53-year-old African American female with a past medical history of
hypertension and diabetes mellitus type 2 who presented to the emergency department
with altered mental status. Her family reported that she had been feeling unwell for
3 days. Her symptoms subsequently progressed to altered mentation and dyspnea. In
the emergency department, initial vital signs include a temperature of 36.6 °C,
heart rate of 112 beats per minute, blood pressure of 140/72 mm Hg, respiratory rate
of 28 breaths per minute, and oxygen saturation of 96% on room air. On physical
examination, the patient was confused and agitated. She was tachypneic and
tachycardic on heart and lung examination. Laboratory tests () revealed leukocytosis with a
white blood cell count of 19.9 × 109/L, absolute neutrophils of 89.3%,
and a platelet count of 507 × 109/L. The basic metabolic panel revealed a
sodium level of 131 mmol/L, potassium of 6.2 mmol/L, chloride of 104 mmol/L, total
CO2 of 6, glucose level &gt;38.8 mmol/L, BUN (blood urea nitrogen) of
25 mmol/L, creatinine of 362.5 µmol/L, high anion gap of 28, and acetone was large.
Arterial blood gas revealed a high anion gap metabolic acidosis with compensatory
respiratory alkalosis. Computed tomography (CT) of the head without contrast was
unremarkable. The patient was started on intravenous fluids and insulin infusion and
was transferred to the intensive care unit to manage DKA and acute kidney
injury.
In the intensive care unit, the patient’s DKA resolved, and altered mentation
improved significantly over 3 days; however, her renal function progressively
worsened. Her BUN and serum creatinine continued to trend up, and she became
oliguric. Given these changes, an Udall catheter was placed for hemodialysis. Of
note, the patient had a creatinine level of 88 µmol/L and BUN of 3.6 mmol/L on her
outpatient blood work 2 months before this presentation.
In the days following treatment, the patient became febrile, with a
Tmax of 39.1 °C and tachycardic, but she remained
hemodynamically stable. A septic workup was performed, and empiric broad-spectrum
antibiotics were started along with antipyretics. Blood cultures grew K
pneumoniae. Ultimately, a CT scan of the abdomen and pelvis with oral
contrast showed several hypoattenuating hepatic lesions and heterogeneous splenic
hyperattenuation concerning for splenic infarcts. Magnetic resonance imaging of the
abdomen and pelvis to further characterize these lesions revealed about 8 lesions in
the left hepatic lobe, with the largest lesion measuring 3.9 × 3.2 × 3.7 cm in size,
within segment 3 of the left hepatic lobe concerning for hepatic abscess. There were
also numerous ill-defined peripherally located lesions within the spleen concerning
for abscesses. Piperacillin/tazobactam was de-escalated to ceftriaxone along with
metronidazole. Percutaneous drainage of the left hepatic lobe abscess through
Interventional Radiology guidance yielded 30 mL of pus that grew K
pneumoniae as well (see and ).
The patient’s overall condition improved, and repeat blood cultures were negative.
Her renal function stabilized, and dialysis was discontinued. A repeat CT scan of
the abdomen and pelvis revealed worsening of several ill-defined hypoattenuating
splenic lesions with adjacent perisplenic fluid, which required percutaneous
drainage of the splenic abscesses.
Likewise, her hospital course was complicated by acute right femoral, popliteal, and
peroneal vein deep vein thrombosis, for which she was started on high-range heparin
infusion, which was discontinued after 2 days due to a steep decline in hemoglobin
level. An inferior vena cava filter was subsequently inserted. A colonoscopy
revealed a 15-mm polyp in the cecum and nonbleeding hemorrhoids. Her hemoglobin
level subsequently stabilized following blood transfusions. She continued to improve
clinically on the current antibiotic regimen. Ultimately, she was discharged to
complete a 6-week course of antibiotics through a peripherally inserted central
catheter line to follow-up outpatient with nephrology, infectious disease, and
primary care physician.</t>
  </si>
  <si>
    <t>A 66-year-old morbidly obese woman presented to the ED with generalized weakness over the last seven days, oliguria, poor appetite, and thirst. Her past medical history included hypertension, hyperlipidemia, congestive heart failure, pulmonary hypertension, restrictive lung disease, morbid obesity, and type 2 diabetes mellitus. She had no history of cancer or multiple myeloma, or renal disease as evident from past admissions.
Upon presentation to the ED, she was found to have a serum creatinine of 5 mg/dL (her baseline was 0.5 mg/dL) and a serum calcium level of 23.1 mg/dL (normal reference range: 8-10.4 mg/dL) and ionized calcium of 3.23 mg/dL (normal reference range: 4.23-5.11 mg/dL). Her albumin was 3.9 g/dL, within normal range, indicating true hypercalcemia. CT of her abdomen and pelvis revealed an 18 mm cyst in upper pole of the right kidney with a parapelvic cyst measuring 18 mm x 18 mm (Figure ). Chest X-ray (CXR), CT of head also did not show any significant pathology. Her other labs included a white blood cell (WBC) 14.14, hemoglobin 11.8 g/dL, platelet 427,000 platelets per microliter, sodium 131 mEq/L, potassium 3.8 mEq/L, chloride 89 mEq/L, carbon dioxide 36 mEq/L (normal reference 20-32 mEq/L), blood urea nitrogen (BUN) 62 mg/dL, magnesium 3 mEq/L, aspartate aminotransferase (AST) 71 IU/L, alanine aminotransferase (ALT) 46 IU/L, troponin 39 ng/mL, B-type natriuretic peptide (BNP) 435 pg/mL, international normalized ratio (INR) less than 0, and partial thromboplastin time (PTT) more than 212 s. Her electrocardiogram (EKG) showed intraventricular right bundle branch block (Figure ). Her vitals included a temperature of 97.8 degrees Fahrenheit, pulse of 72 beats/min, and blood pressure of 160 over 83 millimeters of mercury. A hypercalcemia work-up was done which included parathyroid hormone (PTH), PTH-related protein, and serum protein electrophoresis. PTH was found to be low at 13.9 pg/mL (normal range 15-75 pg/mL) and PTH-related protein (PTHrP) was less than 2 pmol/L, normal. Serum immunofixation showed no monoclonal band, and serum and urine protein electrophoresis were unremarkable. Viral hepatitis serologies were negative. Thyroid stimulating hormone (TSH) was 3.14 uIU/mL, normal. Vitamin D 25-hydroxy was normal, 50.3 ng/mL.
Treatment was initiated with fluid resuscitation (1 L normal saline bolus), the bisphosphonate Zometa (Sagent Pharmaceuticals, Schaumburg, IL), and Miacalcin (Mylan, Rockford, IL). A temporary dialysis catheter was placed and dialysis treatment was initiated 12 h later (day two), and again on day three due to a persistently elevated serum calcium level of 11.5 mg/dL. Dialysis was necessary as Zometa and Miacalcin were not working fast enough to ensure a positive outcome alone. In addition, there was concern for acute tubular necrosis due to Zometa in our patient with a creatinine clearance of less than 30 mL/min (Figures -, Table ). The patient’s serum creatinine and calcium levels improved by day six and patient was discharged home with outpatient follow-up.</t>
  </si>
  <si>
    <t>Our patient was a 26-year-old male, a known case of T1DM for 6 years on insulin, who presented to our outpatient department (OPD) with complaints of epigastric pain, postprandial fullness, and nausea. The patient was not compliant with the treatment and was coming erratically for follow-up to the OPD. On examination, the patient was conscious, oriented, dehydrated, and had mild pallor. Examination revealed a pulse rate of 60/minute, blood pressure (BP) of 100/60 mm Hg, respiratory rate (RR) of 17 breaths/minute, and temperature of 98.6°F. He had bilateral posterior subcapsular cataract and acne on face. Systemic examination revealed tender epigastrium and absent deep tendon reflexes. Rest of the systemic examination was normal.
Investigations revealed the following: hemoglobin (Hb) 10.2 g/dL; total leukocyte count (TLC) 5.3 × 109/L; differential leukocyte count (DLC): N 71%, L 20%, M 7.5%; platelet 273 × 109/L; erythrocyte sedimentation rate (ESR) 24/1sth; urea 37 mg/dL; creatinine 1.09 mg/dL; bilirubin 1.34 mg/dL; aspartate transaminase (AST) 34 U/L; alanine transaminase (ALT) 50 U/L; alkaline phosphatase (ALP) 450 U/L; total protein 5.9 g/dL; and albumin 3.7 g/dL. Initial blood sugar was 284 mg/dL. Arterial blood gas analysis revealed the following: pH 7.20, pO2 72 mm Hg, sO2 95 mm Hg, pCO2 36 mm Hg, Na+ 137 mEq/L, K+ 2.5 mEq/L, HCO3− 12.1 mEq/L, Cl− 116 mEq/L (100–112 mEq/L). Urine for ketone bodies was negative. His HbA1C was 11.8%. ECG and chest X-ray were normal. 24-hour urinary protein was 100 mg/dL. The USG abdomen was normal. Patient was initially managed with IV normal saline and potassium replacement. After initial resuscitation with IV fluids, and potassium replacement, the patient's blood sugar stabilized to 172 mg/dL random; however, metabolic acidosis and hypokalemia persisted. Then, the possibility of dRTA was thought of. Anion gap was calculated as Na – [HCO3 + Cl], which was normal: 137 – [12.1 + 116] = 8.9 mEq/L. Furthermore, urine pH was 6.0 even at a serum pH of 7.20. The patient was diagnosed as dRTA in view of normal anion gap metabolic acidosis with hypokalemia with inability to acidify urine in the presence of systemic metabolic acidosis. Meanwhile, the patient started tolerating oral intake and was started on oral feeds with pre-meal subcutaneous regular insulin. Subsequently, the patient was put on oral sodium bicarbonate tablets at a dose of 2 mEq/kg and oral potassium replacement. His metabolic acidosis and hypokalemia improved markedly. He was discharged with a final diagnosis of T1DM with dRTA.</t>
  </si>
  <si>
    <t>A 51-year-old male from Tanzania, a hypertensive, on maintenance hemodialysis since June 2005, underwent a live related renal transplantation on 13/09/2005. His serology for HIV 1 and 2, hepatitis B, hepatitis C was negative. He had a history of blood transfusion (6 units) in June 2005 in his native country. His post-operative period was uneventful. He was inducted with a single dose of basiliximab on the day of transplantation and his immunosuppressants were prednisolone 15 mg, Mycophenolate Mofetil (MMF)–500 mg B.D, cyclosporin 175/150 microemulsion on discharge while returning to his country. The patient developed new onset diabetes after transplantation (NODAT). On discharge (6/10/2005) his blood urea was 31 mg/dL and serum creatinine was 1.1 mg/dL.
He returned to Tanzania and was followed-up there. He came back for a review 1 year later when his investigations showed urea 36 mg/dL, creatinine 1.2 mg/dL. Three months later, he presented with a rapidly progressive ulcerative lesion on his right thigh associated with swelling of the right lower limb. The ulceroproliferative lesion was 20 × 15 cm with skin discoloration and bilateral palpable inguinal lymph nodes. Investigations showed urea 53 mg/dL, creatinine 1.4 mg/dL, sodium 133.4 mEq/L, potassium 4.09 mEq/L, chloride 107 mEq/L, and bicarbonate 23.2 mEq/L. Wedge biopsy of the skin lesion showed pseudoepitheliomatous hyperplasia and inguinal lymph node biopsy suggesting features consistent with Kaposi sarcoma []. Repeated testing of HIV was negative and staining for acid-fast bacilli was negative Epstein-Barr virus IgG 22.6 and IgM 8.5. He was started on chemotherapy (liposomal doxorubicin). MMF was stopped, and cyclosporin and prednisolone were tapered with the plan of stopping in 2-3 weeks. He was started on sirolimus 5 mg once a day. On discharge, his investigations were urea 44 mg/dL, creatinine 2.3 mg/dL, sodium 124.6 mEq/L, potassium 5.03 mEq/L, chloride 96 mEq/L, bicarbonate 18.6 mEq/L, Hb 8.4 gm/dL, and TWBC 7500 cells/mm3. He received three doses of chemotherapy.
On follow-up, his Kaposi sarcoma lesion had regressed. His blood urea was 37 mg/dL and creatinine 1.3 mg/dL. He was given one dose of liposomal doxorubicin 40 mg on 15/3/2007. His right leg venous Doppler was normal. He was discharged with sirolimus monotherapy. His follow-up on 8/12/2007 was uneventful with blood urea 42 mg/dL, creatinine 1.5 mg/ dL, and he was continued on the same line of treatment.
On 20/05/2011, he presented with hematuria and high-grade fever. He had diarrhea for 3 days without blood or mucus. Stool analysis was unremarkable and the diarrhea settled. His investigations were blood urea 91 mg/dL, creatinine –3.1 mg/dL, sodium 133 mEq/L, potassium 3.7 mEq/L, chloride 98 mEq/L, bicarbonate 25.8 mEq/L, c alcium 9.2 mg/dL, phosphorus 3.4 mg/dL. Imaging of the chest did not show any lung parenchymal or pleural lesion. He tested positive for HIV with a viral load of 564407 IU/mL, CD4 count was 241 cells/mL and CD8 was 846 cells/mL. He denied any risky sexual behavior or IV drug abuse. Renal biopsy suggested features of chronic allograft nephropathy (CAN) [] with ill- defined granulomas suggestive of TB []. Nuclear amplification test of the urine for TB was positive. He was also diagnosed with BK viremia. He was started on antituberculous therapy (ATT) (isoniazid 150 mg once a day, pyrazinamide 750 mg twice a day, levofloxacin 500 mg twice a day, pyrodoxine 40 mg once a day). Antiretroviral drugs (zidovudine 300 mg twice a day, lamivudine 150 mg twice a day, efavirenz 600 mg twice a day) were initiated after discussion with ID consultant. His sirolimus dose was reduced to 3 mg once daily with a through level of 4.56 ng/dL. He became afebrile after a week of ATT and macroscopic hematuria disappeared. He was discharged with advice of regular follow-up.</t>
  </si>
  <si>
    <t>Using the most recent values from May 20, 2011</t>
  </si>
  <si>
    <t>A fifty-five-year-old Afghanistan gentleman with a history of hyperthyroidism (5 years) and ischemic cardiomyopathy (2 years) presented to Aga Khan University Hospital in July 2012. He was found to have kidney failure 2 months previously and was initiated on hemodialysis due to uremic encephalopathy. He was admitted to our institution for further work-up investigations for his kidney failure. His laboratory investigations were as follows:hemoglobin: 9 g/dL, white cell counts: 4,700 u/L, platelet count: 171,000/mm3. Urine DR showed yellow color with clear appearance, pH of 5, specific gravity of 1.010, 4 red blood cells per high-power field, 1 WBCs per high-power field, urine protein of 1.0 g/L, and 2 RBCs cast andurine protein to creatinine ratio: 3.9, BUN: 109 mg/dL, creatinine: 4.8 mg/dL, electrolytes: serum sodium 141 mmol/L, potassium 5.0 mmol/L, chloride 116 mmol/L, and bicarbonate 14.5 mmol/L, ANA: negative, C-ANCA: negative, P-ANCA: negative, hepatitis B surface antigen: nonreactive, hepatitis C antibody: nonreactive, PT/APTT/INR: 10.5/30.2/1. Because of symptomatic uremia, a right internal jugular nontunneled catheter was inserted on 28 of July 2012 for hemodialysis. In view of his normal size kidneys, a biopsy was done on 1 August 2012 to look for reversible causes. The biopsy showed 20 glomeruli in which 14 were globally sclerosed or severely collapsed and condensed. Several of them were associated with fibrocellular crescents with disruption of bowman's capsule and 4 had cellular crescents. Immunofluorescence showed IgA positivity in the mesangium and along the capillary walls. He was pulsed with methyl prednisolone 500 mg once a day for 3 days followed by oral prednisolone 25 mg twice a day. Cyclophosphamide or mycophenolate mofetil was not added in view of 14/20 sclerosed glomeruli and fibrocellular crescents. As there was no sign of renal recovery, the patient was discharged on three times a week dialysis through right internal jugular catheter with followup in nephrology outpatients clinic.
He was readmitted on 8 August 2012 approximately one week after discharge, with a two-day history of high grade fever, mild productive cough, frothy sputum, and hemoptysis. On physical examination, he was febrile with a temperature of 39°C, a heart rate of 100 beats per minute, a respiratory rate of 24 breaths per minute, blood pressure of 139/68 mmHg, and oxygen saturation of 99% at room air. He was pale and nonedematous. He had bilateral basal crepitations on chest examination. The rest of the physical exam was unremarkable. His laboratory workup showed BUN 74 mg/dL, serum creatinine, 4.8 mg/dL, serum sodium 135 mmol/L, potassium 4.7 mmol/L, chloride 109 mmol/L, and bicarbonate 19.1 mmol/L. His CBC showed hemoglobin of 7.1 g/dL, hematocrit of 25%, MCV 82 fl, WBC 3000 u/L, and platelet count of 70000/mm3. There was no evidence of hemolysis as his reticulocyte count was 2% and LDH was 250 IU/L. His iron study showed trasferrin saturation of 12%. Chest X-ray showed bilateral hilar congestion and minimal bilateral pleural effusion. Blood cultures were sent both from peripheral vein and dialysis catheter. In view of one episode of hemoptysis, bronchoscopy was done which was normal. Bronchoalveolar lavage showed no growth of acid fast bacilli and fungal smear was negative. Blood cultures from peripheral veins showed AH which was sensitive to piperacillin/tazobactam, imipenem, ceftriaxone, cefixime, ciprofloxacin, and gentamicin. Blood culture from dialysis catheter also grew the same organism with the same sensitivities. Dialysis solution culture did not grow anything. His dialysis catheter was removed after hemodialysis and 1 pint of pack cells was transfused. The patient was also started on erythropoietin 4000 unit subcutaneously three times a week. Intravenous iron was not given in view of sepsis. He was treated with piperacillin-tazobactam 2.25 gm 8 hourly for a total of 14 days. He responded to antibiotics and became afebrile after 48 hours. A second right internal jugular nontunneled catheter was inserted after 48 hours of antibiotics. He was discharged on 16 August 2012 with a new right internal jugular temporary catheter with the advice of three times a week hemodialysis. A plan for arteriovenous fistula after two weeks of antibiotics was also made. His repeat blood cultures on day 5 were negative. His anemia responded to erythropoietin and pack red cell transfusion. After completion of course of antibiotics, he was put on intravenous iron sucrose 100 milligram each dialysis for a total of 10 doses. Subsequent laboratory results on day 5 showed hemoglobin of 10 gm, hematocrit of 30%, MCV 82 fl, WBC 5000 u/L, and platelet count of 170000/mm3.</t>
  </si>
  <si>
    <t>We present a 32-year-old transgender female with a past medical history most significant for depression with suicidal ideation who presented to our hospital due to an acute onset of nausea and lethargy with one episode of nonbloody emesis. Symptoms were not alleviated or exacerbated by any specific factors. The patient had purchased a Cerbera odollam plant on the internet a week prior. She ingested one seed of this plant, as this was suggested to be the lethal dose, with the intent of ending her life. The exact time between ingestion and presentation was unknown. On transportation to the hospital, the patient had a documented heart rate in the 30s with a junctional rhythm and therefore received a total of 10 vials of Digibind (digoxin immune fab). She denied any headache, visual disturbances, chest pain, palpitations, shortness of breath, abdominal tenderness, diarrhea, or constipation.
On presentation, the patient's vital signs were blood pressure of 105/74 mmHg, heart rate of 106 beats per minute, respiratory rate of 18 breaths per minute, body temperature at 98.6 degrees F, and oxygen level of 98% on room air. Physical examination was noted as within normal limits. Labs performed included urine toxicology which was positive for cannabis, digoxin level 0.2 ng/mL, salicylate level less than 1.7 mg/dL, acetaminophen level less than 2 mcg/mL, blood alcohol content of 0, lactic acid 1.2 mmol/L, white blood cell count 8,100/μL, hemoglobin 13.9 g/dL, hematocrit 40.8%, platelets 165/μL, sodium 138 mmol/L, potassium 4.3 mmol/L, chloride 103 mmol/L, bicarbonate 29 mmol/L, blood urea nitrogen 10 mg/dL, creatinine 0.84 mg/dL, glucose 107 mg/dL, total bilirubin 0.5 mg/dL, AST 37 U/L, ALT 61 U/L, and alkaline phosphatase 48 U/L.
Electrocardiogram (ECG) was performed shortly after arrival. This demonstrated a significant decrease in heart rate as compared to presenting vital signs. The heart rate had decreased from 106 beats per minute to 36 beats per minute (). Therefore, the patient was monitored on telemetry, and repeat ECGs were ordered. Her heart rate remained in the 30s to 40s, and the rhythm was sinus bradycardia. Upon consultation, the toxicology team recommended to monitor electrolytes and heart rate closely while continuing intravenous fluids. If there were any conduction blocks or further slowing of heart rate, 5 more vials of Digibind could be given. She had a hypoglycemic episode with blood glucose of 60 mg/dL. She was administered dextrose and responded appropriately.
The following day, the psychiatry team was consulted, and the patient was diagnosed with gender dysphoria and depressive disorder and noted to have narcissistic and borderline personality traits. The patient met the criteria for inpatient psychiatric hospitalization once medically cleared.
The toxicology team continued to follow the patient during her hospitalization. Being that her digoxin level was only 0.2 ng/mL and she had normalized potassium levels, her likelihood for toxicity was low. Given her lab work and improving heart rate on ECGs (Figures and ), the team was reassured that the patient's clinical status was improving. The patient's home hormonal therapy was started, and she was admitted to the psychiatry unit.</t>
  </si>
  <si>
    <t>Our patient was a 29-year-old unemployed white man with no significant past medical history. He was a current smoker with a one-pack-per-day habit and a family history of coronary artery disease on his father’s side. He presented to the emergency room of our hospital with a 1-month history of intermittent chest pain. His chest pain was localized to the right side and was pressure-like, of moderate intensity 4–6/10, nonradiating, and relieved by standing up and worsened by lying flat, but otherwise it was not changed with increase or decrease in activity level. He had no associated palpitations, shortness of breath, dizziness, or lower extremity edema. He had been taking ibuprofen 500 mg orally as needed at home in an attempt to relieve his pain. Two days prior to this presentation, his chest pain became more constant with the same quality. On the day of admission, he developed difficulty in swallowing food. He experienced dysphagia (food stuck in the lower part of his esophagus); however, he had no associated nausea or vomiting. His physical examination revealed the following vital signs: blood pressure 144/75 mmHg and heart rate 72 beats per minute. Pulse oximetry showed his oxygenation was 99% on room air. Examination of his head, eyes, ears, nose, and throat revealed that his condition was normocephalic and atraumatic. His extraocular movements were intact. His pharynx was clear. His neck was supple without jugular vein distention. His chest wall was nontender. His lungs had clear breath sounds bilaterally without any evidence of wheezing, rales, or rhonchi. His cardiac examination revealed a regular rate and rhythm. His abdomen was soft and nontender with positive bowel sounds. His neurological examination revealed that he was alert and oriented to time, place, and person. His sensation was intact; he had no facial droop; and his pupils were equal and reactive to light and accommodation. His cranial nerves were intact. His power was 5/5 in all four extremities. His reflexes were intact. His complete blood count findings were as follows: white blood cell count 8300/μl (normal range 4500–11,000/μl), hemoglobin 14.4 mg/dl (12–16 mg/dl), hematocrit 41% (35–48%; 12–17.5 g/dl), and platelet count 273,000 (140,000–450,000/μl). His blood chemistry findings were as follows: sodium 139 mmol/ (normal range 135–145 mmol/L), potassium 4.1 mmol/dl (3.5–5.2 mmol/dl), chloride 106 mmol/L (96–110 mmol/L), CO2 27 mmol/L (24–31 mmol/L), glucose 105 mg/dl (70–99 mg/dl), blood urea nitrogen 7 mg/dl (5–25 mg/dl), creatinine 0.72 mg/dl (0.44–1.0 mg/dl), aspartate aminotransferase 16 IU/L (10–42 IU/L), alanine aminotransferase 21 IU/L (10–60 IU/L), calcium 9.6 mg/dl (8.5–10.5 mg/dl), bilirubin 0.5 mg/dl (0.2–1.3 mg/dl), and lactate 1.0 mmol/dl (0.5–2.0 mmol/dl). His international normalized ratio was 1.14 (normal range 2–3 with conventional anticoagulation). The finding of his electrocardiogram (ECG) was negative for any ST changes. The patient’s chest x-ray showed a suspected loop of bowel on the right side of the chest (Fig. ). Subsequently, the patient underwent CT of the chest, which showed a 7-cm defect in the right hemidiaphragm anteriorly with a large amount of intra-abdominal fat and a loop of proximal transverse colon within the hernial sac (diaphragmatic hernia of Morgagni). The herniated contents were located in the right pericardial location (Figs. , , and ). A nasogastric tube was inserted to decompress the bowel. The patient was evaluated by a surgeon. Eventually, the patient underwent laparoscopic repair of his diaphragmatic hernia (Figs. , , and ) with a successful outcome. His chest pain and dysphagia resolved completely. When he was seen 6 months later for follow-up, he was completely asymptomatic without any complications.</t>
  </si>
  <si>
    <t>An 81-year-old female with past medical history of anemia of chronic disease, ischemic stroke, chronic anticoagulation therapy, chronic renal insufficiency, liver disease (mild, chronic elevation of liver functions), and macular degeneration came to the hematology office as a referral from her primary care physician due to pancytopenia. She denied nausea, vomiting, headache, dizziness, myalgia, arthralgia, rash, bleeding, or clotting. The patient was a former smoker and did not drink alcohol. Her home medications included amlodipine, aspirin, cilostazol, cyanocobalamin, furosemide, metoprolol, pantoprazole, MVMs, potassium chloride tablets, and rosuvastatin. Her vitals were blood pressure: 144/63 mmHg, pulse: 89 beats/minute, respirations: 18/minute and temperature: 97.9ºF. On examination, she appeared healthy without obvious signs of distress. Her oropharynx was unremarkable for stomatitis, mucositis, or ulcerations. There was no jaundice. Neck was without lymphadenopathy or thyromegaly. Lungs were clear to auscultate. Cardiovascular auscultation showed normal cardiac sounds without murmur, gallop, or rub. Abdomen was soft, non-tender without visceromegaly. Cranial nerves were intact, and there were no sensory or motor deficits. Skin had normal turgor and showed no petechiae, bruises or rash. Her labs showed white blood cell count of 1.35 × 109/l (reference range (RR): 4.5–11.0 × 109), hemoglobin 7.1 gm/dl (RR: 12.3–15.3), hematocrit 22.4% (RR: 35.9–44.6), mean corpuscular volume (MCV) 92 FL (RR: 80–96), mean corpuscular hemoglobin concentration (MCHC) 31.7 g/dl (RR: 33.4–35.5) and platelet count of 99 × 109/l (RR: 150–400 × 109). The patient was severely neutropenic with an absolute neutrophilic count of 0.1 × 109/l (RR: 1.8–7.8 × 109). Sodium level was 137 mmol/l (RR: 135–145), potassium 3.3 mmol/l (RR: 3.7–5.2), creatinine 1.46 mg/dl (RR: 0.6–1.3), BUN 27 mg/dl (RR: 6–20), bicarbonate 28 mmol/l (RR: 23–29) and chloride 104 mmol/l (RR: 96–106). Thyroid functions were within normal range. Aspartate aminotransferase (AST) was 106 U/l (RR: 8–33), Alanine transaminase (ALT) 102 U/l (RR: 4–36) and bilirubin 0.9 mg/dl (RR: 0.1–1.2). HIV, HBV, and HCV screens were negative. Vitamin B12 and folate levels were normal. Ultrasound abdomen was negative for hepatosplenomegaly. To rule out acute myeloid leukemia and myelodysplastic syndrome (MDS), bone marrow biopsy was performed which showed mild megaloblastoid changes, mild myeloid shift and nonspecific dyshematopoeitic changes. Erythroid and myeloid precursors with vacuolization and megalobastoid changes are shown in . No ring sideroblasts were seen on bone marrow biopsy. Fluorescence in-situ hybridization (FISH) study for MDS Panel (5/5q, 7/7q, 8, MLL, 20q) was normal.
The patient had history of macular degeneration and was taking MVMs for many years. For possible zinc-induced hypocupremia, we ordered serum zinc and serum copper levels. Zinc level was 168 ug/dl (RR: 60–130) and the copper level was &lt;10 ug/l (RR: 810–1990). MVMs containing 80 mg of zinc (this MVMs contained 2 mg of copper as well but apparently dose was not sufficient enough to compensate for zinc excess) was discontinued and the patient was started on oral copper 8 mg daily. With the two-week treatment of oral copper, the patient’s white blood cell count improved from 1.35 to 7.13 × 109/l, hemoglobin from 7.1 to 9.8 g/dl and platelet from 99 to 216 × 109/l. Absolute neutrophil count improved to 5.1 × 109 from 0.1 × 109/l (). Serum zinc and copper levels normalized in 4 weeks period.</t>
  </si>
  <si>
    <t>A 49-year-old man with a history of intravenous drug abuse, mainly heroin, presented to the emergency department in Henry Ford Hospital where he complained of chills and diarrhea. The diarrhea was watery and continuous of 1-day duration accompanied by chills. He denied shortness of breath or chest pain.
Our patient was hospitalized in another facility 14 days before presenting to the emergency department of our hospital, and was found to have Candida parapsilosis and Pseudomonas aeruginosa endocarditis. A 2D echocardiogram was done there and showed vegetation of the prosthetic mitral valve, with normal aortic prosthesis. He was discharged with a peripherally inserted catheter (PIC) line and on intravenous antibiotics namely, tobramycin, cefepime and fluconazole. No valve replacement was performed at that time due to ongoing injection drug use. He was only out for 1 day before presenting to our emergency department.
His past medical history was significant for aortic and mitral valve replacement 1 year before this hospitalization for endocarditis. He also had stage 3 chronic kidney disease.
At initial presentation, he was found to be febrile at 100.3°F and hypotensive at a blood pressure of 85/50. His physical examination revealed a 3/6 systolic murmur in the aortic area with radiation to the precordium, and a 2/6 diastolic murmur over the mitral area without radiation.
His initial laboratory investigations showed white blood cell count of 19.2 k/μL with 93% neutrophils, hemoglobin of 9.6 g/dL, blood urea nitrogen (BUN) 26 mg/dL, creatinine 2.2 mg/dL, serum bicarbonate 16 mmol/L, chloride 112 mmol/L, sodium 136 mmol/L, magnesium 1.2 mmol/L. Prothrombin time was 15 seconds, and international normalized ratio (INR) was 1.17. Urine toxicology screen was positive for benzodiazepines. Troponin level was 2.2 ng/mL (normal&lt;0.4). Initial blood cultures were drawn in the emergency department and later grew P. aeruginosa susceptible to amikacin, aztreonam, cefepime, ciprofloxacin, imipenem, piperacillin/tazobactam and tobramycin. Serology was positive for Hepatitis C infection and negative for HIV infection.
On presentation, he was admitted to the intensive care unit with the diagnosis of septic shock. He was started on intravenous vancomycin, tobramycin, micafungin and cefepime.
Three sets of blood cultures grew C. parapsilosis susceptible to fluconazole, itraconazole and 5 flucytosine, and P. aeruginosa susceptible to amikacin, aztreonam, cefepime, ciprofloxacin, imipenem, piperacillin/tazobactam and tobramycin.
A 2D echocardiogram showed a bioprosthetic aortic valve with a medium, 10 mm, pedunculated, highly mobile vegetation of the aortic valve attached to the posterior aortic annulus. There was no significant aortic valvular regurgitation. There was mild mitral valvular regurgitation.
At day 2 of hospitalization, a transesophageal echocardiogram was done. It showed no aortic abscess but small, 5 mm, mobile vegetation of the aortic valve attached to the non-coronary cusp without significant regurgitation. It also showed large, 10 mm, mobile mitral valve vegetation attached to the anterior leaflet without significant regurgitation.
The hospital course was complicated by acute renal failure and acute heart failure for which the patient was aggressively resuscitated. He was electively intubated and medically stabilized to undergo valve replacement 5 days later. Ethical and logistic considerations were the focus of an extensive discussion among the different treating medical and surgical teams given the active injecting drug use while being treated for a relapse of infective endocarditis. The decision was finally made to proceed with the valve replacement surgery. The patient was kept in hospital for the duration of intravenous antibiotics to ensure adherence to therapy and to prevent use of the intravenous access for illicit drug use.
At day 7 of hospitalization, he underwent aortic and mitral valve replacement. Cultures from the valves also grew P. aeruginosa and C. parapsilosis. All blood cultures drawn after day 1 were negative.
Tobramycin and cefepime were given for 6 weeks postoperatively. Tobramycin trough levels were measured frequently to ensure therapeutic levels. Micafungin was given for 5 days postoperatively, and replaced by anidulafungin that was given for 26 days. Fluconazole was given for 30 days postoperatively while in hospital and prescribed for 3 months after discharge from the hospital.
Throughout hospitalization, he remained afebrile and euvolemic without symptoms of heart failure. Two weeks after discharge from the hospital, he returned to the infectious disease clinic, being in good health, without history of fever, excess sweating, chest pain or shortness of breath. Follow-up blood cultures were drawn and were negative.</t>
  </si>
  <si>
    <t>Albumin Corrected Anion Gap</t>
  </si>
  <si>
    <t>What is the patient's albumin corrected anion gap in mEq/L?</t>
  </si>
  <si>
    <t>A 65-year-old man was referred to the hospital in 5th July 2019 because of refractory edema in both legs.
The patient had a history of CKD stage 3a, a hypotrophic left kidney, and hypertension. He had been prescribed amlodipine 2.5 mg for hypertensive medication. He also underwent radical prostatectomy for prostate cancer two years earlier. He underwent pelvic MRI using gadoterate meglumine (15 mL), immediately after iodide contrast-enhanced chest and abdomen computed tomography (CT) for cancer surveillance. Thirty days before CT scan, his creatinine level was 1.28 mg/dL and his estimated glomerular filtration rate (eGFR) was 58 mL/min/1.73 m2. After 185 days, he visited a local clinic because of edematous changes in both lower extremities. CT angiography of the lower extremities was performed; no stenosis or occlusion of vessels was observed. Although diuretics were administered for 2 weeks, the edema worsened and was accompanied by pruritus and pain (). Eventually, he was referred to our hospital for further evaluation.
Upon admission, his body temperature was 36.8°C and his blood pressure was 110/60 mmHg. His height was 161.3 cm, weight was 53.2 kg and body mass index was 20.4 kg/m2. Physical examination revealed grade 2+ pretibial pitting edema with redness, mild heat, and tenderness in both lower extremities. Both inguinal lymph nodes were not enlarged.
Initial laboratory findings at admission (about 210 days after MRI scan) were as follows: white blood cell count, 6,200 /μL (neutrophil 66%, lymphocyte 22%, monocyte 10.3%, eosinophil 0.5%); hemoglobin, 10.7 g/dL; platelet, 253,000 /μL; blood urea nitrogen, 41 mg/dL; serum creatinine, 2.07 mg/dL; eGFR, 32 mL/min/1.73 m2; serum sodium, 134 mmol/L; potassium, 3.4 mmol/L; chloride, 102 mmol/L; total CO2, 20 mmol/L; calcium, 9.3 mg/dL; phosphate, 1.5 mg/dL; total protein, 6.9 g/dL; albumin, 4.0 g/dL; aspartate transaminase, 43 U/L; alanine aminotransferase, 15 U/L; and C-reactive protein, 0.96 mg/dL. Routine urine analysis revealed a pH of 6.0 and trace proteins. Red and white blood cells were absent in the urine. The spot urine protein/creatinine ratio was 209 mg/g and the spot urine albumin/creatinine ratio was 60 mg/g. Thyroid function tests were normal: thyroid stimulating hormone, 2.47 μIU/mL and free T4, 0.98 ng/dL. Fractional excretion of Na 0.1% and Fractional excretion of urea on admission was 17.6%, which suggested the patient was prerenal AKI.
Chest radiography and echocardiogram findings were normal. During doppler sonography of both lower extremities, the venous velocity was normal and there was no evidence of thrombosis. None of the aforementioned findings were suggestive of refractory edema.
Fluid therapy was administered to treat the AKI, which was probably caused by the diuretics he was given during his two-week stay in the local clinic. Subsequently, his renal function improved: serum creatinine, 1.18 mg/dL; and eGFR, 63.9 mL/min/1.73 m2. Since the redness and tenderness of both legs were suggestive of cellulitis-associated edema, intravenous cefazolin was administered for two weeks. However, the lesion gradually spread from his ankle to his thigh and changed into fibrotic induration. Contracture of the ankle and knee joints also occurred ().
To detect diffuse or localized systemic sclerosis, antinuclear antibody, anti-Scl 70 antibody, and anti-centromere antibody tests were performed, but the results were all negative. Also, eosinophilia and paraproteinemia was not seen, which is commonly accompanied in scleromyxedema or eosinophilic fasciitis. Although approximately 50 weeks had passed since he was exposed to the gadolinium, the characteristic clinical features led to the suspicion of NSF. A biopsy of the right anterior tibial skin lesion was performed to examine tissue for disease. This revealed unique features of the NSF such as dermal thickening with collagen fibers extending into the subcutaneous septa and a large number of spindle-shaped fibrocytes (). Neither eosinophilic tissue infiltration nor fat necrosis with calcification of adipocytes was found.
Systemic methylprednisolone (20 mg/day) was administered for two weeks to treat the NSF. Additionally, UV-A1 topical phototherapy of 1.5 joule (J)/cm2 was administered to the lower leg lesion twice a week. The patient underwent intensive physical therapy including stretching, pneumatic compression, and Transcutaneous Electric Nerve Stimulation . We administered MTX 15 mg weekly while reducing the methylprednisolone dose weekly by half until a dose of 2 mg/day was administered. Simultaneously, the UV-A1 intensity was gradually increased to 3.0 J/cm2. After 6 months of treatment, the reddish edema improved and the skin induration decreased. Although the contracture of the ankles was still present (), there was no further disease progression. Currently, the patient receives MTX (10 mg) weekly and methylprednisolone (2 mg) daily.
Informed consent for publication of clinical data was submitted by the patient and the images are published with the consent of the patient.</t>
  </si>
  <si>
    <t>A 28-year-old Caucasian woman presented to the emergency department (ED) with complaints of nausea, vomiting, abdominal pain and headache after ingesting a “hand full” (approximately 50) of 500 mg acetaminophen tablets as a suicide attempt gesture four days ago after having an altercation with her mother. Past medical history was significant for depression, anxiety, previous suicide attempts (with pill ingestions and wrist slitting), sexual abuse (rape), benzodiazepine addiction (underwent rehabilitation) and migraines. Her home prescription medications included buspirone and paroxetine. She had used amitriptyline in the past as well. She denied any history of drinking alcohol, smoking cigarettes or using illicit drugs. There was no family history of psychiatric disorders or liver-related diseases.
Vital signs showed a blood pressure of 111/59 mm Hg, temperature of 98.8 degrees Fahrenheit, heart rate 139 beats/min, respiratory rate 18 breaths/min, and oxygen saturation 97% on room air. Physical examination showed an alert yet anxious patient who had no signs of jaundice, bruising, hepatic encephalopathy or asterixis. Neurological exam on initial presentation revealed normal reflexes. On abdominal exam, there was tenderness to palpation in the right upper quadrant with normal active bowel sounds.
Investigations
Serum hematology tests showed white blood cell count 15,500 cells/micro liter (normal: 4,200-10,200), hemoglobin 10.8 (normal: 11.5-14.8), platelets 99,000 cells/micro liter (normal: 150,000-400,000), International Normalized Ratio (INR) 5.3 (normal: 0.8-1.0), prothrombin time (PT) 47.9 sec (normal: 11.7-14.5). Serum chemistry tests showed sodium 138 mEq/L (normal: 136-145), potassium 5.2 mEq/L (normal: 3.5-5.1), chloride 102 mEq/L (normal: 98-107), bicarbonate 15 mEq/L (normal: 22-32), anion gap 25 mEq/L after correcting for albumin (normal: 8-12), blood urea nitrogen 37 mg/dL (normal: 7-18), creatinine 3.31 mg/dL (normal: 0.52-1.21), estimated glomerular filtration rate (eGFR) 16.6 mL/min/1.73 m2 (normal: &gt; 60), albumin 2.6 g/dl (normal: 3.4-5.0), total bilirubin 3.4 mg/dl (normal: 0.2-1.0), alkaline phosphatase 142 U/L (normal: 45-117), AST 9368 U/L (normal: 15-37), ALT 7982 U/L (normal: 13-56), lactic acid 11.1 mEq/L (normal: 0.4-2.0), acetaminophen level 8.8 mcg/mL. Urine drug screen for illicit substances was negative. Ultrasound of the abdomen done in the ED showed hepatic steatosis (see Figure ) but no biliary dilatation.
The patient was diagnosed with high anion gap metabolic acidosis/lactic acidosis, acute kidney injury, elevated INR due to acetaminophen toxicity and was started on an intravenous N-acetylcysteine drip after initial volume resuscitation. She received intravenous vitamin K which helped correct her INR to 2.8. Given elevated transaminases, all her home prescription medications (including bupropion and paroxetine) were held on admission. In order to address her persistent nausea and vomiting, she was also started on scheduled intravenous metoclopramide 10 mg every six hours the following day by the hospital medicine team. With resuscitation and conservative management, her condition continued to improve during five days of her hospital stay with improvement in transaminases (AST 98 and ALT 851 U/L), acidosis/lactic acid (1.3 mmol/L), INR (1.5) and creatinine (1.4 mg/dl) by the time of discharge. Intravenous N-acetylcysteine was discontinued on hospital day 5. However, as a result of scheduled every six-hour intravenous metoclopramide use, on hospital day 4, she was found to have a blood pressure of 146/109 mmHg, heart rate 120 beats/min, clonus, tremors and hyperreflexia (see Video ). A diagnosis of metoclopramide-induced serotonin syndrome was made. Metoclopramide was promptly discontinued. Given her history of benzodiazepine addiction, patient and family members were reluctant to try intravenous lorazepam for symptom mitigation. Serotonin syndrome promptly resolved over the next 36 hours and she was discharged to a mental health facility under the care of a psychiatrist. The patient was seen in outpatient clinic two weeks later when her liver enzymes, creatinine, INR had normalized and the patient was back to her usual state of health.</t>
  </si>
  <si>
    <t>A 58-year-old male with dyslipidemia, an eight-year history of T2DM, a family history, his mother, of T2DM, with no known micro- or macrovascular complications, was admitted to the emergency department for malaise, epigastric pain, polyuria, and progressive dyspnea which had begun 10 h ago. He had experienced a 2-kg weight loss over the last few days. His usual medications included aspirin 100 mg q24 h, atorvastatin 40 mg q24 h, and metformin 850 mg q8 h, which had been switched to dapagliflozin 20 days before, due to poor glycemic control, with HbA1c 12% (108 mmol/mol). His vital signs included a heart rate of 122 bpm, respiratory rate 33 rpm, blood pressure 142/70 mmHg, temperature 36.1°C, and body mass index 22.5 kg/m2. On physical examination, somnolence, dry skin and mucous membranes, a Kussmaul breathing pattern, and a capillary refill of 3 sec were observed. Blood tests revealed hemoglobin 17.1 g/dL (13.5–18), leukocytes 19.5 × 103 (4–10 × 103), platelets 296 × 103 (150–450 × 103), glucose 248 mg/dL (60–100), creatinine 0.97 mg/dL (0.67–1.17), sodium 136 mmol/L (135–145), potassium 4.7 mmol/L (3.5–5.5), chloride 101 mmol/L (95–112), phosphate 4.9 mg/dL (2.5–4.5), amylase 70 U/L (10–115), lipase 28 U/L (1–67), pH 6.95 (7.35–7.45), pCO2 23 mmHg (35–45), HCO3 5 mmol/L (22–26), lactate 1.8 mmol/L (0–1.5), urine ketone bodies &gt;150 mg/dL (0–0), CK 112 U/L (1–190), CK-MB 7.3 ng/mL (0.1–5), and troponin I 0.07 ng/mL (0.001–0.05). The electrocardiogram (EKG) showed sinus rhythm with right bundle branch block, and nonspecific repolarization abnormalities. Because of the right bundle branch block was not previously known, a new troponin test was performed six hours later with a peak value of 4.28 ng/mL. Treatment with crystalloids, continuous infusion of intravenous insulin, and administration of potassium and sodium bicarbonate were begun in the emergency room (ER). Due to a poor response over the first two hours, with the persistence of lactic acidosis, the patient was transferred to the intensive care unit (ICU), where more aggressive rehydration with crystalloids was started, without further modifications of the original therapeutic plan.
Two days later, the patient was discharged from the ICU to the endocrinology ward. Because of his coronary risk factors and the elevated troponin on admission, a coronary angiography was performed, showing triple-vessel disease. Successful bypass surgery without extracorporeal circulation was performed a few days later, with internal mammary artery grafts to the anterior descendent and marginal obtuse arteries and a saphenous vein graft to the right coronary artery. He was discharged 3 days later on Lantus™ Sanofi-aventis S.p.a Valcanello,03012 Anagni (FR), Italia (insulin glargine) 20 IU and Insulina Novorapid™: Novo Nordisk A/S. Hallas Allé, DK-4400. Kalundborg, Dinamarca (insulin aspart) 6-4-4-0 IU subcutaneous insulin, aspirin, clopidogrel, enalapril, bisoprolol, atorvastatin, and furosemide. The oral antidiabetic treatment with dapagliflozin was not restarted. During follow-up by endocrinology, C-peptide, anti-GAD, and IA-2 antibodies were required due to normal BMI and lack of family history suggested T1DM or a latent autoimmune diabetes of adults (LADA) rather than T2DM as etiology of his diabetes. C-peptide was 1 mg/dL (0.9–7.1) with glycemia 214 mg/dL (60–100), anti-GAD &lt;5 U/mL (0–12.5), and anti-IA-2 &lt;7.5 U/mL (0–7.5).</t>
  </si>
  <si>
    <t>An 82-year-old woman with no significant medical history presented with a 2-month history of abdominal pain and nausea. Vital signs were as follows: blood pressure, 130/80 mm Hg; heart rate, 72 beats/minute (bpm); respiratory rate, 20/minute; and body temperature, 36.4°C. She appeared chronically ill and the findings of a physical examination of the thorax, heart, and abdomen were unremarkable. Laboratory studies revealed a white blood cell (WBC) count of 8,110/μL (neutrophils, 78.5%; and lymphocytes, 17.5%) and a hemoglobin (Hb) of 11.5 g/dL. Serum biochemical values were as follows: blood urea nitrogen (BUN), 12 mg/dL; serum creatinine (Cr), 0.8 mg/dL; aspartate aminotransferase/alanine aminotransferase, 21/14 U/L; albumin, 4.0 g/dL; total bilirubin, 0.6 mg/dL; and amylase 2,460 U/L. Electrolyte levels were as follows: Na, 139 mmol/L; K, 4.0 mmol/L; and Cl, 102 mmol/L. Carbohydrate antigen 19-9 (CA19-9) levels were 37.0 U/mL.
An abdominal computed tomography (CT) scan revealed a 2-cm mass near the ampulla of Vater with mild dilation of the intrahepatic and common bile ducts as well as the pancreatic ducts (). There was no evidence of invasion of other organs. Both kidneys were normal sized without apparent abnormalities.
Endoscopic retrograde cholangiopancreatography with endoscopic ultrasound (EUS) revealed a 2-cm adenoma-like protruding lesion in the ampulla of Vater. EUS showed a well-defined isoechoic homogeneous mass without bile or pancreatic duct invasion (-). The mass was resected using a snare and a plastic stent was inserted into the bile duct; insertion of a plastic stent into the pancreatic duct failed. No specific complications, including severe bleeding or perforation, were observed (). Six hours post-procedure, the patient vomited 50 mL of blood and complained of abdominal pain. A second episode of hematemesis (&lt;30 cc) occurred approximately 5 hours later. Immediately after the second episode, treatment with 1 g of tranexamic acid and 2 KU of hemocoagulase administered three times per day along with ceftriaxone (2 g intravenous) and a proton pump inhibitor for suspected bleeding at the resection site was initiated. Her vital signs were unremarkable. The WBC count was 7,090/μL, Hb was 10.1 g/dL, BUN was 14 mg/dL, Cr was 0.8 mg/dL, and amylase/lipase was 69/54 U/L. After the initial two episodes of hematemesis, no further hematemesis, melena, or hematochezia was observed and the patient’s vital signs remained stable. Her Hb level remained &gt;10 g/dL. Four days after the papillectomy, the patient’s daily urine volume abruptly decreased to &lt;100 cc and she complained of dyspnea. Her blood pressure was 103/86 mm Hg, heart rate was 134 bpm, respiratory rate was 30/minute, and body temperature was 37.0°C. Laboratory studies were as follows: Hb, 9.1 g/dL; amylase/lipase, 415/418 U/L; BUN/Cr, 73/3.9 mg/dL; and brain natriuretic peptide, 5,000 pg/mL. Venous blood gas analysis revealed the following: pH, 6.92: pCO2, 37 mm Hg; and HCO3, 7.6 mmol/L. Pulmonary edema was observed on a chest radiograph and continuous renal replacement therapy (CRRT) was performed to treat metabolic acidosis and pulmonary edema caused by acute renal failure. Although there were no signs of bleeding at that time, 2 units of packed red blood cells were transfused.
Approximately 10 hours after the CRRT was initiated, the patient was noted to have melena mixed with a small amount of hematochezia. Melena continued to occur 2–3 times/day with a total daily volume of 200–400 cc. Her vital signs were relatively stable: blood pressure, 120–175/65–100 mm Hg; heart rate, 90–120 bpm; respiratory rate, 20–25/minute; and body temperature, 36.0°C–37.8°C. The daily serum Hb level was 7.1–9.5 g/dL and the tranexamic acid with hemocoagulase were continued. The patient received a total of 13.5 g of tranexamic acid and 36 KU of hemocoagulase and received three additional units of packed red blood cells until the sixth day post-procedure, when no further signs of bleeding were observed. However, her daily urine output was nearly zero despite the CRRT. A contrast-enhanced abdominal CT scan was performed on day 12 to assess the cause of her anuric acute renal failure and showed normal-sized kidneys with enhancement of the renal medulla but not of the renal cortex, a finding consistent with acute RCN (). Histopathology revealed a villotubular high-grade adenoma with clear resection margins. Conventional hemodialysis was continued, but renal function did not improve and the oliguria persisted post-discharge. Presently, 6 months after the endoscopic procedure, she continues to undergo hemodialysis. Her most recent BUN/Cr was 22/6.1 mg/dL.</t>
  </si>
  <si>
    <t>A 71 year-old Caucasian male ex-smoker without any significant past medical history presented to the emergency department complaining of worsening redness and swelling in his left lower leg. He presented five days earlier and was given antibiotic treatment which did not resolve the problem. On physical exam BP 119/68 mHg, Pulse 61/min, Resp 17/min, Temp: 96.6°F, O2 saturation 96% on Room air. Laboratory testing showed hemoglobin 12.2 g/dL, WBC 7.3 K/uL, Platelet count 26 K/uL, Neutrophils 29, Lymphocytes 20%, MCV 73.2 fL, glucose 120 mg/dL, BUN 14 mg/dL, Creatinine 0.8 mg/dL, Calcium 8.7 mg/dL, albumin 4.3 g/dL, Sodium 137 mmol/L, Potassium 4 mmol/L, Chloride 100 mmol/L, and CO2 25 mmol/L. Liver enzymes were within normal limits. X-ray ruled out osseous contribution to his problem and venous Doppler was negative for DVT. Subsequently a diagnosis of cellulitis was made. CBC demonstrated multiple cytopenias, including thrombocytopenia ( and ). A review of hospital records noted previous findings of thrombocytopenia as far as four years earlier. Considering pancytopenia an oncology consult was called who reviewed the peripheral smear which showed slight anisocytosis, monocytosis with marked thrombocytopenia with some giant platelets, No pseudo-Pelger-Huet cells or circulating blasts were noted (). Given the laboratory findings, leukemia was considered as a differential and therefore a bone marrow biopsy was performed which showed the differential () granulopoiesis, hypercellular marrow with increased myelomonocytic cells and megakaryocytogenesis (Figure 1B,C). Immunohistochemistry showed CD117: about 5-10% positive cells, consistent with immature cells/blasts, CD34: No increase in CD34 positive cells, CD163: Highlights predominantly monocytic component, CD123: Negative. Reticulin staining showed mild diffuse reticulin fibrosis. Immunophenotyping by flow cytometry analysis FLG13-859 shows mild myelomonocytic abnormalities. PCR study for JAK2 is negative. FISH was performed for BCR/ABL1 to detect the (9:22) translocation associated with CML and less commonly ALL or AML were normal. Cytogenic testing demonstrated an abnormal karyotype 46, XY, del(20)(q11.2q13.3)(20) (). Other 15 metaphase spreads examined showed a normal male karyotype, 46, XY. Patient was diagnosed with myelodysplastic syndrome, Unclassified (MDS-U) with refractory thrombocytopenia.</t>
  </si>
  <si>
    <t>A 4-year-old boy, who had no systemic or inherited disease, presented with a 3-week history of intermittent vomiting without diarrhea or abdominal pain. In the past year, he experienced polydipsia and polyuria. Physical examination revealed body weight 17.5 kg (50th percentile), body height 100 cm (15~50th percentile), blood pressure 230/120 mmHg, heart rate 138 /min, and decreased skin turgor. There was no focal neurological deficit, blood pressure discrepancy between upper and lower extremities, palpable mass, nor any appreciation of an abdominal thrill. Laboratory studies revealed serum Na+ 124 mmol/L, K+ 2.4 mmol/L, Cl− 87 mmol/L, Ca2+ 8.5 mg/dL, HCO3− 34.5 mEq/L, creatinine 0.41 mg/dL, albumin 3.4 g/dL, IgG 247 mg/dL, and osmolality 290 mOsm/KgH2O. Urine analysis was significant for creatinine 11.2 mg/dL, Na+ 24 mEq/L, K+ 18 mEq/L, Cl− 24 mEq/L, osmolality 232 mOsm/KgH2O, RBC 168/μL, FENa 6%, and nephrotic-range proteinuria (55 mg/m2/hour). Survey for possible glomerulonephritis demonstrated the absence of anti-streptolysin O, p-ANCA, c-ANCA, ANA, and normal immunoglobulin A, C3, and C4 levels. In addition, work-up for secondary hypertension included: free T4 1.51 (normal range 0.8–2.0 ng/dL), TSH 5.7 (normal range 0.25–5.00 μIU/mL), cortisol 40.18 (normal range 4.3–25 μg/dL), ACTH 9.32 (normal range &lt; 46 pg/mL), renin 1745 (normal range 2–15 ng/L), aldosterone 92.6 (normal range 4–25 ng/dL), and urine vanillylmandelic acid 3.8 (normal range 1.9–9.9 g/day). Renal ultrasonography revealed hyperechoic right kidney (7.6 cm in length) and small left kidney (5.3 cm in length). Due to the presence of hyperreninemic hypertension, natriuretic-hyponatremia, hypokalemia, and nephrotic range proteinuria, HHS was highly suspected. Computed tomography angiography confirmed high-grade renal artery stenosis with hypoplasia of the left kidney (Fig. ).
In terms of management for this case, we began with volume repletion by normal saline administration. Subsequently, his blood pressure declined from 210/120 mmHg to 180/90 mmHg. Intravenous calcium channel blocker was used to treat his hypertensive emergency, while oral captopril was prescribed for RAA axis blockage after diagnosis of unilateral renal artery stenosis. The systolic blood pressure gradually declined to 150~160 mmHg on the 3rd day. Potassium supplement was infused for his profound hypokalemia and generalized muscle weakness. Due to the severity of left renal artery stenosis, he was not a candidate for angiographic intervention, and decision was made to proceed with left nephrectomy. Overall, electrolyte abnormalities such as hyponatremia and hypokalemia were corrected within 1 week after admission, and resolution of polyuria, polydipsia, proteinuria, and hypertension were achieved 2 weeks after nephrectomy (Additional file : Table S1).</t>
  </si>
  <si>
    <t>A 13-years-old mentally impaired girl (since birth due to perinatal asphyxia) presented to the emergency department (ED) with a severe abdominal pain and signs of acute abdomen, fever, and hypovolemic shock. She was unconscious, febrile, with a blood pressure of 80/40 mmHg, pulse rate of 160/min, and a respiratory rate of 34/min. Physical examination revealed a diffuse tenderness and a muscular rigidity. The abdomen was distended and bowel sounds were absent. The abdominal X-ray obtained in a supine position showed a massive free air within the peritoneal cavity and undigested remains of food along the alimentary tract imitating the contrasting liquid (). At hospital admission, a medical audit accompanying the girl described a 4-days history of food rejection, frequent vomiting and progressive deterioration of her general condition. Her anamnesis was negative for traumatic events but was suggestive for PA due to a characteristic appearance of air swelling and abdominal distension that rapidly progressed during the day and caused the flatus during sleep.
Laboratory investigations revealed the following results: White blood cell count: 7.100/uL; mean platelet volume: 11.8 fL; platelet count: 220 × 103/uL; hemoglobin: 11.1 g/dL; hematocrit: 35.2%; serum proteins: 5.7 g/dL; serum albumin: 2.9 g/dL; serum globulin: 2.8 g/dL; aspartate aminotransferase: 107 IU/L; alanine aminotransferase: 30 IU/l; creatinine: 0.9 mg/dl; serum sodium: 135 mEq/L; serum potassium: 5.4 mEq/L; serum chloride: 101 mEq/L; C-reactive protein: 367.4 mg/L; serum lactate dehydrogenase: 401 IU/L; serum creatine kinase: 4,086 IU/L; serum glucose: 107 mg/dL; arterial blood pH: 7.07 nmol/L; PaCO2: 4.93 kPa; pO2: 5.59 kPa; HCO3: 10.5 mmol/L; base excess: 18.8 mEq/L.
Following an aggressive resuscitation with intravenous hydration, decompression of the stomach, a correction of metabolic abnormalities, and administration of empiric antibiotic therapy (amikacin, metronidazole, and meropenem), an emergency laparotomy was performed. It revealed a massively distended and partially necrotic stomach. Huge amounts of free peritoneal fluid (about four liters) with food particles due to perforation of the necrotic gastric wall were removed. The size of the perforation measured 7 × 3 cm affecting the greater curvature on the posterior wall of the stomach ().
A free peritoneal fluid with food particles was washed out from the abdominal cavity. The gastric perforation was treated by debridement of necrotic tissue and a primary closure with additional using an omental patch. The debrided necrotic gastric tissue was submitted to the pathologist for the examination. The pathology assessment of the gastric wall showed a multiple areas of massive, transmural necrosis ().
Post-operatively, the patient was transferred to the pediatric intensive care unit (PICU) on mechanical ventilation and treated with inotropes, cefotaxime, metronidazole, gentamicin, and fluconazole. A fourth day of admission, abdominal cultures taken at the laparotomy as well as a blood culture showed Enterococcus faecalis and Candida glabrata infections.
In the following days, despite an extensive medical support, her clinical condition rapidly deteriorated and she eventually died on day 26 after admission due to overwhelming infections and progressive multisystem failure.</t>
  </si>
  <si>
    <t>A 73-year-old woman arrived to the emergency department after an attempt suicide by taking five zolpidem pills and bittern of unknown amounts. She complained of dizziness and general weakness. There was no other past history other than hypertension. Her GCS was 13/15(E3/V4/M6). The patient was oriented to time, place and person and normal muscle power and sensory in the extremities. Her initial blood pressure was 149/94 mmHg, pulse rate 82 beats/min, respiratory rate 28 breaths/min and body temperature 36.0 °C. Electrocardiograph showed QT prolongation of 0.482 s [].
Complete blood counts showed white blood cell (WBC) counts 1,249/mL, hemoglobin (Hb) 16.9 g/dL and platelet counts 265,000/mL. In addition, the arterial blood gas analysis (ABGA) showed pH 7.36, PCO2 35.0 mmHg, PO2 68.6 mmHg, HCO32− 19.2 mmol/L, O2 saturation 92.4%, glucose 145 mg/dL, blood urea nitrogen (BUN) 13.6 mg/dL, creatinine 0.77 mg/dL, aspartate aminotransferase (AST) 49 IU/L, alanine aminotransferase (ALT) 27 IU/L, albumin 5.5 g/dL, C-reactive protein (CRP) 0.09 mg/dL, [Na+] 149 mEq/L, [K+] 4.5 mEq/L, [Cl−] 120 mEq/L and [Mg2+] 7.8 mEq/L. Zolpidem was measured as 0.12 mg/L on urinalysis and 0.94 mg/L on serum biochemistry. Brain CT taken right after the visit revealed no evidences of acute brain hemorrhage and following MRI showed no evidences of acute infarction.
Altered mentality of patient might have been due to zolpidem (0.94 mg/L) ingestion. The patient also had electrolyte imbalance. Hypernatremia and hyperchloremia were corrected by infusion of half-saline and hypermagnesemia was corrected by injection of 10% calcium gluconate 20 mL. A repeat blood test 12 h later showed decreasing levels of [Na+], [K+], [Cl−], and [Mg2+] to 144, 4.3, 120, and 3.2 mEq/L, respectively. The mental status of patient returned to normal without any sequelae.
Following further improvement of the electrolyte measurements, the patient was transferred to the general ward for conservative treatment. All electrolyte measurements returned to normal 4 days after the incident ([Na+] 138 mEq/L, [K+] 3.8 mEq/L, [Cl−] 109 mEq/L, and [Mg2+] 2.4 mEq/L). Electrocardiograph returned to normal after correcting electrolyte imbalances. The patient was transferred to the psychiatric ward for further evaluation and management of suicide attempt. The patient was discharged home 1 week after the incident.</t>
  </si>
  <si>
    <t>A 50-year-old female was diagnosed with Gitelman syndrome at the age of 20 years. She was treated with spironolactone (100 mg/day), magnesium lactate (1.2 g/day), potassium chloride (5.4 g/day) and indometacin (25 mg/day).
The patient was recently admitted to our Nephrology Department with oliguria and progressive facial and lower limb oedema 15 days in duration. Her blood analyses showed urea 60 mg/dL, creatinine 0.93 mg/dL, Na 138 mmol/L, K 3.3 mmol/L, Cl 98 mmol/L, Mg 2.1 mg/dL, Ca 8.2 mg/dL (ionic 1.08), P 3.1 mg/dL, total proteins 4.5 g/dL, albumin 1.7 g/dL, bicarbonate 30.1 mmol/L, cholesterol 441 mg/dL, triglycerides 151 mg/dL, high-density lipoprotein 101 mg/dL, low-density lipoprotein 339 mg/dL. Anti-nuclear antibodies, antineutrophil cytoplasmic antibodies and serologic tests for hepatotropic virus, human immunodeficiency virus and treponema were negative, and her complement system, haemogram and thyroid function were normal. Urinalysis findings were proteinuria 11.7 g/day, Na 74 mmol/L, K 152.6 mmol/L, Ca 5.7 mg/dL (136.8 mg/day) and Mg 3.8 mg/dL. A renal biopsy showed: subendothelial and mesangial segmental C1q deposits, mainly located in the distal areas of the capillary loops (), with discrete mesangial proliferation, slight interstitial fibrosis and hyperplasia of the juxtaglomerular apparatus ().
Her definitive diagnosis was nephrotic syndrome secondary to C1q nephropathy, probably minimal change type. Treatment with steroids at a dose of 1 mg/kg/day was started. The nephrotic syndrome resolved after 6 weeks of treatment.</t>
  </si>
  <si>
    <t>A now four-year-old boy presented at the age of 3 years to our emergency department with a 2-week history of fever (39.5 °C), vomiting, and watery stools, which had already improved. He also had lower limb oedema and periorbital puffiness for one week. Apart from receiving paracetamol for the fever, there was no history of medication use. He is the offspring of parents in a consanguineous marriage with an unremarkable past medical history. He has one sister and three brothers. One of his brothers was diagnosed with steroid-resistant nephrotic syndrome due to membranous proliferative glomerulonephritis (MPGN) with C3 deposition diagnosed by kidney biopsy at 3 years of age. He reached chronic kidney disease stage 5 at the age of 4 years. Dialysis was considered, but he died in another hospital due to sepsis. No genetic testing was done on his brother.
On initial examination, the patient was stable but hypertensive with blood pressure reading of 136/83 mmHg, generalized oedema and a distended abdomen. No other abnormalities detected in systemic examinations. Laboratory investigations were performed and revealed the following: serum creatinine (45 µmol/L; normal 2.6–52.2 µmol/L), blood urea nitrogen (14.1 mmol/L; normal 1.8–6.4 mmol/L), potassium (5.5 mmol/L), sodium (135 mmol/L), chloride (110 mmol/L), bicarbonate (18 mmol/L), albumin (1.2 g/dL; normal 3.4-4.2 g/dL), haemoglobin (Hgb) (5.2 g/dL; normal 11.5–14.5 g/dL), white blood cell (WBC) count (9.13 × 109/L; normal 4–12 × 109/L), platelet count (23 × 109/L; normal 150–400 × 109/L), haptoglobin (&lt; 0.058 g/L; normal 0.5–2.2 g/L), lactate dehydrogenase (LDH) (1425 U/L; normal 150–500 U/L), complement C3 (C3) (0.550 g/L; normal 0.80–1.60 g/L), and complement C4 (C4) (0.109/L; normal 0.16–0.48 g/L). The patient also had normal coagulation profile, normal level of ADAMTS13, negative coombs test and peripheral blood smears showed schistocytes. His urine dipstick showed urine protein excretion of &gt; 400 mg/dL and 20–50 red blood cells/high power field. Stool cultures and analysis revealed no pathogens (Table ). Due to his uncontrolled hypertension and thrombocytopenia, the patient could not undergo a kidney biopsy.
The patient’s clinical picture fit the diagnosis of aHUS, and eculizumab was started within 24 h of the diagnosis. Following the recommendations of the Food and Drug Administration (FDA) and the manufacturer, he was given a 600 mg intravenous (IV) infusion as induction therapy and a 300 mg IV infusion every two weeks as maintenance therapy. After two doses of eculizumab, he started to show clinical and laboratory improvement. His Hgb improved to 9 g/dL; his platelet count increased to 169 × 109/L; and his C3, haptoglobin, and LDH levels were normalized (Table ). His blood pressure was controlled on amlodipine and lisinopril, and his oedema significantly improved. A genetic panel for aHUS was performed, and the patient showed a homozygous nonsense gene mutation in DGKE p.(Phe250Serfs*3). No mutation was detected in the gene coding regions of ADAMTS13, C3, CD46, CFB, CFH, CFHR1, CFHR2, CFHR3, CFHR5, CFI, MMACHC, PIGA, PLG, THBD, CD59, CR1, CR2, INF2, or MUT.
Six months after presentation, the patient was stable and in clinical remission on eculizumab 300 mg every other week. His laboratory parameters were within the normal ranges (Hgb 11.8 g/dL, platelet count 543 × 109/L, C3 0.9 g/L) apart from persistent moderate proteinuria, with urine dipstick 100 mg/dL and serum albumin 2.5 g/dL (Table ). Based on the genetic results and the patient’s general condition, we decided to start increasing the time between eculizumab doses, targeting discontinuation. A 300 mg IV infusion of eculizumab was administered every three weeks instead of every two weeks. Following the first dose after increasing the time between doses, the patient was noticed to be oedematous; his proteinuria in urine dipstick increased to 400 − 300 mg/dL with urine protein/creatinine ratio &gt; 3 mg/mg, his albumin dropped to 1.9 g/dL, and other laboratory parameters, including Hgb and platelet count, were within the normal ranges (Hgb 12.2 g/dl and platelet count 494 × 109/L) (Table ). His oedema improved after the addition of oral furosemide at 1 mg/kg/dose twice daily. Nevertheless, after 4 months of eculizumab every 3 weeks, the patient’s proteinuria and albumin levels did not improve. The decision was made to try eculizumab every two weeks and observe his proteinuria. Interestingly, his proteinuria improved to 100 mg/dL after only two doses of the two-week regimen, his oedema subsided and serum albumin improved gradually from 1.9 g/L to 2.2 g/L (Table ). Four months later, patient is stable on eculizumab 300 mg IV infusion every two weeks with no oedema and stable proteinuria and Albumin (Table ). Throughout his first year after presentation, apart from proteinuria, his creatinine was within the normal range, and he had no signs of HUS activity after the first remission.</t>
  </si>
  <si>
    <t>A 60-year-old heterosexual man presented with 75 lb weight loss, dysphagia, jaw pain/swelling, hypotension and acute kidney injury. Medical history was significant for emphysema, hypertension, stroke, alcohol withdrawal seizure, alcohol abuse and cigarette smoking. He worked as a landscaper.
On presentation vitals were: 37.5°C, 68/48 mmHg, 95 beats/min, respiratory rate 22/min, oxygen saturation 99% on room air. Physical exam revealed halitosis, poor dentition, diffuse lower gum swelling and erythema. Soft palate showed exophytic growth (Figure ).
Abdominal exam was unremarkable. Serum chemistries showed sodium 139 mEq/L, chloride 102 mEq/L, bicarbonate 30 mEq/L, blood urea nitrogen 43 mg/dl, glucose 94 mg/dl, calcium 8.7 mg/dl, creatinine 2.3 (baseline 1.1 mg/dl), albumin 1.5 g/dl, alkaline phosphatase 574 U/L, lactic acid 2.9 mmol/L, Hb 10.8 g/dl with normal MCV, RDW, decreased RBC 3.87 x 106/ul (normal &gt; 4.2), normal WBC 5000/ul, platelets 167,000/ul, normal bilirubin and ALT. CT neck (Figure ) showed soft palate asymmetry with thickening.
Piperacillin-tazobactam was started in addition to chlorhexidine empirically to provide coverage for any deep-seated bacterial infection of the oral mucosa while providing anaerobic coverage. ENT did soft palate biopsy which on GMS stain showed numerous round to oval yeast forms present intracellularly within the histiocytes and in the extracellular subepithelial tissue consistent with histoplasmosis (Figure ).
HIV-1/HIV-2 antigen/antibody screen was negative. Piperacillin-tazobactam was switched to amphotericin B. CD4 count was 36 cells/ul, CD8 count was normal, CD4:CD8 0.1 (normal: 1-3.6). Given a low CD4 count, he was started on azithromycin and sulfamethoxazole-trimethoprim for prophylaxis. Further testing revealed HIV RNA viral load (negative), HTLV-1/HTLV-2 DNA PCR (negative), hepatitis panel testing for hepatitis A, B and C (negative), vitamin B12 (normal), folate 3.7 ng/ml (low), reticulocyte count 2.2%, lactate dehydrogenase (normal), haptoglobin (normal), iron studies showed elevated ferritin, low iron, elevated transferrin saturation (anemia of chronic inflammation), copper (normal), zinc levels 37 mcg/dl (low), SPEP/UPEP (no monoclonal protein; diffuse hypergammaglobulinemia seen), IgA 467 mg/dl (high), IgG 2160 mg/dl (high), IgM 252 mg/dl (high), free light chain ratio (normal). Anti-nuclear antibody (ANA) 1:160, anti-CCP (cyclic citrullinated peptide) IgG 3.3 U/dl (high). Rapid plasma reagin (RPR) (negative), cytomegalovirus PCR (negative) and Epstein-Barr virus PCR were negative. Ultrasound abdomen showed no organomegaly. Bone marrow biopsy showed granulomas consistent with a diagnosis of histoplasmosis.
The patient subsequently developed upper gastrointestinal bleeding, so an EGD was performed which showed multiple 3-5 mm nodules in the second part of the duodenum (Figure ) which were biopsied.
Pathology showed duodenitis with fungal organisms on Gomorri-Methenamine Silver (GMS) stain compatible with histoplasmosis (Figure ).
CMV immunostain and AFB stain were negative. Colonoscopy showed diverticulosis, a 1 cm clean-based ulcer in the sigmoid colon (Figure ) which on biopsy showed the presence of histoplasma (Figure ).
The patient was then switched to oral itraconazole and discharged home on the same along with azithromycin, sulfamethoxazole-trimethoprim and folic acid.
Four months later, the patient had gained 10 lbs of weight, his dysphagia had resolved, and he was continuing his itraconazole therapy. His CD4 count now was 55/ul. Repeat low CD4+ T-cell count satisfied the criteria for the diagnosis of ICL.</t>
  </si>
  <si>
    <t>This was a case report of a 35-year-old male patient who brought to our hospital with intentional ingestion of approximately 200 ml of glyphosate (herbicide) at around 10:15 AM at home. Later (after 15 m) when the family members recognized the consumption, he was taken immediately to a local hospital where gastric lavage was done and subsequently shifted to our multispecialty hospital. In the casualty the patient was conscious and obeying commands. On examination the patient was afebrile, pulse rate: 110/m, blood pressure (BP): 94/60 mm Hg, SpO2-97%, Glasgow coma scale 15/15, cardiovascular, respiratory and gastrointestinal systems were normal. The patient was initially stabilized with intravenous (IV) fluids in casualty and later shifted to the intensive care unit for further management.
Routine blood investigations were as follows: Hb%: 14.9 g/dl, total leucocyte count (TLC) 18,600 and platelet count: 2.9 lakh cells/cu mm. Serum creatinine: 2.1 mg/dl, blood urea: 44 mg/dl, serum sodium: 148 meq/l, potassium: 6.5 meq/l, chloride: 101 meq/l. Total bilirubin: 0.6 mg/dl, SGOT-11 U/l, SGPT-67 U/l, serum albumin: 5.3 g/l. Arterial blood gas analysis: PH: 7.2, PCO2:31, PO2: 171, HCO3:12.2. Sequential organ failure assessment score: 4 and acute physiology and chronic health evaluation score: 16.
He received calcium gluconate 1 g (10 ml) IV, dextrose-insulin infusion along with salbutamol nebulization for hyperkalemia. After 6 h of admission continuous veno-venous hemodiafiltration started in view of severe acidosis, hyperkalemia and raised creatinine levels.
After 10 h of ingestion patient had sudden respiratory distress along with hypotension and was hence intubated and ventilated. For hypotension after adequate fluid resuscitation with central venous pressure of 9-10 mm Hg (also using ultrasound guided-inferior venacaval collapsibility/distensibility), noradrenalin infusion started at 0.05 mcg/kg/min.
After 24 h, the patient was febrile, heart rate (HR): 160 beats/min, BP: 90/60 mm Hg (with high noradrenalin: 3 mcg/kg/min and vasopressin: 0.04 U/min) anuric, procalcitonin: &gt;10 and serum lactate: 37.5 mg/dl (reference value 4-20 mg/dl), serum creatinine 6.1 mg/dl and TLC-13,000 cells/cumm. Patient was started on empirical antibiotic meropenem. IV lipid emulsion (20% intralipid 100 ml) once daily for three consecutive days (which started from 2nd day). On 4th day patient improved hemodynamically with HR: 90 beats/min, BP: 120/78 mm Hg with minimal inotropic support. TLC: 7800, serum potassium: 3.5 meq/l, serum creatinine: 3.5 mg/dl, PH: 7.42, PCO2:35.6 and PO2:145. The hemodynamic parameters from admission to first 5 days has been shown in .
Sustained low efficacy dialysis was done daily for first 4 days and later on alternate days for next four dialysis and stopped in view of adequate urine output from 14th day. Patient weaned from the ventilator on 4th day, later bi-level positive airway pressure support for few hours and oxygen mask for next 24 h. The inotrope and vasopressor tapered and stopped over next 24 h from day 4. Patient was successfully treated and discharged home on 18th day of admission.</t>
  </si>
  <si>
    <t>Using values from admission, because subsequent days don't report sufficient values to calculate.</t>
  </si>
  <si>
    <t>A 73-year-old woman with rheumatoid arthritis and Gilbert syndrome was admitted to the hospital with clinical evidence of encephalopathy. On presentation her temperature was 36.5° C, blood pressure 165/73 mmHg, pulse rate 76 bpm, and respiratory rate 16 breaths/minute. Her physical examination was otherwise notable for encephalopathy in which she was initially agitated and combative followed by lethargy and disorientation to time, place, and person. There were no focal neurological deficits nor stigmata suggestive of central nervous system infection, vasculitis or cirrhosis. Laboratory investigations included a leukocyte count of 4900 cell/mm3 (normal: 4.8-10.8 * 103cells/mm3), hemoglobin 12.2 g/dL (14.0-18.0 g/dl), platelet count 339,000/mm3 (140,000-440,000/mm3), prothrombin time (PT) 11.5 sec (9.4-11.7), international normalized ratio (INR) 1.03 (0.93-1.11), sodium 144 mmol/L (136-145 mmol/L), potassium 4.0 mmol/L (3.5-5.1 mmol/L), chloride 113 mmol/L (98-111 mmol/L), bicarbonate 25 mmol/L (21-31 mmol/L), blood urea nitrogen (BUN) 10 mg/dL (6-20 mg/dl), creatinine 0.5 mg/dL (0.6-1.2 mg/dl), calcium 9.6 mg/dL (8.6-10.0 mg/dl), albumin 3.8 g/dL (3.4- 4.8 g/dl), total protein 6.4 g/dL (6.4-8.3 g/dl), aspartate aminotransferase 20 U/L (8-20 U/L), alanine aminotransferase 15 U/L (10-40 U/L), alkaline phosphatase 68 U/L (25-100 U/L), total bilirubin 1.8 mg/dL (0.3-1.2 mg/dl), direct bilirubin 0.44 mg/dL (0.0-0.19 mg/dL) and ammonia level 165 mcmol/L (19-60 mcmol/L). Urinalysis and blood cultures were negative.
CT of the brain was unremarkable. Further laboratory testing revealed a negative human immunodeficiency virus (HIV) screen, hepatitis panel, and anti-smooth muscle antibodies. Abdominal ultrasonography revealed normal size and echotexture of the liver along with a dilated portal vein and dilated vascular channel within the right hepatic lobe. The liver appeared non-cirrhotic and a liver elastography showed a Metavir score of F1 indicating no evidence of cirrhosis.
Abdominal CT angiography revealed a dilated portal vein measuring up to 1.8 cm at the porta-hepatis along with dilated superior mesenteric and splenic veins. Multiple dilated vascular channels were seen within the right hepatic lobe. An intrahepatic portosystemic shunt between an enlarged middle hepatic vein and two separate branches of the right portal vein was visualized (Figures -).
A liver biopsy showed normal architecture with no sign of inflammation or fibrosis. She received conservative management with lactulose and rifaximin. Hyperammonemia and encephalopathy resolved after the second day of admission and she was discharged with close outpatient follow up by gastroenterology and interventional radiology.</t>
  </si>
  <si>
    <t>Albumin Corrected Delta Gap</t>
  </si>
  <si>
    <t>What is the patient's albumin corrected delta gap in mEq/L?</t>
  </si>
  <si>
    <t>A 61-year-old white woman presented in February 2013 with fatigue, decreased appetite and right upper quadrant abdominal pain for 2 weeks. She denied nausea, vomiting, weight loss and jaundice. Two weeks prior to presentation, the patient was found to have elevated liver enzymes by routine blood workup (AST 151 IU/l, ALT 199 IU/l), for which atorvastatin and ezetimibe were both discontinued (although she had been taking both for a long time). She was known to have MS (as she had clumsiness and optic neuritis with white matter hyperintensities by brain MRI, at that time not on any treatment, but treated with interferon in 2000 with resulting drug-induced hepatitis which resolved after discontinuation of interferon), hypothyroidism on levothyroxine (secondary to radioactive iodine ablation for Graves disease), hyperlipidemia and asthma.
On physical examination, blood pressure was 113/77 mm Hg, heart rate 64 beats/min and temperature 36.3°C. She was not jaundiced and her heart and respiratory sounds were normal. Her abdomen was soft, not tender, not distended, without hepatomegaly or splenomegaly and with normal bowel sounds. She was alert and oriented, the cranial nerves were grossly intact, muscle bulk, tone and power were normal, there was no sensory deficit, and coordination and gait were both unremarkable. Laboratory tests on admission revealed white blood cells 6.1 × 103/μl, hemoglobin 14 g/dl, platelets 433 × 103/μl, sodium 138 mEq/l, potassium 4.6 mEq/l, chloride 103 mEq/l, bicarbonate 29 mmol/l, BUN 11 mg/dl, creatinine 0.7 mg/dl and glucose 94 mg/dl. Liver function test showed AST 1,740 IU/l, ALT 1,497 IU/l, alkaline phosphatase (ALP) 140 IU/l, total bilirubin 2.4 mg/dl (direct bilirubin 1.3) – later on it went up to 5.1 mg/dl, gamma-glutamyl transferase (GGTP) 501 IU/l (normal 7–64 IU/l), total protein 8.3 g/dl and albumin 3.8 g/dl. Coagulation panel showed prothrombin time 13.6 s, international normalized ratio 1.44 and partial thromboplastin time 30.9 s. Urine drug screen was negative. The results of thyroid function testing were thyroid-stimulating hormone 10.3 mIU/ml and free thyroxine 0.8 ng/dl. She had normal alpha-fetoprotein and a negative ethanol level. Serum protein electrophoresis showed high gamma fraction of protein 2.1 g/dl. Viral hepatitis was ruled out by negative hepatitis panel including negative hepatitis C virus RNA PCR. Complete serological tests revealed positive anti-smooth muscle antibodies at 1:320 (normal titer &lt;1:40), negative anti-mitochondrial antibodies, negative anti-nuclear antibodies, negative anti-neutrophil cytoplasmic antibodies, negative anti-myeloperoxidase antibodies, negative proteinase-3 antibodies and negative liver kidney microsomal antibodies. Ultrasound of the liver was performed and showed no significant abnormality in the liver, gallbladder or pancreas. There was no sign of gallstone or pericholecystic fluid formation. Abdominal computed tomography with contrast showed only mild fatty changes of the liver.
While the patient was in the hospital, ultrasound-guided liver biopsy was done; she was started on oral prednisone 60 mg daily and discharged home on that dose awaiting the liver biopsy result. Later on this confirmed our diagnosis of AIH as it showed lobular lymphoplasmacytic infiltrate (fig. ), Councilman bodies and spotty necrosis. Bile duct damage and bridging periportal fibrosis were present (fig. ). In March 2013, the patient had improved clinically. Her liver enzymes were checked while she was still taking 60 mg prednisone daily with the following values: AST 360 IU/l, ALT 602 IU/l, ALP 92 IU/l, GGTP 398 IU/l and total bilirubin 2.9 mg/dl. After receiving the liver biopsy result, she was prescribed oral azathioprine 50 mg daily while tapering the prednisone dose. Her liver function was periodically checked with continuous improvement. In April 2013, she was taking both 20 mg prednisone and 50 mg azathioprine daily. In June 2013, the azathioprine was stopped and she was kept on oral prednisone 10 mg daily, which later on (in September 2013) was decreased to 5 mg daily. Her liver function has been always within the normal range since July 2013 with AST 40 IU/l, ALT 35 IU/l, ALP 37 IU/l, total bilirubin 0.9 mg/dl, GGTP 60 IU/l, total protein 6.8 g/dl and albumin 3.9 g/dl.</t>
  </si>
  <si>
    <t>A previously healthy 23-month-old boy presented to our hospital with a 2-day history of fever, postprandial diffuse abdominal pain, and non-bilious vomiting (&gt;5 episodes/day) that began 1 day before admission. After admission, the patient developed a watery diarrhea. In addition to food refusal, he was observed to produce lesser urine than usual upon void review. His medical and birth history were unremarkable (he was not administered any medications, he had no known allergies, and his immunizations were up to date). His family medical history was unremarkable, and he had no travel history at that time.
Upon examination, the patient looked acutely ill and dehydrated. He was 90.2 cm (in the 75–85th percentile) tall and weighed 11.6 kg (in the 15–25th percentile). His abdomen was soft and flat with normoactive bowel sounds. Upon palpation of the abdomen the examination revealed the existence of a mild tenderness over the entire abdomen, without rebound tenderness or muscle guarding or rigidity. The rest of his physical examination was noted to be normal. The patient's vital signs showed a heart rate of 141 bpm, respiratory rate of 22 with a normal respiratory pattern, temperature of 38.6°C, and oxygen saturation at 98% on room air. He was observed to be mentally alert at the time of the examination. The initial laboratory tests revealed the following: white blood cells (WBCs) 6,500 cells/μL, hemoglobin (Hb) 13.2 g/dL, platelets 423,000/μL, C-reactive protein (CRP) 6.35 mg/dL, sodium 130 mmol/L, potassium 4.1 mmol/L, chloride 90 mmol/L, and total carbon dioxide 14.4 mmol/L. All other blood tests were within the reference range. His stool occult blood test was positive (748 ng/mL). It is noted that the tests for rotavirus and norovirus antigen were negative. An erect chest X-ray did not show pneumoperitoneum; however, an erect abdominal X-ray demonstrated abnormal dilatation of the small bowel loops with air-fluid levels suggestive of possible SBO (). The abdominal ultrasonography revealed mild wall thickening of the small bowel loops suggestive of acute enteritis, several enlarged lymph nodes in the right lower quadrant, and a normal-appearing proximal appendix (the tip of the appendix was not visualized), without any evidence of mechanical bowel obstruction such as an intussusception.
The patient was resuscitated using normal saline and received conservative management. At that time, cefotaxime was empirically administered intravenously. The following day, his condition rapidly deteriorated, and he developed a state of septic shock. Upon examination, the patient's vital signs now were: blood pressure (BP) 87/39 mmHg, heart rate 170 bpm, respiratory rate 56, temperature 38.1°C, and oxygen saturation 93% on room air. Our surgical team urgently came to the patient and performed physical examination; his abdomen was soft with mild tenderness and slight muscle guarding on palpation. They recommended continuing medical supportive care, but frequent physical examinations needed to be performed to detect subtle changes in the patient's signs and symptoms. The patient's laboratory tests were repeated and revealed: WBCs 5,300 cells/μL, Hb 9.7 g/dL, platelets 186,000/μL, CRP 28.96 mg/dL, sodium 129 mmol/L, potassium 3.7 mmol/L, chloride 95 mmol/L, and albumin 2.6 g/dL. Upon review, the coagulation tests revealed an abnormally prolonged prothrombin time at 21.5 seconds and an activated partial thromboplastin time at 56 seconds. The patient's venous blood gas analysis demonstrated metabolic acidosis: pH 7.28 and bicarbonate 15 mmol/L. Upon review, other blood tests remained within reference range. A plain abdominal X-ray was repeated and showed worsening of small bowel ileus. At that time, an urgent contrast-enhanced abdominal CT was performed in order to confirm the presence of a surgical abdomen. The imaging revealed diffuse dilatation of the large and small bowel loops (suggestive of paralytic ileus) with uniform enhancement of bowel wall and no lead point of bowel obstruction, mesenteric lymphadenitis, and mild ascites (). However, the radiologists were of the view that obstructive ileus could not be completely ruled out in this case. They did not find an abnormal appendix, but the condition of an acute appendicitis could not be excluded either. The patient was maintained on a nil per os status, and fluid resuscitation was continued. We tried rectal tube decompression, however, his condition did not show much improvement except the passage of small amount of rectal gas. He received albumin, packed red blood cells, and fresh frozen plasma intravenously. At that time, Metronidazole was additionally administered empirically, and his vital signs were closely monitored for any significant changes.
On the third hospital day, the patient became more lethargic despite medical therapy. His BP was observed to have normalized; however, it was noted that tachycardia and tachypnea persisted. On repeated physical examination, his abdomen now showed distention with hypoactive bowel sounds, however, muscle guarding or tenderness could not be clearly ascertained on palpation. The patient developed generalized edema and oliguria. Based on the patient's clinical condition, we decided to perform an urgent exploratory laparotomy at 44 hours after admission.
Upon opening the peritoneum, approximately 400 mL of ascitic fluid was drained. Next, a segment of markedly dilated and infarcted small bowel was identified 30 cm proximal to the ileocecal valve (). It is noted that the total length of the necrotic small bowel was approximately 60 cm. The omentum and the colon appeared to be intact. Upon review, the small bowel intussusception or volvulus was not identified. Even at laparotomy, our surgical team could not find the lead point of bowel obstruction. The appendix appeared unremarkable macroscopically. In this case, after decompression of the bowel following an incision on an infarcted small bowel segment, 110 cm of the distal small bowel containing the necrotic segment was resected and end-to-end small bowel anastomosis was performed in addition to a prophylactic appendectomy.
Histopathological examination of the surgical specimen revealed multiple areas of mucosal necrosis with diffuse congestion. The patient blood cultures did not reveal any bacteria, and stool cultures did not reveal Salmonella or Shigella. His postoperative course was considered to be uneventful, and oral nutrition could be initiated on postoperative day 5. The patient was discharged in a good general condition on postoperative day 11. After discharge, the patient was noted as asymptomatic and did not report any serious residual complications.</t>
  </si>
  <si>
    <t>A 73-year-old man with a past medical history, including hypertension, diabetes mellitus type II, Global Initiative for Chronic Obstructive Lung Disease stage D chronic obstructive pulmonary disease, chronic respiratory failure on 2 L/minute of oxygen through a nasal cannula, and former tobacco user with &gt;30 packs/year smoking history, presented with a one-week history of sharp, periumbilical/epigastric abdominal pain (8/10 on the visual analog pain scale) without radiation to the back. Associated symptoms included nausea without vomiting, anorexia, and fatigue; symptoms were exacerbated by movement and relieved with rest. The patient denied gallbladder disease, alcohol use, hyperlipidemia, trauma, history of pancreatitis, fever, recent illness, history of malignancy, occupational exposures, dietary changes, or recent travel. His family history was positive for small cell lung cancer in his mother as well as cancer in his sister and grandmother. This patient’s physical exam was notable for epigastric tenderness without hepatosplenomegaly, rebound tenderness, rigidity, jaundice, or right upper quadrant tenderness. His vital signs were within reference limits (heart rate 60 beats/minute, temperature 97.8°F, blood pressure of 117/50 mmHg, respiratory rate of 16 breaths/minute, and weight 102 kg). The patient’s laboratory results showed a white blood cell level of 13,300 cells/mcL, a hemoglobin level of 13.9 g/dL, hematocrit of 41%, a platelet count of 278,000 per mcL, a lactic acid level of 1.2 mg/dL, glucose of 169 mg/dL, blood urea nitrogen of 25 mg/dL, a creatinine level of 1.3 mg/dL, a sodium level of 134 mEq/L, a potassium level of 4.3 mEq/L, a chloride level of 103 mEq/L, a bicarbonate level of 20 mEq/L, a calcium level of 9.8 mg/dL, partial thromboplastin time of 32 seconds, an international normalized ratio of 1.0, a brain natriuretic peptide level of 25 pg/mL, a lipase level of 96 U/L, a triglyceride level of 150 mg/dL, a total bilirubin level of 0.4 mg/dL, an aspartate aminotransferase level of 14 U/L, an alanine aminotransferase level of 12 U/L, an alkaline phosphatase level of 45 IU/L, an albumin level of 4.1 g/dL, a troponin level of 0.01 ng/mL, and a procalcitonin level of 0.1 ng/mL. A CT of the abdomen/pelvis with contrast revealed fat stranding around the pancreatic head suspicious for acute pancreatitis; a gallbladder ultrasound showed no stones or sludge in the gallbladder but dilation of the pancreatic duct to 6 mm. A CT angiography (CTA) of the chest showed right paratracheal/hilar lymphadenopathy, as well as a 4.8 x 2.7 cm subcarinal mass (Figure ). Our patient presented with acute pancreatitis complicated by mediastinal lymphadenopathy and an abdominal mass.
Magnetic resonance cholangiopancreatography (MRCP) showed two 1-cm lesions in the pancreatic body (Figure ), lymphadenopathy, and inflammatory changes in the pancreatic head/uncinate process. The patient was discharged after abdominal pain and anorexia resolved, and he completed endoscopic ultrasound (EUS) with biopsy as an outpatient. The EUS confirmed mediastinal lymphadenopathy and showed that the two pancreatic lesions previously visualized on MRCP (8.1 x 7.6 mm and 6.1 x 4.3 mm) were communicating with the pancreatic duct. Fine needle aspiration (FNA) of the largest mediastinal lymph node (station 7) was sent for biopsy. The biopsy confirmed the diagnosis of metastatic small cell carcinoma.
The patient underwent an oncologic evaluation to determine the degree of metastasis of SCLC, and positron emission tomography (PET)-CT revealed an avid lymph node in the subcarinal portion of the mediastinum with moderate size lymph nodes throughout the mediastinum showing minimal PET activity (Figure ).
The patient was started on cisplatin and etoposide every three weeks for up to six cycles with the first two cycles concurrent with radiation by oncology, and he tolerated his first two cycles with no significant complications.</t>
  </si>
  <si>
    <t>A 52-year-old white male with O2-dependent COPD, hypertension, GERD, idiopathic gastroparesis, and chronic low back pain was noted to have persistent hypokalemia in the 2.7–3.3 meq/L range over more than 2 years. He complained also of chronic generalized weakness and fatigue. He denied nausea or vomiting, but did have occasional loose stools. The hypokalemia persisted despite discontinuation of diuretic treatment for hypertension and fludrocortisone that had been prescribed briefly for orthostatic hypotension. There was no improvement with aggressive oral potassium supplementation in amounts up to 120 meq per day. The patient's serum potassium level normalized on three occasions when he was hospitalized and given supplemental potassium (COPD exacerbations in 7/06 and 1/07, pseudoseizures in 7/07), but the hypokalemia promptly recurred after discharge from the hospital (Figure ). His medications were paroxetine, trazodone, pregabalin, sustained-release morphine, loratadine, isosorbide mononitrate, lisinopril, metoprolol, simvastatin, omeprazole, metoclopramide, potassium chloride, calcium/vitamin D tablets, alendronate, and mometasone, tiotropium, and albuterol inhalers. He smoked one-half pack of cigarettes per day and did not drink alcohol.
On physical examination, he was a chronically ill-appearing man wearing a nasal cannula. Height was 69 inches, weight 205 pounds. There were no cushingoid facies, buffalo hump, or abdominal striae. Vital signs were temperature 98.6 degrees, pulse 95, respiratory rate 14, blood pressure 128/73. There was no thyromegaly or lymphadenopathy. Lungs showed decreased breath sounds and mild expiratory wheezes bilaterally. Heart sounds were regular with no murmurs, rubs, or gallops. The abdomen was soft and non-tender, with no masses or organomegaly. Extremities showed no edema, clubbing or cyanosis. The neurologic examination revealed mild generalized muscular weakness (4+/5) and normal deep tendon reflexes.
Laboratory results include serum sodium 137 mg/dL, potassium 3.0 mg/dL, chloride 95 mmol/L, CO2 30.0 mmol/L, blood urea nitrogen 5 mg/dL, creatinine 0.8 mg/dL, calcium 9.3 mg/dL, phosphorus 4.1 mg/dL, albumin 3.6 g/dL, ferritin 126 ng/mL, hemoglobin 12.7 g/dL, white blood cell count 10.6 K/cmm, and platelet count 160 K/cmm. Serum aldosterone was 4.8 ng/dL (normal 4–31 ng/dL) and the plasma renin activity was 0.33 ng/mL/hr (normal 1.31–3.96 ng/mL/hr upright, 0.15–2.33 ng/mL/hr supine). Spot urine potassium was 8.6 mEq/L, urine sodium was &lt; 10 mEq/L, and urine chloride was 16 mmol/L.
In the absence of a clear explanation for this patient's chronic hypokalemia, he was asked to give the details of his diet. He admitted to drinking 4 liters of Pepsi-Cola per day for the past several years. It was his habit to sip cola slowly but almost continuously, throughout the day. When hospitalized, he had stopped drinking cola and his potassium levels had temporarily normalized. In early May 2008, he decreased his cola intake to 2 liters per day, with a resultant increase in the serum potassium from 3.0 to 3.5 mg/dL (Figure ).</t>
  </si>
  <si>
    <t>A 64 year old previously healthy white male construction worker presented with a four-week history of progressive shortness of breath, bilateral lower limb swelling, increased abdominal girth and a thirty pound weight gain. He was found to have new onset hypertension and an abnormal urinalysis.
On physical examination temperature was 98.6, pulse was 64 beat per minute and blood pressure was 208/104 mmHg. Fundoscopic exam was normal. Jugular veins were distended. Heart examination showed a displaced apical impulse. Breath sounds were decreased on the right side of the chest. The abdomen was remarkable for marked splenomegaly and shifting dullness. There was marked pretibial edema. No peripheral lymphadenopathy was detected.
Initial laboratory evaluation showed a white blood cell count of 7.2 ×109/L, hematocrit 34%, and platelet count 99 × 109/L. The serum creatinine was 2.9 mg/dl, and blood urea nitrogen was 37 mg/dl. Serum electrolytes were (in meq/l) sodium 143, potassium 4.3, chloride 112, and bicarbonate 22. Hepatic transaminases, alkaline phosphatase, and prothrombin time were normal. Total protein was 4.8 g/dl and albumin 2.6 g/dl. Urinalysis showed 3+ blood, 3+ protein with abundant granular casts and RBCS but no cellular casts. 24 hour urinary protein excretion was 28 g. Serum immunofixation electrophoresis, SPEP and UPEP were negative for monoclonal bands. Serum complement (C3) was 72.3 mg/dl (83-193) and C4 was 22.8 mg/dl (12-36). Rheumatoid factor was 299 IU (0-29). Tests for hepatitis B surface antigen, hepatitis C antibody, RPR, human immunodeficiency virus antibodies, streptozyme, and antinuclear antibodies were negative.
Chest radiographic study showed a right pleural effusion and a normal sized heart. Computerized tomography of the abdomen showed hepatosplenomegaly and periaortic lymphadenopathy. Doppler ultrasonography of the kidneys was normal.
A percutaneous renal biopsy was performed. Light microscopy showed increased cellularity in all glomeruli and accentuation of lobular architecture. Silver staining showed double contours within the capillary loops. Epithelial crescents were not present. Immunofluorescence studies showed granular staining in a lobular pattern for IgG, IgM, Kappa, and lambda. Electron microscopy showed subendothelial and mesangial fine electron dense deposits (Figure ). These histologic changes were consistent with MPGN, type 1. There was no evidence of lymphomatous infiltration and there was no histological evidence of cyroglobulin deposition or amyloidosis.
Bone marrow aspiration and biopsy showed a hypercellular bone marrow (80%) with extensive infiltration of small B cell lymphoctyes. The B cells were positive for the B cell marker CD20 and negative for T cell markers CD5 and CD3. The final diagnosis was low grade B cell NHL.
After initial treatment with six cycles of cyclophosphamide, vincristine, and prednisone. The patient improved symptomatically and his blood pressure normalized. Serum creatinine, which initially peaked at 7.1 mg/dl, decreased dramatically to a baseline level of 1.4 - 1.7 mg/dl. Urine protein excretion decreased to &lt;300 mg/24hr. Microscopic hematuria resolved. Serum albumin increased to 3.5-4.0 g/dl with resolution of the proteinuria. The anemia and thrombocytopenia resolved. Repeated computed tomography of the abdomen at intervals of six and 12 months showed improvement in splenomegaly and periaortic lymphadenopathy. A repeat bone marrow biopsy showed no evidence for NHL. During long term follow up, the patient has had two relapses of NHL confirmed by bone marrow biopsies. The first relapse was treated with six cycles of fludarabine and mitoxantrone and the second with rituximab. Subsequent bone marrow biopsy showed no evidence for lymphoma, and computed tomography of the abdomen and pelvis showed resolution of lymphadenopathy with interval improvement in splenomegaly. In each relapse there was a transient increase in the serum creatinine concentration, up to 2 mg/dl, that was attributed to factors other than MPGN. Urinalysis remained normal. The patient continues to be in complete remission with respect to his MPGN and NHL, approximately 11 years following the initial diagnosis.</t>
  </si>
  <si>
    <t>A 64-year-old male with a past medical history of Child B compensated liver cirrhosis complicated by non-bleeding esophageal varices, portal vein thrombosis, diverticulosis, and history of episodes of small bowel obstruction presented with chronic diffuse abdominal pain for three months. Review of systems was negative for nausea, vomiting, diarrhea, constipation, fever, or chills. The patient was passing flatus but denied any bowel movements for four days.
On physical examination, bowel sounds were decreased, and the patient’s abdomen was diffusely tender to palpation. Heart sounds were normal, and lungs were clear to auscultation.
Review of medication history revealed that the patient had been taking propranolol for primary prevention of variceal bleed for three years since being diagnosed with cirrhosis.
Pertinent laboratory values were as follows: sodium = 133 mEq/L (low [L]), potassium = 4.4 mEq/L (normal [nl]), chloride = 105 mEq/L (nl), BUN (blood urea nitrogen) = 16 mg/dL (nl), creatinine = 0.9 mg/dL (nl), white blood cell = 3.9 k/uL (L), hemoglobin = 9.0 g/dL (L), platelet = 204 k/uL (nl), lactate = 2.8 mmol/L (high [H]), AST (aspartate aminotransferase) = 53 U/L (H), ALT (alanine aminotransferase) = 16 U/L (H), GGT (gamma-glutamyl transpeptidase) = 223 U/L (H), direct bilirubin = 0.3 mg/dL (H), total bilirubin = 1.1 mg/dL (nl), alkaline phosphatase = 160 U/L (H), total protein = 6.0 g/dL (L), albumin = 3.2g/dL (L), and bicarbonate = 22 mEq/L (L).
Initial workup included an abdominal CT scan, which showed mobile loops of bowel with air-fluid levels concerning for ileus versus small bowel obstruction. However, given that the patient was passing gas, concern for complete bowel obstruction was low, and conservative medical management was recommended by the consulted surgical team.
Review of the previous medical records showed this patient to have a history of recurrent admissions for unremitting, diffuse abdominal pain. During a surgery to relieve his bowel obstruction approximately two years prior, a thick fibrous tissue encapsulating the ileum, jejunum, gallbladder, stomach, transverse colon, and omentum was noticed. Additionally, a separate fibrous capsule was found that encapsulated the aforementioned structures and fibrous sheath. The distal ileum was found to be completely decompressed, consistent with a diagnosis of small bowel obstruction. To relieve the obstruction, the thick fibrous tissue encasing the ileum and jejunum had to be excised. Some of the fibrous casing had to be left intact to preserve the integrity of bowel tissues.
CT images from two years prior are shown in Figures , .
During this admission, however, the patient’s bowel obstruction was managed conservatively. By day 5 of his hospital admission, imaging showed resolution of the obstruction.</t>
  </si>
  <si>
    <t>A 14-year-old girl came to Thammasat University Hospital for renal replacement therapy. She presented with end-stage renal disease (oliguria, anemia, and failure to thrive). She was the first child of healthy nonconsanguineous Thai parents. She was born at term to a 23-year-old mother and a 25-year-old father. Her prenatal and perinatal periods were uncomplicated. Her development was unremarkable until six months of age. She clawed by using her knees and elbows, instead of hands, at the age of 8 months. She was unable to walk on her feet but moved on her knees during her childhood period. She came to our hospital at the age of 12 years. Her weight was 25.4 kilograms (below the 3rd percentile) and her sitting height was 70 cm (below the 3rd percentile). Her vitals were normal, except high blood pressure at 120/80 mmHg (above 99th percentile for her age, sex, and height). She had pallor. Her distinctive facial features were the cloudy cornea, exophthalmos, underdeveloped ala nasi, maxillary hypoplasia, and micrognathia (). Upper extremity deformities included shortening of arms and forearms, flexion contracture of elbows, distorted wrists, and shortening of all fingers. Deformities of lower extremities were short thighs, short-bowed legs, and flexion contracture of knee. Distorted and restricted in motion of ankles, and deformities of feet were observed. Her heart, lungs, abdomen, and neurological examination were unremarkable. Her cognitive was appropriated with age.
Her initial investigations demonstrated blood urea nitrogen 120 mg/dL, serum creatinine 8.3 mg/dL, Na 134, K 4.5, Cl 95, HCO3 11 mmol/L, phosphate 2.6, calcium 3.8 mg/dL, albumin 0.6 g/dL, alkaline phosphatase (ALP) 13.5 U/L, with parathyroid hormone (PTH) level at 94 pg/ml. Her radiography of the upper extremities showed absence of carpal bones, osteolytic lesions of metacarpal, and distal ends of ulna and radial bones (). The radiography of the lower extremities demonstrated absence of tarsal bones, osteolytic lesions of metatarsal bones, and distal end of fibula (). In addition, severe cortical thinning of all bones indicating osteopenia was observed (Figures and ).
Ultrasonography showed small size of both kidneys and echocardiography demonstrated left ventricular hypertrophy. The diagnosis of end-stage renal disease was made with estimated glomerular filtration rate (GFR) of 7 mL/min/1.73 m2. All clinical presentation and investigations were compatible with the clinical diagnosis of MCTO. She received hemodialysis followed by continuous ambulatory peritoneal dialysis and medications including erythropoietin, ferrous fumarate, 0.50 µg of calcitriol, and 1400 mg of elemental calcium. Six months later, she developed generalized tonic-clonic seizure from hypercalcemia (12.4 mg/dL). Her serum chemistry demonstrated normal serum phosphorus level (3.9 mg/dL) and low serum alkaline phosphatase (4 U/L), with normal serum PTH level at 103 pg/mL. These findings indicated a marked reduction in the bone uptake of calcium after a period of calcium supplement. Calcium and calcitriol were discontinued until serum calcium returned to normal level, then only 720 mg of elemental calcium was reintroduced. Two years later, she had a slightly high serum calcium level (10.8 mg/dL), normal serum phosphorus level (3.5 mg/dL), and normal PTH level (113 pg/ml). Interestingly, during the past 2 years, we observed persistently low serum ALP levels (2.6–4.9 U/L) [], indicating poor osteoblastic activity and limited bone formation. Thus, impaired bone mineralization from dysregulation of osteoblast and osteoclast was suspected and MAFB mutation might be responsible for MCTO disease in this patient.
We performed a genetic testing, MAFB sequencing on her and her parental blood. The genomic were isolated from peripheral lymphocytes using Puregene DNA extraction kit (Qiagen, Valencia, CA). A short region of the amino-terminal transcriptional activation domain of the MAFB gene, containing mutation hotspots, was amplified by polymerase chain reaction (PCR). We designed primers by using software (Primer3Plus). The forward and reverse primer sequences for PCR amplification were 5′-GCTCAAGT TCGACGTGAAGA-3′ and 5′-GTAGTTGCTCGCCATCCAGT-3′, respectively. PCR products were visualized on a 2% agarose gel and purified using DyeEx 2.0 spin kit (Qiagen, Valencia, CA). The products were then sequenced by capillary electrophoresis. This study was approved by the ethic committee of the Faculty of Medicine, Thammasat University, Thailand (MTU-EC-PE-1-005/59).
We identified a de novo heterozygous missense mutation at nucleotide 197 from C to G (NM_005461.4; c.197C &gt; G; ), predicting the change of amino acid at codon 66 from serine to cysteine (p.Ser66Cys). There was negative in both mother and father's result. This missense mutation occurred within the transactivation domain of MafB protein. This serine at the codon 66 is evolutionarily conserved among species, and in silico prediction of pathogenicity programs classify this variant as deleterious (SIFT) and probably damaging (PolyPhen).</t>
  </si>
  <si>
    <t>Albumin Corrected Delta Ratio</t>
  </si>
  <si>
    <t>What is the patient's albumin corrected delta ratio?</t>
  </si>
  <si>
    <t>A 69-year-old African American man is brought to the emergency department with sudden onset lower limb paralysis and back pain. He has had generalized bone pain for 2 months. He has no history of severe illnesses. He takes ibuprofen for pain. On examination, he is pale. The vital signs include: temperature 37.1°C (98.8°F), pulse 68/min, respiratory rate 16/min, and blood pressure 155/90 mm Hg. The neurologic examination shows paraparesis. The 8th thoracic vertebra is tender to palpation. An X-ray of the thoracic vertebrae confirms a compression fracture at the same level. The laboratory studies show the following:
Laboratory test
Hemoglobin 9 g/dL
Mean corpuscular volume 95 μm3
Leukocyte count 5,000/mm3
Platelet count 240,000/mm3
ESR 85 mm/hour
Serum
Na+ 135 mEq/L
K+ 4.2 mEq/L
Cl− 113 mEq/L
HCO3− 20 mEq/L
Ca+ 11.5 mg/dL
Albumin 4 g/dL
Urea nitrogen 18 mg/dL
Creatinine 1.2 mg/dL
Serum electrophoresis shows a monoclonal protein level of 38 g/L.</t>
  </si>
  <si>
    <t>A 47-year-old man arrived to the emergency room due to generalized tonic-clonic seizures and altered mental status. He had a history of long-standing uncontrolled type 2 diabetes treated irregularly with insulin and metformin (HbA1c 10.1%), with no known microvascular or macrovascular complications. He had no history of alcohol consumption and twenty-four hours earlier he referred nocturia, polyuria and polydipsia. On the day of admission, while asleep, he suddenly developed three consecutive episodes of generalized tonic-clonic seizures along with urinary sphincter loss and subsequent postictal state.
On physical examination he was hemodynamically stable with a blood pressure of 130/80 mmHg, heart rate of 85 beats per minute, respiratory rate of 20 per minute, temperature 36.5°C, and room-air oxygen saturation of 98%. His body mass index was 32.2. Mucous membranes were remarkably dry. The patient was lethargic and had a Glasgow coma scale of 11/15, muscle strength was 4/5 in both lower extremities, and deep tendon reflexes were diminished. Cranial nerves were normal, sensitivity was preserved, and meningeal signs and primitive reflexes were absent. Due to the patient status cerebellum function could not be evaluated. Finger-stick glucose could not be recorded due to high blood glucose levels and venous blood gas analysis reported pH 7.36, PCO2 42 mmHg, PO2 32 mmHg, lactate 1.2 mmol/L, and bicarbonate 23.7 mEq/L. Urinary and plasma ketones were negative. Hydration with intravenous normal saline solution at 500 mL/h and an insulin infusion at 0.14 U/kg were started. Plasma glucose was 838 mg/dL (46.5 mmol/L), blood nitrogen urea 21 mg/dL, creatinine 1.1 mg/dL with a MDRD calculated glomerular filtration rate of 71 mL/min, serum sodium 133 mmol/L, and chlorine 89 mmol/L. Calcium, potassium, phosphorous, magnesium, hemoglobin, white blood count, and platelets were all within normal limits. Serum albumin was 2.1 g/dL, alkaline phosphatase 192 UI/L, alanine aminotransferase 19 U/L, aspartate aminotransferase 21 U/L, total bilirubin 0.8 mg/dL, and serum osmolality 320 mOsm/kg ().
Head computed tomography, electrocardiogram, and chest X-ray were normal. The patient after 24 hours of treatment continued with altered mental status and paraparesis progressed (3/5). Plasma glucose was lowered down carefully at a rate of 30–40 mg/dL/hr and was within 200–300 mg/dL []. Serum osmolality dropped down to 305 mOsm/Kg (). Twenty-four hours after admission a brain magnetic resonance imaging (MRI) was ordered and revealed increased signal intensity on T2-weighted FLAIR images with restricted diffusion in the medulla and central pons (). Mammillary bodies, thalamus, third ventricle, and both hemispheres were respected. Lumbar puncture was normal, electroencephalogram showed a nonspecific wave activity, and urinary and serum toxicology panel were negative. During all his admission serum sodium was documented to be within normal range. ODS was diagnosed and aggressive supportive therapy was started. During the next 3 weeks the patient progressively regained consciousness and muscle strength and was able to feed himself. At 6-month follow-up, the patient was asymptomatic and MRI showed no residual damage.</t>
  </si>
  <si>
    <t>A 17-year-old boy is brought to the physician by his father because of a 7-month history of fatigue, recurrent leg cramps, and increased urinary frequency. His pulse is 94/min and blood pressure is 118/85 mm Hg. Physical examination shows dry mucous membranes. Laboratory studies show:
Serum
Na+ 130 mEq/L
K+ 2.8 mEq/L
Cl- 92 mEq/L
Mg2+ 1.1 mEq/L
Ca2+ 10.6 mg/dL
Albumin 5.2 g/dL
Urine
Ca2+ 70 mg/24 h
Cl- 375 mEq/24h (N = 110–250)
Arterial blood gas analysis on room air shows a pH of 7.55 and an HCO3- concentration of 45 mEq/L.</t>
  </si>
  <si>
    <t>A 74-year-old woman, with a past medical history of end-stage renal disease, mild chronic obstructive pulmonary disease, left ventricular hypertrophy, mild chronic iron deficiency anemia, chronic gastroesophageal reflux disease treated with proton pump inhibitors, and no known autoimmune disorders presented with dysphagia for solids without abdominal pain or other gastrointestinal (GI) symptoms, and without systemic ‘B’ symptoms of pyrexia, night sweats, or weight loss. She had a 10-pack-year history of smoking cigarettes, but had quit smoking 10 years earlier. She drank alcohol only socially and did not use any illicit drugs. Physical examination revealed a blood pressure of 145/78 mm Hg, a heart rate of 98 beats/min, and a temperature of 36.5°C. The abdominal examination was unremarkable, including findings of a nontender abdomen, normoactive bowel sounds, and no hepatosplenomegaly. Rectal examination revealed no fecal occult blood. Laboratory analysis showed a hemoglobin level of 10.3 g/dl, a mean corpuscular volume of 87 fl, a serum iron level of 25 μg/dl, and a total iron binding capacity of 223 μg/dl (iron saturation 11%, compatible with iron deficiency anemia). The serum levels of sodium were 136 mmol/l, potassium 3.7 mmol/l, chloride 98 mmol/l, and bicarbonate 26 mmol/l. The serum creatinine level was 2.71 mg/dl, and blood urea nitrogen was 27 mg/dl. Serum tests of liver function were all within normal limits, except that the alkaline phosphatase level was 263 U/l. The albumin level was low at 2.7 g/dl. The lactate dehydrogenase level was 206 U/l (normal range 100–238). A barium esophagogram revealed no abnormalities. EGD revealed no gross duodenal lesions and some digested food obscuring about 20% of the descending duodenal mucosa despite her having fasted for 8 h before EGD (fig. ). There were no gastric or esophageal lesions. Histologic analysis of esophageal biopsies, performed because of dysphagia, revealed no lesions. Histologic analysis of endoscopic biopsies of the descending duodenum, performed to exclude celiac disease in a patient with suspected iron deficiency anemia, revealed a prominent submucosal lymphocytic infiltrate with scattered plasma cells, consistent with low-grade B-cell non-Hodgkin's lymphoma and otherwise normal mucosa (fig. ). Immunohistochemistry predominantly revealed B cells, with a strong expression of CD43 and a coexpression of BCL2, findings highly compatible with extranodular marginal zone MALToma (fig. ). Microscopic examination of gastroduodenal biopsies using a modified Giemsa stain (Diff Quick stain; Electron Microscopy Sciences, Hatfield, Pa., USA) was negative for H. pylori, as was immunohistochemistry using antibodies to H. pylori. The serum IgG antibody level to H. pylori was 0.41 U/ml (levels of 0.00–0.89 U/ml compatible with no infection). Serum tissue transglutaminase IgA antibody levels were 7.1 U/ml (&lt;20 U/ml negative for celiac disease), with a normal serum IgA level and no monoclonal gammopathy. An abdominal PET scan revealed small, minimally fludeoxyglucose-avid, mesenteric and periaortic lymph nodes. The patient agreed to undergo treatment for duodenal MALToma in the future.</t>
  </si>
  <si>
    <t>A 51-year-old-male with history of deceased donor renal transplant, who 2 weeks prior to presentation was treated for acute cellular and humoral rejection, presented with fever, polyarthralgia, and swelling. His past renal history included end-stage renal disease from unclear etiology, a living-related renal transplant that he rejected within a week, a deceased donor renal transplant a year later, and hypertension. His other medical issues included hyperlipidemia, gout, and hypothyroidism. His treatment two weeks prior for his cellular and humoral rejection consisted of Methylprednisone 500 mg intravenous (IV) × 3 doses, plasmapheresis × 4 treatments, intravenous immunoglobulin (IVIG) 1 gram per kilogram per day × 2 doses, Rituximab 375 mg/m2 × 1 dose, and Thymoglobulin 1.5 mg/kg × 5 doses.
On presentation, he reported arthralgias which started in the right knee and were subsequently followed by arthralgias in the left shoulder and left wrist. He had a fever of 101.1°F (38.4°C), his left wrist was swollen on exam, and his right knee was tender with an effusion. The rest of the vitals and physical exam were unremarkable. Laboratory studies showed white cell count (WBC) of 7.9 × 10 E3, hemoglobin 9.7 g/dl, hematocrit 29%, platelets 157 × 10 E3, sodium 136 meq/l, potassium 4.2 meq/l, chloride 105 meq/l, carbon dioxide 21 meq/l, blood urea nitrogen (BUN) 41 mg/dl, serum creatinine (Scr) 1.8 mg/dl (baseline 1.7 mg/dl), total protein 6.7 g/dl, albumin 2.2 g/dl, AST 27 Unit/L, ALT 71 Unit/L, creatinine kinase 119 Unit/L, and uric acid 5 mg/dl. His wrist X-rays did not show any abnormalities, whereas his knee X-rays indicated a mild joint effusion of the right knee. Joint aspiration of the right knee showed total nucleated cells of 830 with neutrophils 62%, lymphocytes 0%, monocytes 38%, and no crystals were seen by polarized microscopy.
Given his hemodynamic stability, he was not started on empiric antibiotics; however, extensive workup was sent to rule out bacterial and viral infections. All of the evaluated viral serologies were negative and included Epstein-Barr-Virus (EBV), Cytomegalovirus (CMV), BK Virus (BKV), and Parvovirus B19 (). Rheumatologic workup showed low complement C3 and C4, and elevated erythrocyte sedimentation rate (ESR), C-reactive protein (CRP), haptoglobin, and lactate dehydrogenase (LDH) ().
In light of his recent treatment with Thymoglobulin and Rituximab, presenting symptoms, and negative infectious workup (), a presumptive diagnosis of serum sickness was made. His serum sickness was thought most likely secondary to Thymoglobulin but Rituximab was also high on differential, as delineated further in this paper. Heterologous antibodies were noted to be positive against rabbit IgG and IgM, low positive against horse IgG, and negative for mouse IgG (). Therapeutic plasma exchange (TPE) and corticosteroids are treatment options for Thymoglobulin-associated serum sickness; however, serum sickness from Rituximab has only been shown to be treated with corticosteroids. Given uncertain cause of his serum sickness, we started our patient on high dose Methylprednisone 500 milligrams IV per day for three days. He had complete resolution of polyarthralgia and swelling after the third dose of Methylprednisone.
During his hospitalization and treatment for his serum sickness, he developed acute kidney injury (AKI). A day after his third dose of Methylprednisone, his Scr peaked at 2.8 mg/dl from an initial baseline of 1.7 mg /dl (). His urinalysis was negative for infection, and urine microscopy showed granular and muddy brown casts consistent with acute tubular necrosis (ATN). Thus, his dose of furosemide was decreased to 20 milligrams from 40 milligram by mouth twice a day, and he was encouraged to drink more fluids. His renal function began improving on day no. 2 after-treatment with Methylprednisone, and Scr retuned back to his baseline of 1.7 mg/dl on day no. 6 after-treatment with Methylprednisone.</t>
  </si>
  <si>
    <t>A 38-year-old man presented with nausea, vomiting and loose stools of 2 days duration. Patient gave history of consumption of a tuber taken from the nearby forest with the intent of deliberate self-harm. Patient has consumed the tuber 6 days prior to the presentation. It was followed by nausea, vomiting, loose stools and haematochezia on 4th day. He also complained haematuria and bleeding from gums and rectum on 5th day. On 6th day he observed scalp hair fall, and easy pluckability of beard, moustache and body hair. He also complained oliguria on day 6. Patient's wife has brought the tuber. It was identified as G. superba. Patient revealed that he had consumed 250 g of the tuber along with water.
Patient had no history of any illness. He was apprehensive, with pulse rate of 120 bpm, blood pressure 70/40 mmHg, febrile, with congestion of conjunctivae. The pillow and bed were full of his hair. Patient himself demonstrated easy pluckability of hair. His investigations were, haemoglobin 6.0 g/dl, total leucocyte count 14,000/mm3, differential count: polymorphs: 60, lymphocytes 30, monocytes 5, eosinophils 5%, erythrocyte sedimentation rate 40 mm after first hour, platelet counts 0.24 lakhs/mm3, peripheral smear showed no abnormal cells and no features of haemolysis, there was thrombocytopenia, random blood glucose 120 mg/dl, serum creatinine 5.4 mg/dl, blood urea 188 mg/dl, serum sodium 127 mEq/L, serum potassium 3.9 mEq/L, serum chloride 88 mEq/L, serum bicarbonate 12.0 mmol/L, serum bilirubin 1.0 mg/dl, serum glutamic oxaloacetic transaminase 45 U/L, serum glutamic pyruvic transaminase: 65 U/L, serum alkaline phosphatase 125 U/L, serum proteins 6.9 g/dl, serum albumin 4.3 g/dl, serum creatinine kinase 65 IU/L (reference range: 40–200 IU/L), fractional excretion of sodium &lt;1%, urine microscopy showed plenty of red blood cells and urine myoglobin was negative. Ultrasound abdomen revealed normal sized kidneys. Electrocardiogram showed T inversion in V4, V5, and V6. Chest radiograph was normal.
He was initiated on intravenous fluids, sodium bicarbonate supplementation and ionopressors. He was transfused with two units of whole blood. Blood pressure improved after 24 h. The bleeding manifestations subsided over next 72 h. Serum creatinine fell over next 6 days. Hair loss continued for next 10 days. He lost entire scalp hair. Patient regained scalp hair after 4 months.</t>
  </si>
  <si>
    <t>A 45-year-old gentleman with a three-year history of metastatic (bone, liver, and lymph nodes) prostate cancer and hypertension presented to the hospital with worsening leg swelling and hematuria. He had been treated with androgen deprivation therapy in the past, along with three doses of zoledronic acid for bone metastases. The bone pain was not controlled with the above regimen and it was decided to switch him to Denosumab. He received the dose approximately 13 days prior to hospitalization. Vitals at admission were significant for a blood pressure (BP) of 160/90 mmHg. Pertinent findings on physical examination were the presence of bilateral lower extremity edema and negative Chvostek and Trousseau's signs. The electrocardiogram showed a prolonged QT interval. Laboratory studies on admission revealed sodium of 135 mEq/L, potassium of 4.9 mEq/L, chloride of 105 mEq/L, bicarbonate of 23 mEq/L, blood urea nitrogen (BUN) of 22 mg/dL, creatinine of 1.34 mg/dL, glucose of 133 mg/dL, and calcium of 4.5 mg/dL, with albumin being 2.5 g/dL at admission. Phosphorus level was 6.1 mg/dL. The ionized calcium level at admission was 0.58 mmol/L. Laboratory studies done 13 days prior, when the drug was given, showed serum calcium of 8.4 mg/dL with an albumin of 2.9 g/dL. His vitamin D levels had not been checked prior to the administration of Denosumab. After admission to the hospital, his vitamin D 25-OH level was low at 12.1 ng/mL and vitamin D 1,25 dihydroxy level was high at 95.4 pg/mL. His initial PTH level was high at 440.7 pg/mL.
He was started on 50,000 IU of ergocalciferol every 7 days, 2 mcg of calcitriol twice daily, and high doses of IV and oral calcium supplementation. Over the next 16 days, the patient received high doses of calcium carbonate; he was first started on 5 gm twice daily of calcium carbonate and 1337 mg of calcium acetate. Since the ionized calcium levels were consistently below 0.60 mmol/L, he was slowly increased to 10 gm twice daily of calcium carbonate and 3335 mg of calcium acetate thrice daily with meals. During the hospitalization, he received a total of 80 gm of IV calcium gluconate and 370 gm of oral calcium, but the highest ionized calcium level that could be achieved was 0.71 mmol/L. Figures and show the calcium and ionized calcium levels during the hospital while receiving oral and IV calcium supplementation.
He continued to have worsening lower-extremity edema, for which he was started on treatment with hydrochlorothiazide (HCTZ) to help with diuresis as well as with the hypocalcemia. His renal function kept worsening during his hospital stay and his creatinine reached 4.12 mg/dL. During workup for his renal failure, he was found to have hydronephrosis due to the spreading tumor. The options available were either placement of percutaneous nephrostomy tubes by interventional radiology to relieve the hydronephrosis and continued attempts at correction of his electrolytes via medical management or placement of a tunneled dialysis catheter and starting hemodialysis. After a discussion of the risks and benefits of each procedure and the overall prognosis of his condition, the patient opted for hemodialysis. Hemodialysis was initiated on the sixteenth day of hospitalization. He was dialysed daily for the next nine days with a high calcium bath along with two- to three-liter ultrafiltration daily to help get fluid off. His edema improved significantly, his serum calcium levels came above 8 mg/dL, and his ionized calcium stayed above 1 mmol/L without any IV supplementation; however, the oral supplementation with calcium acetate and 10 gm of calcium carbonate twice daily was continued. Due to the poor prognosis of the underlying disease, it was decided to send him home on hospice after arrangement of outpatient hemodialysis to prevent further hypocalcemia and maintain euvolemia. He died approximately three weeks later.</t>
  </si>
  <si>
    <t>A 73-year-old female presented initially to our emergency department complaining of cough for three weeks duration. She reported productive cough of white-colour sputum, right-sided pleuritic chest pain, exertional shortness of breath and acute limitation of functional capacity to less than two blocks. There was no history of haemoptysis, fever, night sweats, chills, recent infections or hospitalization. She had loss of appetite and unintentional weight loss of ten pounds over a period of 5 months. Past medical history was non-contributory. She was a lifetime nonsmoker with no history of alcohol or illicit drug abuse. She was afebrile, normotensive and maintaining optimal oxygen saturation on room air. The rest of the physical examination was unremarkable. Laboratory testing showed white blood cell count of 5.1 × 103/µL, haemoglobin 10.8 g/dl, haematocrit 32.4% and platelet count 276 × 103/µL. Comprehensive metabolic panel revealed serum sodium 141 mmol/L, potassium 4.4 mmol/L, chloride 103 mmol/L, bicarbonate 31 mmol/L, BUN 12 mg/dl, creatinine 0.6 mg/dl, calcium 9.3 mg/dl, bilirubin total 0.5 mg/dl, AST 15 mg/dl, ALT 6 mg/dl, ALP 78 mg/dl, total protein 7 g/dl of which albumin was 3.5 g/dl. Serum Β2-microglobulin was 3.3 mg/L. Thyroid function tests and iron studies were within normal limits. Chest x-ray () revealed right lower lobe consolidation and pleural effusion. In comparison, an old chest x-ray performed 3 years ago showed no active lung disease (). Computerized tomography of the chest without IV contrast () on second day of hospital stay revealed moderate right-sided pleural effusion and right lower lobe consolidation. Treatment with levofloxacin was started. She was clinically stable and was discharged with a plan to continue antibiotic for total duration of 7 days. She was scheduled for follow up with chest clinic in 2 weeks. The patient came back after 2 months for follow up at chest clinic. She reported unchanged cough and worsening shortness of breath. Since her symptoms were worsening, she was admitted to the hospital for further evaluation. On the second hospital admission vital signs were stable, chest CT scan () revealed no significant change in complete consolidation of right lower lobe as compared to previous chest CT scan there was a moderate right-sided pleural effusion and new right upper lobe infiltrate. Abdomen and pelvis CT scan revealed homogeneous attenuation of the liver. Size and contour were maintained with no focal lesions, the pancreas was intact without ductal dilatation, the spleen was normal in size, the adrenal glands were intact, no enlarged lymph nodes were found, no ascites was present and no worrisome osseous lesions were demonstrated. PET/CT scan revealed 2.5 cm infiltrate in right upper lobe and another larger lesion in right lower lobe, both with significant uptake. Moderate right pleural effusion. Bronchoscopy showed polypoid nodularities surrounded by black discoloured mucosa in the sub-segmental bronchi of the right lower lobe, transbronchial biopsy specimen revealed minute fragments of respiratory epithelium with atypical B cell-rich lymphocytes with no evidence of amyloid deposition. Polymerase chain reaction confirmed a clonal B cell gene rearrangement, findings suggestive of low-grade B cell lymphoma. Pleural fluid was sampled and analysis revealed straw-coloured fluid, pH 7.3, white blood cell count of 6400 cells, red cell count of 3750, fluid albumin of 2.2 g/dl (serum albumin 3.0 g/dl), fluid lactate dehydrogenase 52 IU/L (serum lactate dehydrogenase 199 IU/l). Pleural fluid cytology () with immunophenotypic flow cytometry revealed plasmacytoid lymphocytes. Serum immunofixation and free light-chain analysis unveiled large quantity of monoclonal paraproteins which was classified as IgM Kappa immunoglobulin. Concentration of IgM was 1491 mg/dl (range 26–217 mg/dl) while IgG and IgA levels were normal. Urine contained free kappa light chains. The clinical picture, serum IgM paraprotein, bronchoscopy specimen findings and pleural fluid analysis led to the diagnosis of Extramedullary Waldenström’s Macroglobulinemia. Patient was started on cyclophosphamide, prednisone and rituximab. Plan was to follow up with IgM level monthly and Chest CT scan after four months.</t>
  </si>
  <si>
    <t>A 61-year-old man presented to the ED after having black stools for 24 hours. This episode was preceded by the spontaneous onset of abdominal cramps, followed by dyspnea, fatigue, and light-headedness. His prior medical history included multiple hospital admissions for upper GI bleeding. There was no history of smoking, alcohol intake, or illicit drug use. On initial examination, he appeared lethargic, with a blood pressure of 101/55 mmHg, a pulse of 83 beats/minute, a respiratory rate of 16 breaths/minute, and oxygen saturation of 100% while breathing room air. He had conjunctival pallor. Cardiovascular examination revealed a systolic ejection murmur with late systolic peaking and soft second heart sounds. Laboratory tests showed a blood glucose concentration of 101 mg/dL, a white blood cell count of 4.6 x 109/L, a hemoglobin concentration of 8 g/dL, and a platelet count of 207 x 109/L. Other laboratory tests showed sodium 138 mEq/L, potassium 3.9 mmol/L, chloride 105 mmol/L, carbon dioxide 22 mEq/L, blood urea nitrogen 21 mg/dL, and creatinine 0.9 mg/dL. He was deficient in high molecular weight multimers of von Willebrand factor (vWF). Abdominal CT and upper GI endoscopy yielded negative results. A previous capsule examination of the small bowel had been negative. Two-dimensional transthoracic echocardiogram revealed a severely sclerotic aortic valve with area of 0.65 cm2 and left ventricular ejection fraction 65% (Figure ).
The patient was treated with intravenous administration of the proton pump inhibitor octreotide as well as two units of packed red blood cells. Because of his history of chronic GI bleeding, anemia, and AS, he was diagnosed with Heyde syndrome, a diagnosis supported by the deficiency in high molecular weight multimers of vWF.
The patient underwent a minimally invasive aortic valve replacement, with the insertion of a 27-mm tissue valve. At the present writing, three years after the procedure, the patient has been asymptomatic with no further episodes of bleeding.</t>
  </si>
  <si>
    <t>While playing cricket, a 26-year-old Indian Asian male without any significant past medical history experienced a two-week history of intermittent, retrosternal stabbing chest pain that radiated to his left arm and shoulder. The pain was pleuritic, positional, and associated with diaphoresis and nausea. The patient was diagnosed with costochondritis by his primary care physician. Seven days prior to admission, the patient had an upper respiratory tract infection with fever and chills. He denied smoking, drinking alcohol, or to using drugs; however, he reported that he had been drinking protein shakes for 3 years for muscle building. Upon physical exam, the patient was afebrile with a BP of 118/86 mmHg, PR of 111/min, and RR of 22/min. The remainder of the physical exam was completely unremarkable. Laboratory data showed Hb 15.6 g/dL, Hct 44.6, WBC 19.9 K/μL, platelet count 675 K/μL, glucose 157 mg/dL, BUN 21 mg/dL, Cr 1.2 mg/dL, Ca 9.7 mg/dL, albumin 4.7 g/dL, total protein 7.8 g/dL, sodium 137 mmol/L, potassium 3.3 mmol/L, chloride 98 mmol/L, and bicarbonate 20 mmol/L. Urine drug screen was negative. ECG showed ST elevation in the anterolateral leads (). After consulting cardiology, the patient was taken to the cardiac catheterization lab for rescue angioplasty. A 95% mid-spiral right coronary artery dissection with total left anterior descending spontaneous dissection was demonstrated (Figures and ). Both the dissections were classified as type 1. The remaining vessels were normal. Left ventricular ejection fraction was measured at 15–20%. Percutaneous coronary intervention (PCI) to LAD and mid-RCA was performed. Vasculitis work-up was subsequently negative.</t>
  </si>
  <si>
    <t>A 76-year-old white man presented to our emergency department (ED) with recent onset of unsteady gait, poor oral intake, dysarthria, and dizziness for 1 week prior to presentation. His wife called an ambulance and had him brought to our ED as she noticed he was short of breath for the prior 12 hours. He did not have any symptoms suggestive of a recent upper respiratory tract infection or gastroenteritis. He denied exposure to sick contacts, recent immunizations, or consumption of canned foods or beverages. He did have a past medical history significant for esophageal stricture (diagnosed 2 years before) for which he had been undergoing routine endoscopic balloon dilation (last attempt was 3 months before). He lived in a rural upstate New York county and had retired as a meat-cutter 15 years before. His only medications at the time were ferrous sulfate (324 mg daily), pantoprazole (40 mg twice daily), and a multivitamin. He did not have a history of tobacco smoking. He consumed approximately two standard drinks in a week. He had no known allergies. While in our ED, his vital signs were: temperature, 37 ºC (98.6 ºF); heart rate, 100–110 beats per minute; blood pressure, 141/82 mmHg; and oxygen saturation 82% on room air and requiring 100% fraction of inspired oxygen (FiO2) via facemask to maintain saturations above 96%. On physical examination, he was in marked respiratory distress but not toxic-appearing. He was awake but drowsy, oriented only to self. His pupils were equal and symmetrical with appropriate response to light. His extra-ocular movements were intact. There was no facial droop; there was no deviation of tongue or uvula. His gag reflex was impaired. He could move all four extremities spontaneously and on command. However, motor strength appeared to be symmetrically and mildly diminished in all extremities and accompanied by decreased tone. Diminished knee and ankle reflexes were noted bilaterally. He had a diminished flexor plantar response bilaterally. Sensation was grossly intact in his face, trunk, and extremities. Coordination was impaired in upper and lower extremities with dysmetria and dysdiadochokinesia. Gait was not assessed. He had no visible involuntary movements. His neck was supple without signs of meningismus. A cardiovascular examination was unremarkable, with normal heart sounds and equal symmetrical pulses in bilateral extremities. His abdominal, musculoskeletal, and skin examinations were unremarkable. Although he was hemodynamically stable, he became lethargic with stridor and progressive hypoxia. Given concern for airway protection, he was emergently intubated with a 7.5 mm endotracheal tube on first attempt and placed on mechanical ventilatory support. For intubation, he was administered 1.5 mg/kg of succinylcholine and 0.3 mg/kg of etomidate intravenously. Maintenance fluids (normal saline at 125 cc/hour) and empiric intravenous administration of ceftriaxone at a dose of 2 g every 24 hours (to cover for possible aspiration pneumonia) was initiated. He was transferred to our intensive care unit for further management. A nasopharyngolaryngoscopy revealed bilateral true vocal cord paralysis. After stabilization on a ventilator, he underwent a tracheostomy on day 3 of admission and was transitioned successfully to a tracheostomy collar. Following extubation, he had consistent and gradual recovery of mental status. This was not, however, accompanied by any progressive improvement in motor function. He continued to have vocal cord immobility and flaccid weakness of his extremities.
On presentation, laboratory testing revealed a white blood cell (WBC) count, 13,800 cells/μL; hemoglobin, 14.7 g/dl; platelet count, 235,000 cells/μL; sodium, of 143 mmol/L; potassium, 4.2 mmol/L; chloride, 105 mmol/L; glucose, 176 mg/dL; bicarbonate, 27 mmol/L; creatinine, 0.53 mg/dL; blood urea nitrogen (BUN), 15 mg/dL; and calcium, 8.0 mg/dL. A hepatic function panel revealed a total protein level, 5.2 g/dL; serum albumin, 3.5 g/dL; total bilirubin, 0.5 mg/dl; aspartate aminotransferase (AST), 18 U/L; alanine aminotransferase (ALT), 21 U/L; international normalized ratio (INR), 1.08; creatine kinase, 127 U/L; and troponin I less than 0.015 ng/mL. Urine analysis demonstrated cloudy urine with specific gravity 1.018, pH 4.8, with 116 red blood cells (RBCs) and 4 white blood cells (WBCs), negative leukocyte esterase and nitrite. An electrocardiogram and chest X-ray were unremarkable. A urine drug screen and serum alcohol levels were negative. Serum thyroid-stimulating hormone (TSH) and cortisol levels were within normal limits. Thiamine, vitamin B6, and B12 levels were normal. Serological tests were negative for Lyme disease, human immunodeficiency virus (HIV), syphilis, hepatitis B, and hepatitis C. Blood and urine cultures obtained at presentation showed no growth. Non-contrast computed tomography (CT) of his head and magnetic resonance imaging (MRI) of his brain were normal except for mild ventriculomegaly (Fig. ). CT angiography of his head and neck revealed patent intracranial vasculature. A repetitive nerve stimulation electromyographic (EMG) study demonstrated patchy, moderate to severe, peripheral motor nerve denervation consistent with AIDP. A lumbar puncture was performed and analysis of the obtained cerebrospinal fluid (CSF) showed albuminocytologic dissociation with less than 3 nucleated cells per mL of fluid, elevated CSF protein of 62 mg/dl, and normal glucose levels (88 mg/dl). CSF cultures did not demonstrate any growth. Anti-GQ1B antibody and anti-acetylcholine receptor (AChR) antibody levels were negative.
A subacute presentation with ataxia, stridor with respiratory distress, and areflexia with weakness of bilateral upper and lower extremity offers a challenging differential (Table ).
It is prudent to first rule out an acute vascular cause such as stroke, especially involving the cerebellum and brainstem; for example, for example, an absence of any lateralizing neurological signs and disturbed consciousness would rule out stroke, especially one with brainstem involvement. Next, metabolic abnormalities due to alcoholism, vitamin deficiencies, or electrolyte deficiencies would be evident on a metabolic panel and on serum vitamin and ethyl alcohol levels. An absence of a suggestive history of exposure to Clostridium botulinum, such as consumption of canned or tinned foods, cosmetic use of botulinum toxin injection, or intravenous drug use, significantly lowers the possibility of botulism. An absence of fever and meningeal signs, and analysis of CSF obtained on lumbar puncture, can rule out meningitis and encephalitis. Spinal cord trauma and spinal shock in the initial stages would result in flaccid paralysis of extremities aside from obvious signs of trauma. Also, concomitant bulbar paralysis is highly unlikely. Overlapping autoimmune demyelinating syndromes such as Guillain–Barré syndrome (GBS) and Bickerstaff’s brainstem encephalitis (BBE) must be considered. GBS is more likely to have a characteristic pattern of ascending paralysis. BBE is considered to lie on the same spectrum as MFS as it may present with ataxia and ophthalmoplegia and can have positive anti-GQ1b antibodies. However, BBE is characterized more by hyperreflexia and somnolence. New-onset MG can be suspected but, in our patient, motor involvement was patchy, the anti-AChR antibody test result was negative, and EMG was not suggestive of MG.
Based on the above, a diagnosis of MFS involving the bulbar muscles was made and our patient was started on a 5-day course of intravenous immunoglobulin at a daily dose of 0.4 mg/kg body weight per day. Following completion of this course, he showed clinical improvement in phonation, overall muscle strength, as well as tone. Although he initially did require overnight ventilatory support through his tracheostomy, the need for this gradually diminished and he was weaned off the ventilator altogether.
Subsequent follow-up laryngoscopies after 1, 2, and 4 weeks showed improvement in vocal cord abduction. His overall respiratory status also improved with decreasing oxygen requirement and decreased need for tracheostomy suctioning. He continued to have moderate pharyngeal dysphagia and required placement of a jejunostomy tube for feeding. His hospitalization was also complicated with development of aspiration pneumonia. He was eventually discharged to a skilled nursing facility on a tracheostomy collar and jejunostomy tube after a total of 6 weeks of hospitalization and subsequently discharged home after making suitable progress in physical rehabilitation. He continued to follow-up with the physical medicine and rehabilitation (PMR) out-patient clinic and remained tracheostomy-dependent at 6 months following hospitalization. He was able to ambulate with a walker at that time.</t>
  </si>
  <si>
    <t>A 25-year-old man presents to his primary care physician with complaints of coughing up blood in his sputum and dark-colored urine for 1 week. There are streaks of blood intermixed with phlegm. He also expresses concerns about his urine being grossly dark brown. He denies any history of major bleeding from minor injuries. He is currently not taking any medications. His family history is negative for bleeding disorders. The vital signs include blood pressure 160/100 mm Hg, pulse 88/min, temperature 36.8°C (98.2°F), and respiratory rate 11/min. On physical examination, there are no significant clinical findings. The urinalysis results are as follows:
pH 6.7
Color dark brown
Red blood cell (RBC) count 12–14/HPF
White blood cell (WBC) count 3–4/HPF
Protein absent
Cast RBC and granular casts
Glucose absent
Crystal none
Ketone absent
Nitrite absent 
24 hours of urine protein excretion 1 g
    His renal function test showed:
Sodium 136 mEq/L
Potassium 5.1 mEq/L
Chloride 101 mEq/L
Bicarbonate 22 mEq/L
Albumin 3.5 mg/ dL
Urea nitrogen 28 mg/dL
Creatinine 2.5 mg/dL
Uric Acid 6.8 mg/ dL
Calcium 8.7 mg/ dL
Glucose 111 mg/dL
HPF: high-power field
A kidney biopsy is obtained and the immunofluorescence shows linear immunoglobulin G (IgG) deposition in the glomeruli.</t>
  </si>
  <si>
    <r>
      <rPr>
        <sz val="10"/>
        <color theme="1"/>
        <rFont val="Arial"/>
        <family val="2"/>
      </rPr>
      <t xml:space="preserve">Technically, as reported in the vignette the delta ratio would calculate to 5.5.  However, the "Albumin 3.5 </t>
    </r>
    <r>
      <rPr>
        <b/>
        <sz val="10"/>
        <color theme="1"/>
        <rFont val="Arial"/>
        <family val="2"/>
      </rPr>
      <t>mg</t>
    </r>
    <r>
      <rPr>
        <sz val="10"/>
        <color theme="1"/>
        <rFont val="Arial"/>
        <family val="2"/>
      </rPr>
      <t xml:space="preserve">/dL" is almost certainly a typo that should read "Albumin 3.5 </t>
    </r>
    <r>
      <rPr>
        <b/>
        <sz val="10"/>
        <color theme="1"/>
        <rFont val="Arial"/>
        <family val="2"/>
      </rPr>
      <t>g</t>
    </r>
    <r>
      <rPr>
        <sz val="10"/>
        <color theme="1"/>
        <rFont val="Arial"/>
        <family val="2"/>
      </rPr>
      <t>/dL" in which case the actual answer is 1.1</t>
    </r>
  </si>
  <si>
    <t>PSI Score: Pneumonia Severity Index for CAP</t>
  </si>
  <si>
    <t>What is the patient's Pneumonia Severity Index (PSI)?</t>
  </si>
  <si>
    <t>A 25-year-old male patient presents at the clinic for a routine physical examination. The patient describes a recent episode of fever and altered mental state. He denies any past history of heart disease, renal disease, cerebrovascular disease, liver disease, or cancer. The patient is currently unemployed and lives alone. Upon physical examination, the patient has a measured body temperature of 34 degrees celsisus, a heart rate of 101 beats per minute, and a respiratory rate of 32 breaths per minute. His blood pressure measures at 123/85 mm Hg. Laboratory findings show a hematocrit level of 35, a blood glucose level of 15 mmol/L, and a BUN of 33.21 mg/dL. His sodium level is moderately low at 123 mmol/L. Arterial blood gas results show a PaO2 of 67 mm Hg and a slightly acidotic pH of 7.17. The patient's chest X-ray shows no signs of pleural effusion.</t>
  </si>
  <si>
    <t>A 64-year-old male patient presents to the emergency department with complaints of fever, disorientation, and rapid breathing. His history includes renal disease and liver disease, but has no documented history of heart failure or cerebrovascular disease. The patient is not currently residing in a nursing home and has no history of neoplastic disease. On examination, his vital signs are as follows: Heart rate of 94 beats per minute, respiratory rate of 34 breaths per minute, blood pressure 94/70 mm Hg, and a temperature of 38 degrees celsisus. The patient's altered mental status is consistent with potential encephalopathy. Laboratory workup shows a hematocrit of 37 and a glucose level of 251.12 mg/dL, indicative of hyperglycemia. The blood urea nitrogen levels are relatively high at 26.75 mg/dL, with a sodium level of 128.43 mmol/L. Arterial blood gas results indicate a PaO2 level of 75 mm Hg and an alkalotic pH level of 7.60. A chest X-ray reveals the presence of a pleural effusion.</t>
  </si>
  <si>
    <t>A 77-year-old female patient with a past medical history significant for chronic kidney disease and previous cerebrovascular accident, with otherwise no history of liver disease, neoplastic disease, or congestive heart failure visits the outpatient clinic today for increased fatigue and confusion over the past week. She is not a nursing home resident and has no change in her mental status at present. Physical exam notes a temperature of 42 degrees celsisus, a heart rate of 130 beats per minute, a respiratory rate of 34 breaths per minute, and a blood pressure reading of 87/70 mm Hg. Lab studies reveal a hematocrit of 37, a sodium level of 117 mmol/L and an elevated random blood glucose of 250.21 mg/dL. Her blood urea nitrogen (BUN) level is significantly high at 36.75 mg/dL. An arterial blood gas analysis shows a PaO2 of 87 mm Hg and a normal pH at 7.39. A chest X-ray shows no signs of any pleural effusion.</t>
  </si>
  <si>
    <t>A 78-year-old male who lives independently, presents to the emergency department with an altered mental status. His past medical history includes renal disease and he is currently under treatment for neoplasia. He doesn’t have a history of any liver disease. On examination, the patient is found with a temperature of 99.5 degrees Fahrenheit, heart rate of 95 beats per minute, respiratory rate of 24 breaths per minute, and blood pressure of 115/75 mm Hg. Laboratory tests report a hematocrit of 33%, a glucose level of 7.2 mmol/L, and a blood urea nitrogen level of 30 mg/dl. His sodium level is within the normal range at 140 mEq/L. Arterial Blood Gas shows a pH of 7.35 and PaO2 of 70 mm Hg. The chest X-ray does not denote any pleural effusion. His cardiovascular history could not be ascertained during medical inquiries.</t>
  </si>
  <si>
    <t>A 68-year-old female who resides in a nursing home is admitted with intermittent fever and known liver disease. Her past medical history is not significant for cerebrovascular disease or congestive heart failure. On admission, her vitals are recorded: body temperature is 38.2 degrees celsisus, heart rate is 110 beats per minute, respiratory rate is 16 breaths per minute, and blood pressure is 135/90 mm Hg. She shows no signs of altered mental status. Laboratory investigations reveal a hematocrit of 41 % and slightly elevated glucose level at 165 mg/dL. Her Blood Urea Nitrogen (BUN) is within normal range at 15 mg/dL and sodium at slightly low at 132 mEq/L. An arterial blood gas drawn from her shows a pH of 7.48 and a PaO2 of 92 mm Hg. Her chest X-ray reveals the presence of pleural effusion. The patient does not have any history of renal conditions or neoplastic diseases.</t>
  </si>
  <si>
    <t>A 75-year-old woman presents to the clinic for a routine checkup. She has a history of a prior stroke. The patient reports no known incidents of congestive heart failure and no existing kidney ailments. A physical examination reveals a standard body temperature of 36.6 degrees celsisus, a heart rate of 105 beats per minute, a respiratory rate of 22 breaths per minute, and a blood pressure reading of 120/85 mm Hg. Laboratory investigations identify a hematocrit of 42 %, a sodium level of 137 mEq/L, a glucose level of 95 mg/dL, and a Blood Urea Nitrogen (BUN) of 24 mg/dL. Arterial Blood Gas results show a pH of 7.40 and a PaO2 of 80 mm Hg. A chest X-ray shows the presence of pleural effusion.</t>
  </si>
  <si>
    <t>A 67-year-old male residing in a nursing home is brought to the ER due to recent episodes of confusion. His past medical history is significant for chronic renal disease and liver illness. The patient doesn't have any known history of congestive heart failure. His vitals on admission show a blood pressure of 130/90 mm Hg, a heart rate of 100 beats per minute, respiratory rate at a steady 24 breaths per minute, and a body temperature holding at a normal 98.6 degrees Fahrenheit. Laboratory findings indicate a hematocrit level of 37 %, sodium concentration at 134 mEq/L, blood urea nitrogen level elevated at 28 mg/dL, and a glucose level at 150 mg/dL. An arterial blood gas shows a slightly decreased pH of 7.32 and a PaO2 of 88 mm Hg. Chest X-ray findings are notable for the absence of pleural effusion.</t>
  </si>
  <si>
    <t>A 70-year-old female presents to the outpatient department for a follow-up consultation after her recent discharge from the hospital due to congestion heart failure. The patient's medical history shed light on a previous cerebrovascular accident, but no evidence of neoplastic disease or liver disease. Her vital signs are stable, indicating a body temperature of 36.8 degrees celsisus, heart rhythm showing 80 beats per minute, breathing rate counted at 19 breaths per minute, and a blood pressure reading of 140/85 mm Hg. Laboratory results illustrate a hematocrit of 44 %, a glucose level of 4.8 mmol/L, and blood urea nitrogen of 26 mg/dL. Sodium levels are normal at 135 mEq/L. An arterial blood gas analysis shows pH at 7.36 and a PaO2 of 77 mm Hg. Chest X-ray indicates the presence of a pleural effusion.</t>
  </si>
  <si>
    <t>A 76-year-old male resident of a nursing home is noted to have increased fatigue and change of appetite. He has a history of renal disease, is undergoing treatment for neoplastic disease, but exhibits no signs of cognitive impairment. His medical record doesn't highlight any history of heart disease or stroke. Temperature readings show a stable 98.4 degrees Fahrenheit. His heart rate is at 92 beats per minute, respiratory rate is 21 breaths per minute, and his blood pressure is found to be 150/90 mm Hg. Laboratory tests reveal a hematocrit level of 36 %, a glucose level of 120 mg/dL, and a blood urea nitrogen level of 23 mg/dL. Sodium readings are robust coming in at 143 mEq/L. Arterial blood gas analysis presents with a pH value of 7.44, and a PaO2 of 68 mm Hg.</t>
  </si>
  <si>
    <t>A 68-year-old female resident of a nearby nursing home has been brought to the emergency department due to alterations in her mental status. She has no previous record of renal disease, congestive heart failure, or cancer. On physical examination, she is found to have a heart rate of 88 beats per minute, a respiratory pace of 22 breaths per minute, a blood pressure of 130/80 mm Hg, and temperature of 37.4 degrees celsisus. Lab results showed her hematocrit is at 40 %, glucose reading stands at 7.1 mmol/L, with a blood urea nitrogen (BUN) reaching 25 mg/dL. Her sodium level measures within the normal range at 142 mEq/L. The arterial blood gas detected a pH of 7.38 with a partial pressure of oxygen at 82 mm Hg. A chest X-ray revealed the presence of pleural effusion.</t>
  </si>
  <si>
    <t>An 80-year-old male presents to the clinic for his regular health check-up. His past history is significant for chronic kidney disease and a previous cerebrovascular accident. The patient also has a history of congestive heart failure but no known neoplastic conditions or liver illness. On examination, he is stable with a heart rate of 110 beats per minute, respiratory rate of 20 breaths per minute, a blood pressure of 120/80 mm Hg, and a temperature of 38.2 degrees celsisus. Lab studies show a hematocrit level of 41 %, Blood Urea Nitrogen value at 30 mg/dL, a glucose of 105 mg/dL, and sodium level at 139 mEq/L. An arterial blood gas analysis delivers a result of a pH at 7.46 and a PaO2 of 90 mm Hg. He currently lives at home with his son.</t>
  </si>
  <si>
    <t>A 74-year-old woman living independently visits the clinic reporting malaise and weakness. She has a known history of liver disease. She denies any past heart failure or prior strokes. At present, her mental status appears undisturbed. Today's exam measures her body temperature at 99.5 degrees Fahrenheit, and vitals recorded an elevated heart rate at 115 beats per minute, a respiratory rate of 18 breaths per minute, and slightly lower blood pressure at 110/75 mm Hg. Laboratory studies reveal a hematocrit of 37 %, blood urea nitrogen at 28 mg/dL, glucose at 6.4 mmol/L, and sodium at the upper normal limit at 136 mEq/L. Results from arterial blood gas reports a pH of 7.42 and a PaO2 at 84 mm Hg, suggesting good oxygen levels. A recent chest X-ray demonstrates presence of pleural effusion.</t>
  </si>
  <si>
    <t>A 79-year-old male who lives independently at home comes to the clinic accompanied by his daughter, who noticed her dad showing signs of confusion in recent days. His medical history includes renal disease and an active neoplastic condition, but no records of cerebrovascular disease, congestive heart failure or liver disease. On physical examination, he is A&amp;Ox2 (but not to year or situation), his body temperature registers at 37.0 degrees celsisus, his heart rate is measured at 95 beats per minute, the respiratory rate is regular at 24 breaths per minute, and his blood pressure is noted to be 115/70 mm Hg. Laboratory findings indicate a hematocrit level of 36 %, a slightly elevated blood urea nitrogen concentration of 35 mg/dL, and a glucose level of 8.0 mmol/L. Sodium level in his blood is found to be 141 mEq/L. Arterial blood gas results show a pH of 7.34 and a PaO2 of 75 mm Hg, which are within normal limits.</t>
  </si>
  <si>
    <t>A 75-year-old female residing in a nursing home is brought to the outpatient department by her nurse for a regular health check. Her medical records indicate a past history of congestive heart failure but no known liver disease or neoplastic conditions. Today's examination finds her mentally alert with a body temperature reading of 36.5 degrees celsisus, a pulse rate of 82 beats per minute, a respiratory rate of 22 breaths per minute, and blood pressure measuring at 128/80 mm Hg. Laboratory results are collected; hematocrit at 39 %, glucose elevated to 180 mg/dL, blood urea nitrogen (BUN) slightly high at 27 mg/dL, and sodium within normal limits at 139 mEq/L. An arterial blood gas analysis reports a pH of 7.40 and PaO2 at 80 mm Hg. Chest X-rays show indications of pleural effusion.</t>
  </si>
  <si>
    <t>A 77-year-old female patient, living in her own home, visits the primary care clinic for her regular check-up. Today, she appears alert and well-oriented. Her medical history is significant for prior breast cancer, but there is no record of liver, renal or cerebrovascular diseases, or congestive heart failure. Today's vital signs find her with a temperature at 98.6 degrees Fahrenheit, heart rate counted at 78 beats per minute, a breathing rate of 18 breaths per minute, and a blood pressure level of 135/85 mm Hg. The hematocrit is at 42 % and a blood glucose level of 6.9 mmol/L from lab results. Her blood urea nitrogen (BUN) value is 20 mg/dL and sodium is within the normal range at 140 mEq/L. An arterial blood gas analysis returns normal with a pH of 7.45 and a PaO2 of 78 mm Hg. The patient's most recent chest X-ray does not seem to be available at this visit.</t>
  </si>
  <si>
    <t>Chest X-ray results are not available. Of note, prior breast cancer should not count for neoplastic disease in this calculator assuming it is more than 6 or 12 months prior. Also PSI score should only be used for pneumonia diagnosis which is not present in her case.</t>
  </si>
  <si>
    <t>Glasgow Coma Score (GCS)</t>
  </si>
  <si>
    <t>What is the patient's Glasgow Coma Score?</t>
  </si>
  <si>
    <t>A 32-year-old female is found unconscious at home by her roommate and is brought to the emergency department. Her roommate reports that the patient has been feeling increasingly depressed over the past few weeks and had recently stopped taking her antidepressant medication. She has a history of depression and occasional migraines but no other significant medical history. Upon arrival, the patient's vital signs are stable: blood pressure is 120/75 mmHg, heart rate is 90 beats per minute, respiratory rate is 14 breaths per minute, and oxygen saturation is 98 % on room air. On a physical exam, she is seen unconscious on the stretcher with her eyes closed. She is not able to be aroused verbally but does momentarily open her eyes to sternal rub. She also adjusted her position to move her chest away from the examiner's hand. When asked if she knows where she is, she responds, 'I am in the Lego aisle of Target.' There are no signs of trauma or focal neurological deficits. Blood tests, including a toxicology screen, are pending. Her pupils are equal and reactive to light, and there are no signs of nystagmus.</t>
  </si>
  <si>
    <t>A 58 year old female is brought to the emergency department following a high speed head-on motor vehicle collision. Upon extrication from the vehicle, he was found conscious but confused by emergency responders. Vital signs are notable for  heart rate 100 bpm, blood pressure 150/90 mmHg, respiratory rate 22 breaths per minute, temperature 37.2°C (99.0°F), and O2 sat 95 % on room air. The patient appears anxious and disoriented. He intermittently opens his eyes in response to verbal commands but is unable to provide accurate information about the injury. He localizes painful stimuli. Cranial nerves are intact. Secondary assessment reveals tenderness and swelling over the right forearm and abdominal tenderness to palpation. Further evaluation with head CT, X-rays of the right forearm, and abdominal imaging are ordered.</t>
  </si>
  <si>
    <t>A 32 year old female is brought to the emergency department by ambulance after falling down a flight of stairs. She was found unconscious at the scene by her husband. On arrival, heart rate is 110 bpm, blood pressure is 140/90 mmHg, respiratory rate is 20, and O2 saturation is 90 % on room air. On evaluation in the trauma bay, the patient is lying on a stretcher with eyes closed. She is unresponsive to verbal stimuli but groans without intelligible speech. She opens her eyes and withdraws in response to painful stimuli in all extremities. No obvious deformities or signs of injury are noted on external evaluation. The patient is intubated and IV access is obtained. Head CT reveals subdural hematoma with midline shift. The patient is admitted to the intensive care unit and neurosurgery is consulted.</t>
  </si>
  <si>
    <t>A 50 year old man presents to the emergency department after a fall from a ladder with positive headstrike. He was found conscious but disoriented by bystanders. Vital signs are stable on arrival. On evaluation, he is awake, alert, and following simple commands. He is confused and tangential, but able to answer questions coherently. Cervical spine precautions were initiated upon arrival. Thorough neurological examination reveals intact cranial nerves and no focal deficits. A head CT shows no evidence of acute intracranial hemorrhage or traumatic brain injury.</t>
  </si>
  <si>
    <t>A 45-year-old female was brought to the emergency department by paramedics after a high-speed motor vehicle collision. On scene, she was found unrestrained in the vehicle, with the air bag deployed. Upon arrival in the trauma bay, she had heart rate of 72 bpm and blood pressure of 123/78 mmHg. Her eyes open upon painful stimulus. On examination, a pinch to the nail bed induces a withdrawal response in her extremities. Her speech is incomprehensible. She grunts and moans on occasion, but no discernible words are appreciated. Her pupils are equal, round, and unreactive to light. Blood work, including full blood count, urea and electrolytes, liver function tests, coagulation studies, and a toxicology screen, is initiated together with a CT scan of her head and neck. The trauma team commences resuscitative measures with an emphasis on preserving neurological function.</t>
  </si>
  <si>
    <t>A 70-year-old male presented with dizziness to the emergency department. His wife reports that he has been very compliant with his antihypertensive medication but over the last few days, he has been feeling progressively weak and off balance. It is revealed that he had a recent change in his medication regimen. On entering the room, he is sitting on the bed, alert, with eyes open and actively looking around. He immediately makes eye contact when acknowledged and is oriented to situation. He was able to recognize his treating physician and the emergency ward, spontaneously stating that he is in the hospital for dizziness. During neurological examination, he follows two step commands. His blood pressure is 90/60 mmHg with a heart rate of 58 bpm. Blood samples are taken for laboratory analysis, including a full blood count, renal function, electrolytes, and thyroid function tests. An EKG is ordered to rule out arrhythmias as the cause of his symptoms.</t>
  </si>
  <si>
    <t>A 56-year-old male construction worker was admitted to the emergency department after a minor fall from scaffolding. He was awake but appeared somewhat disoriented. Initial vital signs included a blood pressure of 128/85 mmHg, heart rate of 80 bpm, respirations at 18 breaths per minute, and oxygen saturation of 96 % on room air. He opens his eyes upon verbal request. His speech was disjointed and he appeared confused when asked about the day of the week, though he correctly identified his location as a hospital. Upon sternal rub, he was able to specifically locate the sensation and attempted to push the hand away. His wife denies any known allergies and states that he only takes occasional over-the-counter ibuprofen for joint pain. A STAT CT scan was ordered to assess for any potential traumatic brain injury. The remainder of his physical examination was unremarkable, and he was moved to observation for further evaluation.</t>
  </si>
  <si>
    <t>A 60-year-old male was found unconscious at home by his neighbor and brought to the emergency department by Emergency Medical Services. Vital signs on arrival were heart rate 65 bpm, blood pressure 100/70 mmHg, respiratory rate 14 per minute, and oxygen saturation 98 % on room air. Upon being assessed by the medical staff, there were no immediate signs of trauma or medical alert bracelets. When subjected to a sternal rub, his eyes slightly opened and his limbs were noted to hesitatingly reflex into an extension movement. However, despite repeated attempts, the patient remained nonverbal and not responsive to questions or requests. The initial clinical impression was a possible stroke or major neurological event. Blood tests were run, including coagulation profile, cardiac troponins, glucose, and complete blood count. An urgent CT scan was ordered and he was transferred to the Stroke Unit for further care.</t>
  </si>
  <si>
    <t>A 55-year-old man was brought in by ambulance after collapsing at his work. His colleagues report a sudden onset of headache followed by loss of consciousness. Upon arrival, the patient was found to be in full cardiac arrest, CPR was initiated immediately, and he was intubated on site by paramedics. In the emergency department, vital signs were: heart rate of 60 bpm under active CPR, non-measurable blood pressure, and respiratory rate controlled by the ventilatory assistance. Despite attempts to rouse him, there was no eye opening, and no purposeful movement of his limbs was elicited by tactile or painful stimulations. Verbal responsiveness could not be evaluated due to the patient’s intubation. An urgent CT scan was performed which revealed a massive intracranial hemorrhage. The patient was promptly evaluated by the neurosurgery team.</t>
  </si>
  <si>
    <t>A 32-year-old man was found lying on the ground in a local club by the staff, who promptly called for emergency medical services. In the emergency department, his initial vital signs included a heart rate of 130 bpm, blood pressure of 142/90 mmHg, and a respiratory rate of 22 breaths per minute. Pupillary evaluation was not possible due to a sustained, generalized tonic-clonic seizure that has been refractory to first-line antiseizure medications. His verbal output consisted of random, inappropriate words that had no relevance to the questions or the situation. Application of a painful stimulus led to abnormal flexion of his upper limbs. A STAT computed tomography (CT) scan of the head was ordered and neurology was immediately consulted for further management of his case. The seizure disorder was new per the information provided by an accompanying friend. Blood workup including complete blood count, liver and renal profile, serum electrolytes, and toxicology screening is initiated.</t>
  </si>
  <si>
    <t>A 68-year-old woman, with past medical history of hypertension and diabetes, arrived at the emergency department in a state of confusion. She complained of a sharp pain in her lower back, which started abruptly while she was gardening. Upon hearing the nurse ask her to open her eyes, she complied. However, her speech was disoriented and she was unable to provide coherent responses to questions related to time and place. She was able to follow simple commands. Her vital signs were stable with a blood pressure of 130/80 mmHg and a heart rate of 86 bpm. Measures were taken to manage her pain with analgesics and her back pain was investigated by the orthopedic team. Further neurological evaluation was also warranted considering her state of confusion and delirium.</t>
  </si>
  <si>
    <t>A 70-year old female was found unconscious by her caregiver. Upon EMS arrival, the patient had regained consciousness, but was unable to communicate clearly or coherently. She was immediately transported to the emergency department where she was found to be opening her eyes spontaneously. She did not produce intelligible responses but kept continuously groaning. When the medical team applied a painful stimulus, she localized her hand to the site of the pain. Her vital signs, upon arrival, were: heart rate 94 bpm, blood pressure 135/85 mmHg, respiratory rate 22 breaths per minute, temperature 37.6 degrees celsisus, and oxygen saturation of 96 % on room air. An immediate neurology consult was ordered given her presentation. A stat head CT and labs including CBC, BMP, coagulation studies, lactate level, troponin, and ABG were also ordered.</t>
  </si>
  <si>
    <t>A 50-year-old male patient was brought into the emergency department following a cycling accident. EMS report described a possible concussion and arm fracture, and stated the patient was disoriented. His initial vitals showed a heart rate of 85 bpm, blood pressure of 120/80 mmHg, and O2 stats of 97 %. When the nurses called out his name, he was able to open his eyes. However his speech was disjointed and included inappropriate words. After attempting to assess any motor responses, it was observed that he showed an abnormal extension in response to painful stimuli. This observation was made while the trauma team was performing a splinting procedure on his right arm, which seemed to cause the patient significant pain. Subsequent imaging results confirmed the existence of the fracture, and the patient was scheduled for orthopedic surgery. In addition, a neurology consultation was ordered due to his abnormal response patterns to assess any possibilities of serious brain injuries.</t>
  </si>
  <si>
    <t>A 65-year-old woman was brought to the emergency department by her son due to issues with her speech and lack of movement of her limbs. He reports that she was behaving unusually during their phone conversation, speaking in a confused and delirious manner, which caused him to rush to her house to check on her. Upon arrival at the ED, the patient had no voluntary movements in her limbs, including to painful stimuli. Despite her severe motor response deficiency, she showed a response to verbal commands by opening her eyes when she was told to. Her speech was rambling with significant tangents in her chain of thought. Her vital signs were within normal limits: temperature 98.6°F, pulse 72 beats per minute, respiratory rate 20 breaths per minute, blood pressure 120/80 mmHg, and oxygen saturation 98 % on room air. A complete neurologic exam was ordered, and a battery of lab tests were performed along with a state CT scan to further assess her condition. The stroke team was promptly notified due to suspicions of a neurological event.</t>
  </si>
  <si>
    <t>Big discrepancy between cerebral function and motor function, may be indicative of a spinal cord lesion, making GCS a bit misleading in this case.</t>
  </si>
  <si>
    <t>A 59-year-old man was found unconscious in his apartment by a neighbor and was immediately rushed by ambulance to the emergency department. Upon admission, his vital signs were: blood pressure 94/58 mmHg, heart rate 110 bpm, temperature 38.1°C, and O2 saturation at 95 %. The man was clearly in distress. On examination, he was able to react to painful stimuli by grimacing and moving his hands towards the site of the pinch. He opened his eyes only in response to sternal rub. As for verbal responses, the patient kept mumbling nonsensical words. Blood was drawn for labs, which included a CBC, CMP, blood cultures, and a lumbar puncture was quickly organized considering the possibility of meningitis. Meanwhile, the infectious disease team was alerted and the patient was placed under respiratory isolation due to recent reports of meningococcal outbreaks in the area.</t>
  </si>
  <si>
    <t>An 87-year-old widowed woman with a history of hypertension and diabetes was admitted to the emergency room by her home care worker who found her lying on the bathroom floor. On arrival, her vitals were pulse 88 bpm, BP 140/80 mmHg, Temp 36.6°C, RR 22/min, and SpO2 96 %. Despite repeated prompting and a firm sternal rub, she steadfastly kept her eyes shut and did not attempt to open them. However, upon receiving commands, she was able to respond appropriately by lifting an arm or moving her fingers. When asked questions, she responded with incomprehensible, garbled sounds. The neurology team was paged, and based on their recommendations, a CT head scan was ordered along with some blood investigations. The patient was given a provisional diagnosis of an acute stroke pending further investigations. Her daughter was contacted soon after her admission considering the potentially serious implications of her condition.</t>
  </si>
  <si>
    <t>A 40-year-old male was brought to the emergency department by EMS after he was found unconscious in a park. Per EMS report, he was found with a half-empty bottle of pills nearby. His vital signs were stable on arrival: BP 110/70 mmHg, HR 60 bpm, and O2sat at 98 %. On hearing his name called out, the patient managed to open his eyes and look towards the source intermittently, but he did not appear to follow the speaker or make sustained eye contact. When painful stimuli were applied, such as a sternal rub or fingernail pressure, the patient responded by grimacing and attempts to evade the source of the discomfort. He did not respond verbally to any inquiry or command. His medical bracelet indicates he is diabetic but does not mention any allergies or additional conditions. A toxicology screen, liver profile, renal profile, and blood glucose level were ordered to gather more information on his condition. The mental health team was also alerted due to the suspicion of a possible suicide attempt.</t>
  </si>
  <si>
    <t>APACHE II Score</t>
  </si>
  <si>
    <t>What is the patient's APACHE II score?</t>
  </si>
  <si>
    <t>A 43-year-old male with a history of DM2 and diabetic retinopathy presents with tachycardia to 120 and hypothermia (34.9C). On examination, he appears pale with conjunctival pallor and decreased capillary refill. BP 122/84 mmHg, and RR of 17. Laboratory results reveal a sodium level of 137.49 mmol/L, potassium level of 5.43 mmol/L, creatinine level of 1.258 mg/dL, and white blood cell count of 9,103 count/µL. Hematocrit of 35 % with decreased reticulocytes. ABG shows pH of 7.29 a 57 % FiO₂. On physical exam he has eye movements to verbal command (3), is confused (4) and responds to localized pain (5). There is decreased sensation in both feet bilaterally extending to mid shin. Urine output is 104ml over last six hours.</t>
  </si>
  <si>
    <t>A 61-year-old male with a history of chronic kidney disease not requiring dialysis, diabetes, and HLD presents with decreased urine output, mild abdominal tenderness, and suprapubic fullness. His HR is 143, the patient's blood pressure is  125/8mmHg, RR of 21, and T of 38.3C. Laboratory results reveal a sodium level of 133.28 mmol/L, potassium level of 6.43 mmol/L, creatinine level of 2.57 mg/dL, and white blood cell count of 27,463 count/µL, suggestive of a possible infection or inflammatory process. Hematocrit of 54 % with increased reticulocytes. ABG shows pH of 7.47 a 68 % FiO₂. On physical examination, the patient is alert and oriented to person, place, time, and situation (AxOx4).</t>
  </si>
  <si>
    <t>A 52-year-old patient with a known medical history characterized by several organ failures managed with medications presented to the hospital with general malaise and signs of confusion. On examination, the patient had a pulse rate of 90 beats per minute and the blood pressure measurement displayed 120/70 mm Hg. The respiratory rate was 16 breaths per minute, with oxygen saturation stably maintained on 60 % FiO₂. Basal temperature was found to be normal, at 37°C. Initial neurological evaluation revealed a slightly lowered level of consciousness, with a Glasgow Coma Score of 12. Laboratory workup showed a normal creatinine level of 1.2 mg/dL, indicating no recent onset of renal impairment. Complete blood count displayed a white blood cell count of 7000 per microliter, within the reference ranges. Routine electrolyte panel demonstrated sodium and potassium concentrations at 137 and 4.8 mEq/L, respectively. Arterial blood gas analysis revealed a pH of 7.35 with a A-a-gradient of 375. Hematocrit level was observed at a standard 45 %. Owing to the patient's historical pattern of severe organ failure and present immunocompromised state, continued vigilance and monitoring are of paramount importance for any signs of potential complications.</t>
  </si>
  <si>
    <t>A 56-year-old male with chronic kidney disease stage II presents to the clinic for routine follow-up. On physical examination, temperature is documented at 37.1 degrees celsisus, heart rate at 92 beats per minute, respiratory rate of 16 breaths per minute, and blood pressure at 122/74 mmHg. Mild confusion was present during assessment, resulting in a Glasgow Coma Score of 13. Laboratory findings include a creatinine level of 1.8 mg/dL and white blood cell count at 7500 cells per µL. Sodium is measured at 135 mEq/L and potassium at 4.6 mEq/L. ABG shows blood pH at 7.34 with an FiO2% of 49% and a partial pressure of PaO2 at 77 mm Hg. The hematocrit level is noted to be slightly reduced to 41 %. The presence of chronic renal failure, despite the patient's current stable state, emphasizes the importance of regular monitoring and management to prevent further health deterioration.</t>
  </si>
  <si>
    <t>A 50-year-old individual presents to the emergency department due to fatigue for the past several days. Upon physical examination, the patient's vitals showed a temperature of 37.5 degrees celsisus, heart rate at 100 beats per minute, respiratory rate at 18 breaths per minute, and a blood pressure of 124/77 mmHg. Despite reporting feeling fatigued, the patient oriented well and had a full Glasgow Coma Score of 15. Laboratory testing showed a slightly increased creatinine level of 1.4 mg/dL and a white blood cell count within the reference range, at 8,000 per µL. Electrolyte levels showed sodium at 138 mEq/L and potassium at 4.9 mEq/L. Arterial blood gas demonstrated a somewhat lowered pH of 7.32 while maintaining a partial pressure of oxygen of 76 mmHg on a supplemental FiO₂ of 48 %. Hematocrit was in the normal range, measuring at 40 %. Despite no history of severe organ failure or immunocompromise, the current symptoms demand further observation and possible medical intervention to effectively manage the presented fatigue and prevent further complications.</t>
  </si>
  <si>
    <t>A 64-year-old individual with no known medical history was brought to the emergency department due to episodes of mild confusion. Vital signs on admission included a heart rate of 96 beats per minute, a respiratory rate of 18 breaths per minute, a blood pressure of 130/80 mm Hg, and a body temperature recorded as 37.0 degrees celsisus. The patient's level of consciousness was also evaluated with a resultant Glasgow Coma Score of 14. Laboratory investigations noted a mild elevation in creatinine levels, recorded at 1.5 mg/dL. The patients white blood cell count appeared normal at 7000 per µL. Electrolytes were found to be within normal ranges, with sodium reported at 139 mEq/L and potassium reading 4.5 mEq/L. Analysis of arterial blood gases showed a slightly reduced pH of 7.33, with the patient having an A-a-gradient of 478 on a supplemented FiO₂ of 52 %. Hematocrit measured within the normal range, at 43 %. Given the new onset of confusion in an otherwise healthy patient, further diagnostic evaluations may be essential to determine the underlying cause.</t>
  </si>
  <si>
    <t>The patient is a 57-year-old with a noted history of significant chronic liver failure requiring transplant. The individual presented to the emergency unit with complaints of recent onset lethargy and general fatigue. Vital signs suggested mild tachycardia with a pulse rate of 102 beats per minute, a blood pressure of 120/75 mm Hg, regular respiratory rate of 19 breaths per minute, and a body temperature of 36.7 degrees celsisus. The Glasgow Coma Score was calculated to be 13, indicating a mild decrease in overall alertness. Laboratory findings included a slightly increased creatinine level of 1.3 mg/dL, a white blood cell count of 7800 per µL, sodium levels slightly above normal at 142 mEq/L, and potassium concentration within expected range at 4.7 mEq/L. Arterial blood gas illustrated a pH of 7.31 with a patient maintaining a partial pressure of oxygen A-a-gradient of 400 at 54 % FiO₂. Hematocrit readings were within normal parameters at 41 %. Despite no evidence of new acute renal failure, the patient's history and new symptomatology necessitate a cautious and well-monitored approach to their care, with further investigations planned to decipher the underlying cause.</t>
  </si>
  <si>
    <t>A 64-year-old male presents to the general outpatient department with complaints of feeling lethargic and general malaise. The patient exhibited a body temperature of 37.1 degrees celsisus, heart rate of 93 beats per minute, blood pressure measured to be 115/75 mm Hg, and a respiratory rate of 14 breaths per minute. Neurological examination conducted revealed the patient to have full consciousness with a Glasgow Coma Score at 15. Laboratory results indicated an elevation in creatinine level, documented at 1.4 mg/dL, suggestive of some level of renal impairment, and a white blood cell count of 7300 count/µL. Electrolyte analysis showed sodium level of 138 mEq/L and a potassium level of 4.6 mEq/L. The patient's arterial blood gas analysis showed a pH of 7.34 in conjunction with a patient maintaining a partial pressure of oxygen (PaO₂) of 77 mm Hg on a supplementary FiO₂ of 46 %. The hematocrit was slightly below average at 38 %. Considering the lab results along with the patient's general feeling of malaise, further diagnostic tests are in order to rule out additional potential underlying pathologies.</t>
  </si>
  <si>
    <t>Pretty straightforward. Acute renal failure not defined so some clinician input based on definitions of acute renal failure out there - some ambiguity but patient does not meet any definition of ARF in this case from the information provided that I see. Also, APACHE II should technically only be used for patients newly admitted to ICU which is not the case for this patient.</t>
  </si>
  <si>
    <t>Sequential Organ Failure Assessment (SOFA) Score</t>
  </si>
  <si>
    <t>What is the patient's Sequential Organ Failure Assessment (SOFA) Score?</t>
  </si>
  <si>
    <t>A 65-year-old male with a history of hypertension and diabetes presents with altered mental status and jaundice. He reports feeling progressively weak over the past week with associated abdominal discomfort and swelling in his lower extremities. On examination, he is lethargic with a Glasgow Coma Scale score of 10, and scleral icterus is noted. His vital signs reveal a heart rate of 90 beats per minute. Laboratory investigations reveal a serum creatinine level of 92.12 µmol/L and a total bilirubin level of 1.57 mg/L, suggesting mild renal impairment and cholestasis, respectively. Additionally, his platelet count is decreased at 88400/µL. While there are no signs of overt hypotension, the patient is receiving norepi and epi infusions at 0.1 mcg/kg/min each, with a concurrent dopamine infusion at 6.32 mcg/kg/min. The patient is currently receiving 41 % FiO₂ with continuous positive airway pressure. Notably, there is no urine output recorded. Given the constellation of symptoms and laboratory findings, further investigation into the etiology of his hepatic and renal dysfunction is warranted.</t>
  </si>
  <si>
    <t>A 74-year-old female was admitted with multiple organ dysfunction. Despite her being afebrile, the neurology consultants noted a serious decrease in her level of consciousness, and her Glasgow Coma Score was 8/15. She has been normotensive and has not required vasopressors. Her FiO₂ was recorded at 71 %, with a PaO₂ of 87 mm Hg. She's been on continuous veno-venous hemodialysis during the previous week with limited urine output of only 132 mL/day. She had significant jaundice with an elevated bilirubin level of 3.32 mg/dL. Her platelet count is 87,000/μL.</t>
  </si>
  <si>
    <t>A 56-year-old male with a longstanding pulmonary disorder is admitted to our ICU due to significant dyspnea and low oxygen saturation levels. His vital signs are stable with a systolic blood pressure of 120 mm Hg and a diastolic pressure of 80 mm Hg. He is placed on mechanical ventilation with a fraction of inspired oxygen (FiO₂) of 60 %, resulting in a partial pressure of oxygen (PaO₂) of 68 mm Hg. His assessment indicates mild cognitive impairment, his Glasgow Coma Score being recorded as 13/15. Multiple vasopressor infusions are ongoing, with DOPamine and DOBUTamine set at 5 mcg/kg/min and 3 mcg/kg/min respectively, and norEPINEPHrine and EPINEPHrine both at low doses of 0.05 mcg/kg/min and 0.1 mcg/kg/min respectively. Laboratory investigations reveal a mildly elevated creatinine level of 1.5 mg/dL, along with bilirubin at 3 mg/dL. Thrombocytopenia is also present with a platelet count of 150000 µL. Although he is producing somewhat sufficient urine output, recorded at 500 mL/day, symptoms and lab results point to multiple organ dysfunction. Despite the challenging circumstances, the patient continues to show resilience and responsiveness to treatment.</t>
  </si>
  <si>
    <t>A 67-year-old female patient was admitted to the ICU due to rapidly decreasing levels of consciousness. Her current status is best reflected by a Glasgow Coma Score of nine, indicative of a severe impairment in her cognitive and physical response. Hemodynamic stability is maintained despite the concerning situation with a systolic pressure and diastolic pressure reported as 110 mm Hg and 75 mm Hg, respectively. Our patient is currently on continuous positive airway pressure, with a fraction of inspired oxygen (FiO₂) of 50%, and a measured partial pressure of oxygen (PaO₂) of 80 mm Hg. Vasopressor therapy has been initiated with DOPamine of 2 mcg/kg/min, norEPINEPHrine at a rate of 0.07 mcg/kg/min, DOBUTamine running at 5 mcg/kg/min, and EPINEPHrine at 0.08 mcg/kg/min to maintain an appropriate systemic circulatory state. Her urine output has been adequate at around 700 mL/day. Lab findings revealed mild renal impairment with a serum creatinine of 150 µmol/L and measure of bilirubin at 2.5 mg/dL, might suggest mild hepatic dysfunction. Her platelet counts measures 200,000/µL, which lies within normal range.</t>
  </si>
  <si>
    <t>Patient is a 79-year-old woman brought in due to episodes of fainting and general weakness; she has been admitted to the ICU. A rapid decline in her cognitive functioning has been observed with a Glasgow Coma Score measuring 11, indicative of a moderate degree of impairment. Hemodynamic instability noted with her blood pressure considerably lower than what is usual, systolic reading 115 mm Hg and diastolic measurement at 70 mm Hg. To maintain an optimal circulatory volume, her therapy includes low-rate infusions of three vasopressors: DOPamine and DOBUTamine run at 3 mcg/kg/min, 2 mcg/kg/min respectively while norEPINEPHrine prescribes at a comparatively higher rate of 0.06 mcg/kg/min; also, a flow of EPINEPHrine at 0.07 mcg/kg/min is ongoing. Clinically, she does not require mechanical ventilation, at present, the fraction of inspired oxygen (FiO₂) is maintained at 45 % with measured partial pressure of oxygen (PaO₂) at 75 mm Hg. Lab reports reveal a serum creatinine level of 120 µmol/L suggestive of possibly compromised renal function; bilirubin count also appears slightly elevated at 1.8 mg/dL indicative of mild hepatic stress. Platelet count lies within a normal range reading as 180,000/µL. Her urine output has been maintained at nearly 600 mL/day.</t>
  </si>
  <si>
    <t>A 71-year-old male presented to the emergency room with worsening shortness of breath and was admitted to the ICU. His medical history includes mild hepatic and renal impairments which are continuously monitored. Recent laboratory reports revealed a slight increase in creatinine levels of 1.2 mg/dL and bilirubin of 2.2 mg/dL. A Glasgow Coma Scale of 12 indicated slight cognitive impairment. His blood pressure was tightly controlled with readings around 130/85 mm Hg. With agitated breathing patterns, he was started on managed mechanical ventilation to better control his respiratory distress. After receiving oxygen therapy, his fraction of inspired oxygen (FiO₂) became stabilized at 55 %, this resulted in a partial pressure of oxygen (PaO₂) of 70 mm Hg. Multiple vasopressor therapies were initiated; DOPamine ran at 4 mcg/kg/min, DOBUTamine at the same dosage, norEPINEPHrine at the slightly higher rate of 0.08 mcg/kg/min and EPINEPHrine at 0.09 mcg/kg/min. The platelet count in his blood sample was screened to be 170,000/µL. He had fairly normal urine output documented at 800 mL/day.</t>
  </si>
  <si>
    <t>A 78-year-old male was admitted due to diminished mental status over the past 24 hours. His Glasgow Coma Score was recorded to be 10, His blood pressure was stable with a systolic of 110 and diastolic of 78 mm Hg, showing no signs of hypotension. Laboratory findings from the admission show creatinine of 2.1 mg/dL. His liver function test also showed a slightly elevated bilirubin of 2.8 mg/dL. His platelet count was 150,000/µL. The patient is receiving a continuous positive airway pressure (CPAP) therapy, with a FiO₂ set at 50 %, maintaining a PaO₂ of 80 mm Hg. He has multiple vasopressors running concurrently, DOPamine and DOBUTamine at 6 mcg/kg/min and 2 mcg/kg/min, respectively, and norEPINEPHrine along with EPINEPHrine at rates of 0.09 mcg/kg/min and 0.08 mcg/kg/min, respectively. He had an adequate fluid balance with a urine output of 900 mL/day in the past 24 hours. Due to his significant organ dysfunction, he requires close monitoring in the ICU.</t>
  </si>
  <si>
    <t>A 58-year-old male was admitted to the ICU following the deterioration of his conscious state; currently, he is rated with a Glasgow Coma Scale score of 10. He is presently on mechanical ventilation, with FiO₂ at 54 %, and his arterial blood gas shows a PaO₂ of 76 mm Hg. Furthermore, there are ongoing infusions of multiple vasopressors to maintain his hemodynamic stability, including norEPINEPHrine and EPINEPHrine at 0.1 mcg/kg/min each, DOPamine at 7 mcg/kg/min, and DOBUTamine at 1 mcg/kg/min. His systolic and diastolic blood pressure recorded at 120 mm Hg and 75 mm Hg, respectively. Biochemical findings show creatinine measurement at 1.4 mg/dL, indicating a slight deviation in renal function, while the bilirubin level stood at 2.3 mg/dL. His platelet count is 175,000/µL. Over the past 24-hours, his urine output was 850 mL/day.</t>
  </si>
  <si>
    <t>A 70-year-old female was rushed into the ICU due to respiratory distress, following which she was promptly put on mechanical ventilation. Her delivered oxygen fell to 51 % FiO₂; meanwhile, her partial pressure of oxygen (PaO₂) registered at 74 mm Hg. She was conscious but visibly disoriented with a functional Glasgow Coma Score of 12. She was hypotensive with blood pressure of 91/70 mm Hg. Multiple vasopressors are being administered simultaneously including DOPamine at 4 mcg/kg/min, norEPINEPHrine at 0.06 mcg/kg/min, DOBUTamine at 3 mcg/kg/min, and EPINEPHrine at 0.03 mcg/kg/min. Laboratory evaluations revealed mild renal impairment with creatinine levels slightly elevated at 1.6 mg/dL and a bilirubin level of 1.9 mg/dL. Her platelet count was found to be 165,000/µL. Her daily urine output of 950 mL.</t>
  </si>
  <si>
    <t>A 74-year-old gentleman was admitted to the ICU after slight confusion and diminished interaction levels were noted; the Glasgow Coma Scale score was 13, suggesting mild cognitive impairment. His blood pressure was 93/62 mm Hg. He was not on mechanical ventilation but FiO₂ was maintained at 55 % providing him an adequate partial pressure of oxygen (PaO₂) at 75 mm Hg. The doctors have placed him on multiple vasopressors - DOPamine at 4 mcg/kg/min, DOBUTamine running at 5 mcg/kg/min, and norEPINEPHrine coupled with EPINEPHrine at 0.07 mcg/kg/min and 0.06 mcg/kg/min respectively. Lab reports displayed an elevated creatinine level of 2.4 mg/dL indicating impaired renal function. Also, at 2.3 mg/dL, his bilirubin level has spiked slightly beyond the usual range. His platelet counts were lower than average, recorded at 160,000/µL. He was having adequate fluid balance as his urine output was found to be 900 mL/day.</t>
  </si>
  <si>
    <t>A 72-year-old male patient with a known history of liver and kidney disease was transferred to our ICU due to respiratory distress. He was promptly placed on mechanical ventilation. The providing FiO₂ was recorded at 52 %, with a corroborating PaO₂ of 76 mm Hg. In response to his low blood pressure readings, multiple vasopressor infusions were necessitated, which included DOPamine at 3 mcg/kg/min, DOBUTamine at 2 mcg/kg/min, norEPINEPHrine at 0.06 mcg/kg/min, and EPINEPHrine at 0.04 mcg/kg/min. Glasgow Coma Score was 14. Lab findings showed a creatinine level of 1.7 mg/dL with bilirubin levels of 2.1 mg/dL. His platelet count was found to be 160,000/µL. His urine output was documented adequately at 950 mL/day.</t>
  </si>
  <si>
    <t>A 75-year-old female was admitted to our ICU with respiratory distress and increased confusion. This patient’s Glasgow Coma Score has been observed at 12, suggestive of a minor to moderate cognitive impairment. She did not require mechanical ventilation; instead, her oxygen requirement was manageable at 55 % FiO₂ resulting in a measured partial pressure of oxygen (PaO₂) of 75 mm Hg. Hemodynamically, she has been stable throughout the day with a systolic and diastolic blood pressure documented as 115 and 80 mm Hg, respectively. She was given multiple vasopressor treatment regimens which included DOPamine running at 3.2 mcg/kg/min, norEPINEPHrine at 0.05 mcg/kg/min, DOBUTamine at 3 mcg/kg/min, and EPINEPHrine being administered as 0.03 mcg/kg/min. Lab results revealed elevated bilirubin of 2.5 mg/dL and increased creatinine levels of 1.8 mg/dL, offering insights into potential liver and renal impairments. The platelet count was within a normal range as 175,000/µL. She was maintaining a good urine output, recorded at 920 mL/day. This case calls for a meticulous and steady monitoring of her vitals and organ function while in an ICU setup.</t>
  </si>
  <si>
    <t>An elderly 76-year-old male with existing renal issues was admitted to the ICU due to reduced responsiveness. Current GCS of 13. He necessitated mechanical ventilation to maintain oxygen saturation. FiO₂ was at 53 %, and PaO₂ values were noted at 75 mm Hg. Alongside, the hemodynamic status was sustained with systolic and diastolic blood pressure readings of 120 and 76 mm Hg, respectively. Therapeutic interventions currently include DOPamine at 3.6 mcg/kg/min, alongside administrations of norEPINEPHrine at 0.03 mcg/kg/min, DOBUTamine at 4 mcg/kg/min, and EPINEPHrine at 0.02 mcg/kg/min. Despite the medications, the blood chemistry showed worrisome values, including a creatinine level of 160 µmol/L and bilirubin concentration at 2.4 mg/dL. Complete blood count highlighted the platelet count, which was within the standard range of 175,000/µL. His daily urine output was recorded as an acceptable 875 mL/day, considering his renal condition. His overall condition necessitates stringent medical monitoring, anticipating potential organ dysfunctions based on his declining pathophysiological responses.</t>
  </si>
  <si>
    <t>A 68-year-old female was admitted to the ICU following an episode of respiratory distress. Her medical history is significant for chronic kidney disease. A reduction in her mental status is noted with a Glasgow Coma Score recently read as 13. She is currently on CPAP, with a fraction of inspired oxygen (FiO₂) set at 54 %, resulting in a recorded partial pressure of oxygen (PaO₂) at 77 mm Hg. Despite her concerning condition, her blood pressure remained stable, at 120 and 80 mm Hg on multiple vasopressors: DOPamine and DOBUTamine at 4 mcg/kg/min and 3.5 mcg/kg/min, respectively, and norEPINEPHrine, along with EPINEPHrine presides at 0.07 mcg/kg/min and 0.03 mcg/kg/min respectively. Serum chemistry reports show a slightly elevated creatinine of 1.9 mg/dL and bilirubin levels at 1.7 mg/dL, possible evidence of mild renal dysfunction and liver abnormalities respectively. Platelets were measured to total 180,000/µL, a typical value. Her urine output represented a somewhat regular fluid balance, documented at 925 mL/day. Continuous monitoring of her organ function and judicious intervention is warranted based on her specific health scenario.</t>
  </si>
  <si>
    <t>A 77-year-old male was admitted to the ICU due to an unexpected drop in cognition, with a Glasgow Coma Score currently reading as 11. While he’s not on mechanical ventilation, he doesn’t suffer from respiratory distress; his fraction of inspired oxygen (FiO₂) is 54 %, producing a partial pressure of oxygen (PaO₂) of 76 mm Hg. He is on multiple vasopressors; currently, DOPamine is flowing at 3.4 mcg/kg/min, DOBUTamine at 3 mcg/kg/min, norEPINEPHrine at 0.04 mcg/kg/min and EPINEPHrine at 0.02 mcg/kg/min. Most recent BP was 85/45. Blood chemistry revealed a creatinine level of 130 µmol/L and bilirubin level of 1.6 mg/dL – both mildly above the normal range, suggesting a possible renal and liver function disruption. His complete blood counts reported a platelet count of 165,000/µL. His urine output is documented at 910 mL/day, depicting a reasonable fluid balance. This patient requires stringent addressing to the current health conditions and monitoring of organ function while he remains under critical care.</t>
  </si>
  <si>
    <t>A 60-year-old lady was taken into the ICU following a sudden decrease in her level of consciousness. Her Glasgow Coma Score was calculated as 12. Her vitals were reasonably stable, with systolic and diastolic blood pressure readings of 115 and 72 mm Hg. She has been granted continuous positive airway pressure, and the fraction of inspired oxygen (FiO₂) is maintained at 55 %, maintaining her partial pressure of oxygen (PaO₂) at 78 mm Hg. She is currently being subject to several infusions; the vasopressors include DOPamine and DOBUTamine at 3.8 mcg/kg/min and 4.5 mcg/kg/min respectively, norEPINEPHrine at 0.05 mcg/kg/min and EPINEPHrine running at 0.03 mcg/kg/min. The lab analyses paint a picture of mild renal impairment, creatinine measure stands at 1.7 mg/dL, and a bilirubin reading of 2 mg/dL suggesting a possible liver dysfunction. Her complete blood count shows a platelet count of 170,000/µL. An output of 890 mL/day of urine records a reasonable fluid balance. A close monitoring of her conditions is being maintained based on the presented organ function profile.</t>
  </si>
  <si>
    <t>A 63-year-old man was admitted to the ICU following a sudden drop in consciousness level. Currently, his Glasgow Coma Score is listed as 12. Despite his conditioned state, his blood pressure remains stable with systolic and diastolic pressures recorded at 118 and 74 mm Hg respectively. The patient is mechanically ventilated, and oxygen therapy reveals a FiO₂ of 52 % which allows him to maintain a partial pressure of oxygen (PaO₂) at 76 mm Hg. Multiple vasopressors are administered to support hemodynamic stability, these include DOPamine and DOBUTamine infusions running at 4.2 mcg/kg/min and 3.8 mcg/kg/min respectively, and norEPINEPHrine along with EPINEPHrine controlled at the rate of 0.03 mcg/kg/min and 0.02 mcg/kg/min respectively. Laboratory analysis rendered a serum creatinine level of 140 µmol/L and a total bilirubin level scaled at 2.2 mg/dL, specs that suggest mild renal impairment along with a probable hepatic dysfunction. The reported platelet count suggested normalcy at 165,000/µL of blood. A daily urine output is listed close to 880 mL/day, recording a satisfactory level of fluid balance. Careful monitoring and management are needed to uphold his potential recovery.</t>
  </si>
  <si>
    <t>Caprini Score for Venous Thromboembolism (2005)</t>
  </si>
  <si>
    <t>What is the patient's Caprini Score for Venous Thromboembolism?</t>
  </si>
  <si>
    <t>A 68-year-old female patient is currently being managed in the critical care unit following recent major laparoscopic surgery performed for ovarian cancer. Her medical history includes prior deep vein thrombosis and a pulmonary embolism. Her BMI is 30 kg/m^2. Over the post-operative period, due to her recovery and limited movement, she has spent over 72 hours confined to bed. Her current hospital stay has been complicated by acute myocardial infarction. Physical examination reveals swelling in the legs. Labs have indicated elevated serum homocysteine levels. Prothrombin 20210A, lupus anticoagulant, and factor V Leiden mutation are negative. She also has long-standing inflammatory bowel disease and a positive family history of thrombosis. She has no history of chronic obstructive pulmonary disease, trauma, or sepsis and no hip, pelvis, or leg fractures in the recent past. She has required no immobilizing plaster casts.</t>
  </si>
  <si>
    <t>A 45-year-old woman presents for a follow-up visit after treatment for a pulmonary embolism. She leads an active lifestyle with normal mobility and has a body mass index of 22 kg/m^2. The patient has no history of inflammatory bowel disease, congestive heart failure, stroke, trauma, deep vein thrombosis, pneumonia, heparin-induced thrombocytopenia, or varicose veins, and no recent surgeries. Genetic testing has revealed the presence of prothrombin 20210A mutation. Factor V Leiden and anticardiolipin antibody testing were negative, and she has no other congenital or acquired thrombophilia. Recent blood tests have shown elevated serum homocysteine levels. She had breast cancer which was successfully treated, and she remains in remission on recent evaluations. Family history is negative for thrombosis. Further close follow-up is recommended for cardiovascular risk assessment and management.</t>
  </si>
  <si>
    <t>A 70-year-old woman presented to the clinic for a follow-up visit after a leg fracture, which was her only injury from a skiing accident. She has no other trauma history. The patient's mobility is normal. The patient has a history of recent sepsis and stroke 1 month ago as well as a history of pulmonary embolism but no deep vein thrombosis. Laboratory workup for coagulability is notable for elevated anticardiolipin antibody and Factor V Leiden. She has no past medical history of inflammatory bowel disease, heparin-induced thrombocytopenia, nor chronic obstructive pulmonary disease. Her BMI today is 24 kg/m^2. Her current management includes central venous access and regular monitoring for potential complications of Protein C deficiency. Apart from varicose veins, her lower extremities exam is unremarkable with no significant swelling. Further clinical evaluation and supervision remain essential for her complete recovery and prevention of potential complications, given her medical history and anticoagulation profile.</t>
  </si>
  <si>
    <t>Tricky one as not all pertinent negatives are not clearly there (e.g. family history) but can be assumed negative given the detailed information otherwise. Also Caprini should technically only be used for patients undergoing surgery, which she is not - but the model does account for this (None for Surgery planned field).</t>
  </si>
  <si>
    <t>A 52-year-old male with a medical history of chronic obstructive pulmonary disease is confined to bed rest for 4 days after a bowel resection (3 hours surgical time) for management of ascending colon carcinoma. He denies having any acute myocardial infarction, congestive heart failure, stroke, pneumonia, or sepsis. He has a previous history of deep vein thrombosis and pulmonary embolism. Lab workup revealed positive lupus anticoagulant. Prothrombin 20210A is normal and serum homocysteine within normal range. The patient has a family history of thrombosis in his mother. He has no central venous access, and no other congenital or acquired thrombophilia. On physical exam, there are no signs of current swollen legs. The patient's Body Mass Index (BMI) is 29 kg/m^2. To maintain his overall good health, continued supervision, and necessary interventions are recommended to avoid any thrombotic episodes.</t>
  </si>
  <si>
    <t>A 72-year-old female who recently survived an acute myocardial infarction is presented for a routine checkup. Despite the distressing circumstances, she seems to be in good spirits and her mobility is normal following PT. She has a history of a recent spinal cord injury without fracture which led to a brief period of paralysis. Furthermore, she was a victim of a multi-trauma incident a few weeks ago, but she denies any major surgery in the past month. Comparative review of her medical records indicates no previous episodes of deep vein thrombosis or pulmonary embolism. Her body mass index, visibly in the normal range, is calculated as 23 kg/m^2. She has positive Factor V Leiden status which stands as a crucial risk factor in her susceptibility to thrombotic events. Her lowered extremities show noticeable swelling on examination. She has no active central venous access and her sepsis screening reports were negative. She does have a positive history of heparin-induced thrombocytopenia; however, lupus anticoagulant is absent. The patient denies any history of malignancy. Continuing clinical investigation is of utmost importance adhering to her recent cardiac episode and other comorbid conditions.</t>
  </si>
  <si>
    <t>A 65-year-old woman recently underwent minor surgery for bunion correction currently immobilized with a plaster cast. She was active and ambulating normally before the procedure. Her past records note a previously confirmed deep vein thrombosis but no episodes of pulmonary embolism. Although she does not have a current central venous access, her genetic tests revealed a positive Factor V Leiden mutation. Her past medical history is significant for inflammatory bowel disease. With a BMI of 27 kg/m^2, she falls in the overweight category. Despite her inherent thrombotic risk profile, she reports neither a family history of thrombosis nor records of heparin-induced thrombocytopenia. The patient also tested negative for prothrombin 20210A mutation and elevated anticardiolipin antibody. Regular follow-ups and evaluation for potential postoperative complications are recommended in her case, considering her recent surgery and related medical history. Careful monitoring of her thrombotic risk factors remains implied due to her age and medical history.</t>
  </si>
  <si>
    <t>A 62-year-old man was on medical admission due to a recent episode of congestive heart failure and an ischemic stroke. The patient has been slowly recovering, but due to his weakness, he is currently confined to bed rest. He was scheduled for elective major lower extremity arthroplasty prior to these episodes. His past medical history is negative for inflammatory bowel disease, chronic obstructive pulmonary disease, previous deep vein thrombosis, and pulmonary embolism. The patient's labs showed a positive prothrombin 20210A mutation and elevated serum homocysteine levels. His Body Mass Index (BMI) was recorded at 30 kg/m^2, indicative of obesity. On physical examination, swelling was noted in the lower extremities, but no varicose veins were appreciated. His medical history and recent heart failure exacerbation placed him in a high-risk category for thromboembolic events necessitating a careful approach in terms of prophylaxis and monitoring. Collaboration between cardiology, neurology, and orthopedic team would be beneficial in his ongoing management.</t>
  </si>
  <si>
    <t>Estimated Due Date</t>
  </si>
  <si>
    <t xml:space="preserve">Using Naegele's Rule for estimated due date based on the last menstrual period and cycle length, what is the the patient's estimated due date? Your response should be in the format of M/D/Y (ie 08/31/2023, 07/03/2000) with just the date and not other text. </t>
  </si>
  <si>
    <t>The patient's last menstrual period was on 12/11/2013. Her cycle length is 22 days.</t>
  </si>
  <si>
    <t>The patient's last menstrual period was on 02/13/2002. Her cycle length is 25 days.</t>
  </si>
  <si>
    <t>The patient's last menstrual period was on 06/20/2011. Her cycle length is 21 days.</t>
  </si>
  <si>
    <t>The patient's last menstrual period was on 01/15/2023. Her cycle length is 24 days.</t>
  </si>
  <si>
    <t>The patient's last menstrual period was on 02/03/2012. Her cycle length is 28 days.</t>
  </si>
  <si>
    <t>The patient's last menstrual period was on 05/20/2020. Her cycle length is 28 days.</t>
  </si>
  <si>
    <t>The patient's last menstrual period was on 10/23/2006. Her cycle length is 25 days.</t>
  </si>
  <si>
    <t>The patient's last menstrual period was on 01/08/2021. Her cycle length is 21 days.</t>
  </si>
  <si>
    <t>The patient's last menstrual period was on 02/28/2007. Her cycle length is 24 days.</t>
  </si>
  <si>
    <t>The patient's last menstrual period was on 07/15/2008. Her cycle length is 21 days.</t>
  </si>
  <si>
    <t>The patient's last menstrual period was on 06/12/2005. Her cycle length is 30 days.</t>
  </si>
  <si>
    <t>The patient's last menstrual period was on 04/09/2021. Her cycle length is 25 days.</t>
  </si>
  <si>
    <t>The patient's last menstrual period was on 11/20/2002. Her cycle length is 30 days.</t>
  </si>
  <si>
    <t>The patient's last menstrual period was on 03/13/2014. Her cycle length is 23 days.</t>
  </si>
  <si>
    <t>The patient's last menstrual period was on 11/18/2022. Her cycle length is 24 days.</t>
  </si>
  <si>
    <t>The patient's last menstrual period was on 11/27/2010. Her cycle length is 23 days.</t>
  </si>
  <si>
    <t>The patient's last menstrual period was on 04/26/2001. Her cycle length is 20 days.</t>
  </si>
  <si>
    <t>The patient's last menstrual period was on 07/03/2008. Her cycle length is 25 days.</t>
  </si>
  <si>
    <t>Steroid Conversion Calculator</t>
  </si>
  <si>
    <t xml:space="preserve">Based on the patient's dose of Dexamethasone PO, what is the equivalent dosage in mg of PrednisoLONE PO? </t>
  </si>
  <si>
    <t>Patient has taken 7.96 mg of Dexamethasone PO.</t>
  </si>
  <si>
    <t xml:space="preserve">Based on the patient's dose of Hydrocortisone PO, what is the equivalent dosage in mg of Dexamethasone PO? </t>
  </si>
  <si>
    <t>Patient has taken 162.935 mg of Hydrocortisone PO.</t>
  </si>
  <si>
    <t xml:space="preserve">Based on the patient's dose of MethylPrednisoLONE IV, what is the equivalent dosage in mg of MethylPrednisoLONE PO? </t>
  </si>
  <si>
    <t>Patient has taken 9.599 mg of MethylPrednisoLONE IV.</t>
  </si>
  <si>
    <t xml:space="preserve">Based on the patient's dose of Dexamethasone IV, what is the equivalent dosage in mg of Dexamethasone PO? </t>
  </si>
  <si>
    <t>Patient has taken 6.86 mg of Dexamethasone IV.</t>
  </si>
  <si>
    <t xml:space="preserve">Based on the patient's dose of PredniSONE PO, what is the equivalent dosage in mg of Hydrocortisone IV? </t>
  </si>
  <si>
    <t>Patient has taken 45.802 mg of PredniSONE PO.</t>
  </si>
  <si>
    <t xml:space="preserve">Based on the patient's dose of MethylPrednisoLONE IV, what is the equivalent dosage in mg of PrednisoLONE PO? </t>
  </si>
  <si>
    <t>Patient has taken 21.065 mg of MethylPrednisoLONE IV.</t>
  </si>
  <si>
    <t xml:space="preserve">Based on the patient's dose of Dexamethasone PO, what is the equivalent dosage in mg of Dexamethasone IV? </t>
  </si>
  <si>
    <t>Patient has taken 4.88 mg of Dexamethasone PO.</t>
  </si>
  <si>
    <t xml:space="preserve">Based on the patient's dose of Dexamethasone IV, what is the equivalent dosage in mg of Triamcinolone IV? </t>
  </si>
  <si>
    <t>Patient has taken 7.25 mg of Dexamethasone IV.</t>
  </si>
  <si>
    <t>Patient has taken 6.026 mg of MethylPrednisoLONE IV.</t>
  </si>
  <si>
    <t>Patient has taken 47.837 mg of MethylPrednisoLONE IV.</t>
  </si>
  <si>
    <t>Patient has taken 58.403 mg of PredniSONE PO.</t>
  </si>
  <si>
    <t>Patient has taken 47.069 mg of PredniSONE PO.</t>
  </si>
  <si>
    <t xml:space="preserve">Based on the patient's dose of Hydrocortisone PO, what is the equivalent dosage in mg of Cortisone PO? </t>
  </si>
  <si>
    <t>Patient has taken 81.868 mg of Hydrocortisone PO.</t>
  </si>
  <si>
    <t xml:space="preserve">Based on the patient's dose of Dexamethasone IV, what is the equivalent dosage in mg of MethylPrednisoLONE PO? </t>
  </si>
  <si>
    <t>Patient has taken 0.63 mg of Dexamethasone IV.</t>
  </si>
  <si>
    <t xml:space="preserve">Based on the patient's dose of Hydrocortisone IV, what is the equivalent dosage in mg of PredniSONE PO? </t>
  </si>
  <si>
    <t>Patient has taken 186.669 mg of Hydrocortisone IV.</t>
  </si>
  <si>
    <t xml:space="preserve">Based on the patient's dose of PredniSONE PO, what is the equivalent dosage in mg of Cortisone PO? </t>
  </si>
  <si>
    <t>Patient has taken 52.736 mg of PredniSONE PO.</t>
  </si>
  <si>
    <t>Patient has taken 152.535 mg of Hydrocortisone IV.</t>
  </si>
  <si>
    <t xml:space="preserve">Based on the patient's dose of Dexamethasone IV, what is the equivalent dosage in mg of Hydrocortisone PO? </t>
  </si>
  <si>
    <t>Patient has taken 7.01 mg of Dexamethasone IV.</t>
  </si>
  <si>
    <t>Target weight</t>
  </si>
  <si>
    <t>Based on the patient's height and target BMI, what is the patient's target weight in kg?</t>
  </si>
  <si>
    <t>Patient has a height of 196 cm and their target BMI is 19.2 kg/m^2.</t>
  </si>
  <si>
    <t>Patient has a height of 169 cm and their target BMI is 24.1 kg/m^2.</t>
  </si>
  <si>
    <t>Patient has a height of 194 cm and their target BMI is 20.7 kg/m^2.</t>
  </si>
  <si>
    <t>Patient has a height of 1.99 m and their target BMI is 24.5 kg/m^2.</t>
  </si>
  <si>
    <t>Patient has a height of 1.87 m and their target BMI is 21.0 kg/m^2.</t>
  </si>
  <si>
    <t>Patient has a height of 78 in and their target BMI is 22.6 kg/m^2.</t>
  </si>
  <si>
    <t>Patient has a height of 169 cm and their target BMI is 20.1 kg/m^2.</t>
  </si>
  <si>
    <t>Patient has a height of 78 in and their target BMI is 23.2 kg/m^2.</t>
  </si>
  <si>
    <t>Patient has a height of 1.44 m and their target BMI is 18.4 kg/m^2.</t>
  </si>
  <si>
    <t>Patient has a height of 69 in and their target BMI is 24.4 kg/m^2.</t>
  </si>
  <si>
    <t>Patient has a height of 172 cm and their target BMI is 24.7 kg/m^2.</t>
  </si>
  <si>
    <t>Patient has a height of 145 cm and their target BMI is 18.5 kg/m^2.</t>
  </si>
  <si>
    <t>Patient has a height of 144 cm and their target BMI is 20.8 kg/m^2.</t>
  </si>
  <si>
    <t>Patient has a height of 77 in and their target BMI is 19.7 kg/m^2.</t>
  </si>
  <si>
    <t>Patient has a height of 69 in and their target BMI is 18.6 kg/m^2.</t>
  </si>
  <si>
    <t>Patient has a height of 70 in and their target BMI is 21.7 kg/m^2.</t>
  </si>
  <si>
    <t>Patient has a height of 196 cm and their target BMI is 22.7 kg/m^2.</t>
  </si>
  <si>
    <t>Patient has a height of 1.59 m and their target BMI is 20.8 kg/m^2.</t>
  </si>
  <si>
    <t>Patient has a height of 1.8 m and their target BMI is 21.2 kg/m^2.</t>
  </si>
  <si>
    <t>Patient has a height of 196 cm and their target BMI is 18.1 kg/m^2.</t>
  </si>
  <si>
    <t>Morphine Milligram Equivalents (MME) Calculator</t>
  </si>
  <si>
    <t>Based on the number of doses per day and the quantity of different doses, what is the patient's daily Morphine Miligram Equivalents (MME)?</t>
  </si>
  <si>
    <t>The patient takes 50 mg of Tapentadol 1 time a day, 50 mg of TraMADol 1 time a day, and 20 mg of FentaNYL buccal 2 times a day.</t>
  </si>
  <si>
    <t>The patient takes 60 mg of HYDROmorphone 1 time a day, 30 mg of Tapentadol 3 times a day, and 10 mg of OxyMORphone 3 times a day.</t>
  </si>
  <si>
    <t>The patient takes 60 mg of FentANYL patch 1 time a day, 20 mg of HYDROmorphone 3 times a day, and 30 mg of FentaNYL buccal 2 times a day.</t>
  </si>
  <si>
    <t>The patient takes 60 mg of Tapentadol 1 time a day, 70 mg of HYDROcodone 3 times a day, and 50 mg of Methadone 2 times a day.</t>
  </si>
  <si>
    <t>The patient takes 60 mg of OxyCODONE 1 time a day, 70 mg of HYDROmorphone 2 times a day, and 10 mg of Codeine 2 times a day.</t>
  </si>
  <si>
    <t>The patient takes 10 mg of Morphine 1 time a day, 20 mg of OxyMORphone 3 times a day, and 10 mg of Codeine 3 times a day.</t>
  </si>
  <si>
    <t>The patient takes 40 mg of Methadone 1 time a day, 10 mg of Tapentadol 1 time a day, and 30 mg of OxyMORphone 2 times a day.</t>
  </si>
  <si>
    <t>The patient takes 20 mg of Codeine 3 times a day, 10 mg of Methadone 3 times a day, and 70 mg of HYDROcodone 2 times a day.</t>
  </si>
  <si>
    <t>The patient takes 70 mg of OxyMORphone 1 time a day, 70 mg of Morphine 1 time a day, and 40 mg of FentANYL patch 1 time a day.</t>
  </si>
  <si>
    <t>The patient takes 10 mg of HYDROcodone 3 times a day, 70 mg of HYDROmorphone 2 times a day, and 70 mg of FentANYL patch 1 time a day.</t>
  </si>
  <si>
    <t>The patient takes 30 mg of OxyCODONE 2 times a day, 70 mg of HYDROcodone 2 times a day, and 20 mg of Tapentadol 1 time a day.</t>
  </si>
  <si>
    <t>The patient takes 30 mg of Codeine 2 times a day, 70 mg of HYDROcodone 1 time a day, and 30 mg of Morphine 2 times a day.</t>
  </si>
  <si>
    <t>The patient takes 70 mg of TraMADol 3 times a day, 30 mg of OxyMORphone 3 times a day, and 10 mg of Morphine 1 time a day.</t>
  </si>
  <si>
    <t>The patient takes 60 mg of Morphine 3 times a day, 60 mg of Codeine 3 times a day, and 60 mg of OxyMORphone 3 times a day.</t>
  </si>
  <si>
    <t>The patient takes 60 mg of HYDROcodone 1 time a day, 50 mg of Methadone 2 times a day, and 60 mg of Morphine 2 times a day.</t>
  </si>
  <si>
    <t xml:space="preserve">Using MME calculator found on MDCalc. I made the assumption these are all orally-dosed (hydrocodone is PO-only, and it would be atypical to have a mix of PO and IV meds). Otherwise, would not be able to calculate due to a lack of stated administration route. </t>
  </si>
  <si>
    <t>Estimated of Conception</t>
  </si>
  <si>
    <t xml:space="preserve">Based on the patient's last menstrual period and cycle length, what is the the patient's estimated date of conception? Your answer should be in the format of M/D/Y (ie 08/31/2023, 07/03/2000) with just the date and not other text. </t>
  </si>
  <si>
    <t>The patient's last menstrual period was on 12/17/2009. Her cycle length is 21 days.</t>
  </si>
  <si>
    <t>The patient's last menstrual period was on 11/11/2013. Her cycle length is 24 days.</t>
  </si>
  <si>
    <t>The patient's last menstrual period was on 12/18/2009. Her cycle length is 26 days.</t>
  </si>
  <si>
    <t>The patient's last menstrual period was on 04/22/2013. Her cycle length is 22 days.</t>
  </si>
  <si>
    <t>The patient's last menstrual period was on 11/29/2023. Her cycle length is 26 days.</t>
  </si>
  <si>
    <t>The patient's last menstrual period was on 10/10/2018. Her cycle length is 22 days.</t>
  </si>
  <si>
    <t>The patient's last menstrual period was on 09/10/2000. Her cycle length is 26 days.</t>
  </si>
  <si>
    <t>The patient's last menstrual period was on 04/26/2013. Her cycle length is 24 days.</t>
  </si>
  <si>
    <t>The patient's last menstrual period was on 10/11/2020. Her cycle length is 29 days.</t>
  </si>
  <si>
    <t>The patient's last menstrual period was on 08/22/2014. Her cycle length is 27 days.</t>
  </si>
  <si>
    <t>The patient's last menstrual period was on 09/26/2015. Her cycle length is 23 days.</t>
  </si>
  <si>
    <t>The patient's last menstrual period was on 11/10/2002. Her cycle length is 22 days.</t>
  </si>
  <si>
    <t>The patient's last menstrual period was on 11/20/2020. Her cycle length is 28 days.</t>
  </si>
  <si>
    <t>The patient's last menstrual period was on 02/08/2024. Her cycle length is 25 days.</t>
  </si>
  <si>
    <t>The patient's last menstrual period was on 05/26/2007. Her cycle length is 30 days.</t>
  </si>
  <si>
    <t>The patient's last menstrual period was on 03/02/2000. Her cycle length is 23 days.</t>
  </si>
  <si>
    <t>The patient's last menstrual period was on 08/28/2019. Her cycle length is 23 days.</t>
  </si>
  <si>
    <t>The patient's last menstrual period was on 08/29/2013. Her cycle length is 21 days.</t>
  </si>
  <si>
    <t>The patient's last menstrual period was on 10/23/2006. Her cycle length is 30 days.</t>
  </si>
  <si>
    <t>The patient's last menstrual period was on 08/08/2012. Her cycle length is 26 days.</t>
  </si>
  <si>
    <t>Estimated Gestational Age</t>
  </si>
  <si>
    <t>Based on the patient's last menstrual period, what is the patient's estimated gestational age? Your answer should be a tuple, specifying the number of weeks and days (i.e. (4 weeks, 3 days), (0 weeks, 5 days), (1 week, 5 days), (8 weeks, 0 days)).</t>
  </si>
  <si>
    <t>The patient's last menstrual period was on 03/23/2020. Today's date is 03/29/2020.</t>
  </si>
  <si>
    <t>The patient's last menstrual period was on 02/14/2024. Today's date is 05/23/2024.</t>
  </si>
  <si>
    <t>The patient's last menstrual period was on 12/15/2016. Today's date is 01/09/2017.</t>
  </si>
  <si>
    <t>The patient's last menstrual period was on 04/15/2003. Today's date is 06/16/2003.</t>
  </si>
  <si>
    <t>The patient's last menstrual period was on 08/17/2021. Today's date is 04/23/2022.</t>
  </si>
  <si>
    <t>The patient's last menstrual period was on 06/29/2024. Today's date is 01/15/2025.</t>
  </si>
  <si>
    <t>The patient's last menstrual period was on 12/14/2016. Today's date is 08/19/2017.</t>
  </si>
  <si>
    <t>The patient's last menstrual period was on 03/28/2023. Today's date is 10/27/2023.</t>
  </si>
  <si>
    <t>The patient's last menstrual period was on 05/08/2024. Today's date is 09/10/2024.</t>
  </si>
  <si>
    <t>The patient's last menstrual period was on 09/21/2015. Today's date is 01/06/2016.</t>
  </si>
  <si>
    <t>The patient's last menstrual period was on 08/23/2002. Today's date is 12/28/2002.</t>
  </si>
  <si>
    <t>The patient's last menstrual period was on 05/11/2010. Today's date is 01/04/2011.</t>
  </si>
  <si>
    <t>The patient's last menstrual period was on 03/08/2004. Today's date is 08/28/2004.</t>
  </si>
  <si>
    <t>The patient's last menstrual period was on 03/07/2022. Today's date is 04/07/2022.</t>
  </si>
  <si>
    <t>The patient's last menstrual period was on 07/18/2010. Today's date is 02/09/2011.</t>
  </si>
  <si>
    <t>The patient's last menstrual period was on 01/27/2006. Today's date is 07/31/2006.</t>
  </si>
  <si>
    <t>The patient's last menstrual period was on 10/01/2022. Today's date is 06/13/2023.</t>
  </si>
  <si>
    <t>The patient's last menstrual period was on 08/31/2000. Today's date is 02/03/2001.</t>
  </si>
  <si>
    <t>The patient's last menstrual period was on 07/18/2013. Today's date is 03/19/2014.</t>
  </si>
  <si>
    <t>The patient's last menstrual period was on 10/16/2007. Today's date is 01/24/2008.</t>
  </si>
  <si>
    <t>Never actually calculated a delta gap before and did not find a corresponding calculator in MD Calc so looked up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</si>
</sst>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d"/>
  </numFmts>
  <fonts count="5"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164" fontId="2" fillId="0" borderId="0" xfId="0" applyNumberFormat="1" applyFont="1" applyAlignment="1">
      <alignment horizontal="left" vertical="top" wrapText="1"/>
    </xf>
    <xf numFmtId="165" fontId="2" fillId="0" borderId="0" xfId="0" applyNumberFormat="1" applyFont="1" applyAlignment="1">
      <alignment horizontal="lef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2000"/>
  <sheetViews>
    <sheetView tabSelected="1" workbookViewId="0">
      <pane ySplit="1" topLeftCell="A2" activePane="bottomLeft" state="frozen"/>
      <selection pane="bottomLeft" activeCell="H109" sqref="H109"/>
    </sheetView>
  </sheetViews>
  <sheetFormatPr baseColWidth="10" defaultColWidth="12.6640625" defaultRowHeight="15.75" customHeight="1" x14ac:dyDescent="0.15"/>
  <cols>
    <col min="1" max="1" width="6" customWidth="1"/>
    <col min="2" max="2" width="20" customWidth="1"/>
    <col min="3" max="3" width="16.83203125" customWidth="1"/>
    <col min="4" max="4" width="33.6640625" customWidth="1"/>
    <col min="5" max="6" width="9.33203125" customWidth="1"/>
    <col min="7" max="7" width="15.5" customWidth="1"/>
    <col min="8" max="8" width="31.6640625" customWidth="1"/>
  </cols>
  <sheetData>
    <row r="1" spans="1:23" ht="13" x14ac:dyDescent="0.15">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row>
    <row r="2" spans="1:23" ht="75" customHeight="1" x14ac:dyDescent="0.15">
      <c r="A2" s="2">
        <v>1</v>
      </c>
      <c r="B2" s="2" t="s">
        <v>9</v>
      </c>
      <c r="C2" s="2" t="s">
        <v>10</v>
      </c>
      <c r="D2" s="2" t="s">
        <v>11</v>
      </c>
      <c r="E2" s="2">
        <v>25.24</v>
      </c>
      <c r="F2" s="2">
        <v>25.24</v>
      </c>
      <c r="G2" s="2"/>
      <c r="H2" s="2"/>
      <c r="I2" s="2" t="b">
        <f t="shared" ref="I2:I256" si="0">E2=F2</f>
        <v>1</v>
      </c>
      <c r="J2" s="2"/>
      <c r="K2" s="2"/>
      <c r="L2" s="2"/>
      <c r="M2" s="2"/>
      <c r="N2" s="2"/>
      <c r="O2" s="2"/>
      <c r="P2" s="2"/>
      <c r="Q2" s="2"/>
      <c r="R2" s="2"/>
      <c r="S2" s="2"/>
      <c r="T2" s="2"/>
      <c r="U2" s="2"/>
      <c r="V2" s="2"/>
      <c r="W2" s="2"/>
    </row>
    <row r="3" spans="1:23" ht="75" customHeight="1" x14ac:dyDescent="0.15">
      <c r="A3" s="2">
        <v>2</v>
      </c>
      <c r="B3" s="2" t="s">
        <v>9</v>
      </c>
      <c r="C3" s="2" t="s">
        <v>10</v>
      </c>
      <c r="D3" s="2" t="s">
        <v>12</v>
      </c>
      <c r="E3" s="2">
        <v>38</v>
      </c>
      <c r="F3" s="2">
        <v>38</v>
      </c>
      <c r="G3" s="2"/>
      <c r="H3" s="2"/>
      <c r="I3" s="2" t="b">
        <f t="shared" si="0"/>
        <v>1</v>
      </c>
      <c r="J3" s="2"/>
      <c r="K3" s="2"/>
      <c r="L3" s="2"/>
      <c r="M3" s="2"/>
      <c r="N3" s="2"/>
      <c r="O3" s="2"/>
      <c r="P3" s="2"/>
      <c r="Q3" s="2"/>
      <c r="R3" s="2"/>
      <c r="S3" s="2"/>
      <c r="T3" s="2"/>
      <c r="U3" s="2"/>
      <c r="V3" s="2"/>
      <c r="W3" s="2"/>
    </row>
    <row r="4" spans="1:23" ht="75" customHeight="1" x14ac:dyDescent="0.15">
      <c r="A4" s="2">
        <v>3</v>
      </c>
      <c r="B4" s="2" t="s">
        <v>9</v>
      </c>
      <c r="C4" s="2" t="s">
        <v>10</v>
      </c>
      <c r="D4" s="2" t="s">
        <v>13</v>
      </c>
      <c r="E4" s="2">
        <v>19.79</v>
      </c>
      <c r="F4" s="2">
        <v>9</v>
      </c>
      <c r="G4" s="3">
        <v>9</v>
      </c>
      <c r="H4" s="4" t="s">
        <v>14</v>
      </c>
      <c r="I4" s="2" t="b">
        <f t="shared" si="0"/>
        <v>0</v>
      </c>
      <c r="J4" s="2"/>
      <c r="K4" s="2"/>
      <c r="L4" s="2"/>
      <c r="M4" s="2"/>
      <c r="N4" s="2"/>
      <c r="O4" s="2"/>
      <c r="P4" s="2"/>
      <c r="Q4" s="2"/>
      <c r="R4" s="2"/>
      <c r="S4" s="2"/>
      <c r="T4" s="2"/>
      <c r="U4" s="2"/>
      <c r="V4" s="2"/>
      <c r="W4" s="2"/>
    </row>
    <row r="5" spans="1:23" ht="75" customHeight="1" x14ac:dyDescent="0.15">
      <c r="A5" s="2">
        <v>4</v>
      </c>
      <c r="B5" s="2" t="s">
        <v>9</v>
      </c>
      <c r="C5" s="2" t="s">
        <v>10</v>
      </c>
      <c r="D5" s="2" t="s">
        <v>15</v>
      </c>
      <c r="E5" s="2">
        <v>106.19</v>
      </c>
      <c r="F5" s="2">
        <v>106.19</v>
      </c>
      <c r="G5" s="2"/>
      <c r="H5" s="2"/>
      <c r="I5" s="2" t="b">
        <f t="shared" si="0"/>
        <v>1</v>
      </c>
      <c r="J5" s="2"/>
      <c r="K5" s="2"/>
      <c r="L5" s="2"/>
      <c r="M5" s="2"/>
      <c r="N5" s="2"/>
      <c r="O5" s="2"/>
      <c r="P5" s="2"/>
      <c r="Q5" s="2"/>
      <c r="R5" s="2"/>
      <c r="S5" s="2"/>
      <c r="T5" s="2"/>
      <c r="U5" s="2"/>
      <c r="V5" s="2"/>
      <c r="W5" s="2"/>
    </row>
    <row r="6" spans="1:23" ht="75" customHeight="1" x14ac:dyDescent="0.15">
      <c r="A6" s="2">
        <v>5</v>
      </c>
      <c r="B6" s="2" t="s">
        <v>9</v>
      </c>
      <c r="C6" s="2" t="s">
        <v>10</v>
      </c>
      <c r="D6" s="2" t="s">
        <v>16</v>
      </c>
      <c r="E6" s="2">
        <v>78.12</v>
      </c>
      <c r="F6" s="2">
        <v>78.12</v>
      </c>
      <c r="G6" s="2"/>
      <c r="H6" s="2"/>
      <c r="I6" s="2" t="b">
        <f t="shared" si="0"/>
        <v>1</v>
      </c>
      <c r="J6" s="2"/>
      <c r="K6" s="2"/>
      <c r="L6" s="2"/>
      <c r="M6" s="2"/>
      <c r="N6" s="2"/>
      <c r="O6" s="2"/>
      <c r="P6" s="2"/>
      <c r="Q6" s="2"/>
      <c r="R6" s="2"/>
      <c r="S6" s="2"/>
      <c r="T6" s="2"/>
      <c r="U6" s="2"/>
      <c r="V6" s="2"/>
      <c r="W6" s="2"/>
    </row>
    <row r="7" spans="1:23" ht="75" customHeight="1" x14ac:dyDescent="0.15">
      <c r="A7" s="2">
        <v>6</v>
      </c>
      <c r="B7" s="2" t="s">
        <v>9</v>
      </c>
      <c r="C7" s="2" t="s">
        <v>10</v>
      </c>
      <c r="D7" s="2" t="s">
        <v>17</v>
      </c>
      <c r="E7" s="2">
        <v>83.94</v>
      </c>
      <c r="F7" s="2">
        <v>83.94</v>
      </c>
      <c r="G7" s="2"/>
      <c r="H7" s="2"/>
      <c r="I7" s="2" t="b">
        <f t="shared" si="0"/>
        <v>1</v>
      </c>
      <c r="J7" s="2"/>
      <c r="K7" s="2"/>
      <c r="L7" s="2"/>
      <c r="M7" s="2"/>
      <c r="N7" s="2"/>
      <c r="O7" s="2"/>
      <c r="P7" s="2"/>
      <c r="Q7" s="2"/>
      <c r="R7" s="2"/>
      <c r="S7" s="2"/>
      <c r="T7" s="2"/>
      <c r="U7" s="2"/>
      <c r="V7" s="2"/>
      <c r="W7" s="2"/>
    </row>
    <row r="8" spans="1:23" ht="75" customHeight="1" x14ac:dyDescent="0.15">
      <c r="A8" s="2">
        <v>7</v>
      </c>
      <c r="B8" s="2" t="s">
        <v>9</v>
      </c>
      <c r="C8" s="2" t="s">
        <v>10</v>
      </c>
      <c r="D8" s="2" t="s">
        <v>18</v>
      </c>
      <c r="E8" s="2">
        <v>55.62</v>
      </c>
      <c r="F8" s="2">
        <v>55.62</v>
      </c>
      <c r="G8" s="2"/>
      <c r="H8" s="2"/>
      <c r="I8" s="2" t="b">
        <f t="shared" si="0"/>
        <v>1</v>
      </c>
      <c r="J8" s="2"/>
      <c r="K8" s="2"/>
      <c r="L8" s="2"/>
      <c r="M8" s="2"/>
      <c r="N8" s="2"/>
      <c r="O8" s="2"/>
      <c r="P8" s="2"/>
      <c r="Q8" s="2"/>
      <c r="R8" s="2"/>
      <c r="S8" s="2"/>
      <c r="T8" s="2"/>
      <c r="U8" s="2"/>
      <c r="V8" s="2"/>
      <c r="W8" s="2"/>
    </row>
    <row r="9" spans="1:23" ht="75" customHeight="1" x14ac:dyDescent="0.15">
      <c r="A9" s="2">
        <v>8</v>
      </c>
      <c r="B9" s="2" t="s">
        <v>9</v>
      </c>
      <c r="C9" s="2" t="s">
        <v>10</v>
      </c>
      <c r="D9" s="2" t="s">
        <v>19</v>
      </c>
      <c r="E9" s="2">
        <v>35.33</v>
      </c>
      <c r="F9" s="2">
        <v>35.33</v>
      </c>
      <c r="G9" s="2"/>
      <c r="H9" s="2"/>
      <c r="I9" s="2" t="b">
        <f t="shared" si="0"/>
        <v>1</v>
      </c>
      <c r="J9" s="2"/>
      <c r="K9" s="2"/>
      <c r="L9" s="2"/>
      <c r="M9" s="2"/>
      <c r="N9" s="2"/>
      <c r="O9" s="2"/>
      <c r="P9" s="2"/>
      <c r="Q9" s="2"/>
      <c r="R9" s="2"/>
      <c r="S9" s="2"/>
      <c r="T9" s="2"/>
      <c r="U9" s="2"/>
      <c r="V9" s="2"/>
      <c r="W9" s="2"/>
    </row>
    <row r="10" spans="1:23" ht="75" customHeight="1" x14ac:dyDescent="0.15">
      <c r="A10" s="2">
        <v>9</v>
      </c>
      <c r="B10" s="2" t="s">
        <v>9</v>
      </c>
      <c r="C10" s="2" t="s">
        <v>10</v>
      </c>
      <c r="D10" s="2" t="s">
        <v>20</v>
      </c>
      <c r="E10" s="2">
        <v>9.67</v>
      </c>
      <c r="F10" s="2">
        <v>9.67</v>
      </c>
      <c r="G10" s="2"/>
      <c r="H10" s="2"/>
      <c r="I10" s="2" t="b">
        <f t="shared" si="0"/>
        <v>1</v>
      </c>
      <c r="J10" s="2"/>
      <c r="K10" s="2"/>
      <c r="L10" s="2"/>
      <c r="M10" s="2"/>
      <c r="N10" s="2"/>
      <c r="O10" s="2"/>
      <c r="P10" s="2"/>
      <c r="Q10" s="2"/>
      <c r="R10" s="2"/>
      <c r="S10" s="2"/>
      <c r="T10" s="2"/>
      <c r="U10" s="2"/>
      <c r="V10" s="2"/>
      <c r="W10" s="2"/>
    </row>
    <row r="11" spans="1:23" ht="75" customHeight="1" x14ac:dyDescent="0.15">
      <c r="A11" s="2">
        <v>10</v>
      </c>
      <c r="B11" s="2" t="s">
        <v>9</v>
      </c>
      <c r="C11" s="2" t="s">
        <v>10</v>
      </c>
      <c r="D11" s="2" t="s">
        <v>21</v>
      </c>
      <c r="E11" s="2">
        <v>63.9</v>
      </c>
      <c r="F11" s="2">
        <v>63.9</v>
      </c>
      <c r="G11" s="2"/>
      <c r="H11" s="2"/>
      <c r="I11" s="2" t="b">
        <f t="shared" si="0"/>
        <v>1</v>
      </c>
      <c r="J11" s="2"/>
      <c r="K11" s="2"/>
      <c r="L11" s="2"/>
      <c r="M11" s="2"/>
      <c r="N11" s="2"/>
      <c r="O11" s="2"/>
      <c r="P11" s="2"/>
      <c r="Q11" s="2"/>
      <c r="R11" s="2"/>
      <c r="S11" s="2"/>
      <c r="T11" s="2"/>
      <c r="U11" s="2"/>
      <c r="V11" s="2"/>
      <c r="W11" s="2"/>
    </row>
    <row r="12" spans="1:23" ht="75" customHeight="1" x14ac:dyDescent="0.15">
      <c r="A12" s="2">
        <v>11</v>
      </c>
      <c r="B12" s="2" t="s">
        <v>9</v>
      </c>
      <c r="C12" s="2" t="s">
        <v>10</v>
      </c>
      <c r="D12" s="2" t="s">
        <v>22</v>
      </c>
      <c r="E12" s="2">
        <v>12.95</v>
      </c>
      <c r="F12" s="2">
        <v>12.95</v>
      </c>
      <c r="G12" s="2"/>
      <c r="H12" s="2"/>
      <c r="I12" s="2" t="b">
        <f t="shared" si="0"/>
        <v>1</v>
      </c>
      <c r="J12" s="2"/>
      <c r="K12" s="2"/>
      <c r="L12" s="2"/>
      <c r="M12" s="2"/>
      <c r="N12" s="2"/>
      <c r="O12" s="2"/>
      <c r="P12" s="2"/>
      <c r="Q12" s="2"/>
      <c r="R12" s="2"/>
      <c r="S12" s="2"/>
      <c r="T12" s="2"/>
      <c r="U12" s="2"/>
      <c r="V12" s="2"/>
      <c r="W12" s="2"/>
    </row>
    <row r="13" spans="1:23" ht="75" customHeight="1" x14ac:dyDescent="0.15">
      <c r="A13" s="2">
        <v>12</v>
      </c>
      <c r="B13" s="2" t="s">
        <v>9</v>
      </c>
      <c r="C13" s="2" t="s">
        <v>10</v>
      </c>
      <c r="D13" s="2" t="s">
        <v>23</v>
      </c>
      <c r="E13" s="2">
        <v>64.81</v>
      </c>
      <c r="F13" s="2">
        <v>64.81</v>
      </c>
      <c r="G13" s="2"/>
      <c r="H13" s="2"/>
      <c r="I13" s="2" t="b">
        <f t="shared" si="0"/>
        <v>1</v>
      </c>
      <c r="J13" s="2"/>
      <c r="K13" s="2"/>
      <c r="L13" s="2"/>
      <c r="M13" s="2"/>
      <c r="N13" s="2"/>
      <c r="O13" s="2"/>
      <c r="P13" s="2"/>
      <c r="Q13" s="2"/>
      <c r="R13" s="2"/>
      <c r="S13" s="2"/>
      <c r="T13" s="2"/>
      <c r="U13" s="2"/>
      <c r="V13" s="2"/>
      <c r="W13" s="2"/>
    </row>
    <row r="14" spans="1:23" ht="75" customHeight="1" x14ac:dyDescent="0.15">
      <c r="A14" s="2">
        <v>13</v>
      </c>
      <c r="B14" s="2" t="s">
        <v>9</v>
      </c>
      <c r="C14" s="2" t="s">
        <v>10</v>
      </c>
      <c r="D14" s="2" t="s">
        <v>24</v>
      </c>
      <c r="E14" s="2">
        <v>43.24</v>
      </c>
      <c r="F14" s="2">
        <v>43.24</v>
      </c>
      <c r="G14" s="2"/>
      <c r="H14" s="2"/>
      <c r="I14" s="2" t="b">
        <f t="shared" si="0"/>
        <v>1</v>
      </c>
      <c r="J14" s="2"/>
      <c r="K14" s="2"/>
      <c r="L14" s="2"/>
      <c r="M14" s="2"/>
      <c r="N14" s="2"/>
      <c r="O14" s="2"/>
      <c r="P14" s="2"/>
      <c r="Q14" s="2"/>
      <c r="R14" s="2"/>
      <c r="S14" s="2"/>
      <c r="T14" s="2"/>
      <c r="U14" s="2"/>
      <c r="V14" s="2"/>
      <c r="W14" s="2"/>
    </row>
    <row r="15" spans="1:23" ht="75" customHeight="1" x14ac:dyDescent="0.15">
      <c r="A15" s="2">
        <v>14</v>
      </c>
      <c r="B15" s="2" t="s">
        <v>9</v>
      </c>
      <c r="C15" s="2" t="s">
        <v>10</v>
      </c>
      <c r="D15" s="2" t="s">
        <v>25</v>
      </c>
      <c r="E15" s="2">
        <v>21.94</v>
      </c>
      <c r="F15" s="2">
        <v>21.94</v>
      </c>
      <c r="G15" s="2"/>
      <c r="H15" s="2"/>
      <c r="I15" s="2" t="b">
        <f t="shared" si="0"/>
        <v>1</v>
      </c>
      <c r="J15" s="2"/>
      <c r="K15" s="2"/>
      <c r="L15" s="2"/>
      <c r="M15" s="2"/>
      <c r="N15" s="2"/>
      <c r="O15" s="2"/>
      <c r="P15" s="2"/>
      <c r="Q15" s="2"/>
      <c r="R15" s="2"/>
      <c r="S15" s="2"/>
      <c r="T15" s="2"/>
      <c r="U15" s="2"/>
      <c r="V15" s="2"/>
      <c r="W15" s="2"/>
    </row>
    <row r="16" spans="1:23" ht="75" customHeight="1" x14ac:dyDescent="0.15">
      <c r="A16" s="2">
        <v>16</v>
      </c>
      <c r="B16" s="2" t="s">
        <v>9</v>
      </c>
      <c r="C16" s="2" t="s">
        <v>10</v>
      </c>
      <c r="D16" s="2" t="s">
        <v>26</v>
      </c>
      <c r="E16" s="2">
        <v>52.67</v>
      </c>
      <c r="F16" s="2">
        <v>52.67</v>
      </c>
      <c r="G16" s="2"/>
      <c r="H16" s="2"/>
      <c r="I16" s="2" t="b">
        <f t="shared" si="0"/>
        <v>1</v>
      </c>
      <c r="J16" s="2"/>
      <c r="K16" s="2"/>
      <c r="L16" s="2"/>
      <c r="M16" s="2"/>
      <c r="N16" s="2"/>
      <c r="O16" s="2"/>
      <c r="P16" s="2"/>
      <c r="Q16" s="2"/>
      <c r="R16" s="2"/>
      <c r="S16" s="2"/>
      <c r="T16" s="2"/>
      <c r="U16" s="2"/>
      <c r="V16" s="2"/>
      <c r="W16" s="2"/>
    </row>
    <row r="17" spans="1:23" ht="75" customHeight="1" x14ac:dyDescent="0.15">
      <c r="A17" s="2">
        <v>17</v>
      </c>
      <c r="B17" s="2" t="s">
        <v>9</v>
      </c>
      <c r="C17" s="2" t="s">
        <v>10</v>
      </c>
      <c r="D17" s="2" t="s">
        <v>27</v>
      </c>
      <c r="E17" s="2">
        <v>73.150000000000006</v>
      </c>
      <c r="F17" s="2">
        <v>73.150000000000006</v>
      </c>
      <c r="G17" s="2"/>
      <c r="H17" s="2"/>
      <c r="I17" s="2" t="b">
        <f t="shared" si="0"/>
        <v>1</v>
      </c>
      <c r="J17" s="2"/>
      <c r="K17" s="2"/>
      <c r="L17" s="2"/>
      <c r="M17" s="2"/>
      <c r="N17" s="2"/>
      <c r="O17" s="2"/>
      <c r="P17" s="2"/>
      <c r="Q17" s="2"/>
      <c r="R17" s="2"/>
      <c r="S17" s="2"/>
      <c r="T17" s="2"/>
      <c r="U17" s="2"/>
      <c r="V17" s="2"/>
      <c r="W17" s="2"/>
    </row>
    <row r="18" spans="1:23" ht="75" customHeight="1" x14ac:dyDescent="0.15">
      <c r="A18" s="2">
        <v>18</v>
      </c>
      <c r="B18" s="2" t="s">
        <v>9</v>
      </c>
      <c r="C18" s="2" t="s">
        <v>10</v>
      </c>
      <c r="D18" s="2" t="s">
        <v>28</v>
      </c>
      <c r="E18" s="2">
        <v>6.07</v>
      </c>
      <c r="F18" s="2">
        <v>6.07</v>
      </c>
      <c r="G18" s="2"/>
      <c r="H18" s="2"/>
      <c r="I18" s="2" t="b">
        <f t="shared" si="0"/>
        <v>1</v>
      </c>
      <c r="J18" s="2"/>
      <c r="K18" s="2"/>
      <c r="L18" s="2"/>
      <c r="M18" s="2"/>
      <c r="N18" s="2"/>
      <c r="O18" s="2"/>
      <c r="P18" s="2"/>
      <c r="Q18" s="2"/>
      <c r="R18" s="2"/>
      <c r="S18" s="2"/>
      <c r="T18" s="2"/>
      <c r="U18" s="2"/>
      <c r="V18" s="2"/>
      <c r="W18" s="2"/>
    </row>
    <row r="19" spans="1:23" ht="75" customHeight="1" x14ac:dyDescent="0.15">
      <c r="A19" s="2">
        <v>19</v>
      </c>
      <c r="B19" s="2" t="s">
        <v>9</v>
      </c>
      <c r="C19" s="2" t="s">
        <v>10</v>
      </c>
      <c r="D19" s="2" t="s">
        <v>29</v>
      </c>
      <c r="E19" s="2">
        <v>40.96</v>
      </c>
      <c r="F19" s="2">
        <v>40.96</v>
      </c>
      <c r="G19" s="2"/>
      <c r="H19" s="2"/>
      <c r="I19" s="2" t="b">
        <f t="shared" si="0"/>
        <v>1</v>
      </c>
      <c r="J19" s="2"/>
      <c r="K19" s="2"/>
      <c r="L19" s="2"/>
      <c r="M19" s="2"/>
      <c r="N19" s="2"/>
      <c r="O19" s="2"/>
      <c r="P19" s="2"/>
      <c r="Q19" s="2"/>
      <c r="R19" s="2"/>
      <c r="S19" s="2"/>
      <c r="T19" s="2"/>
      <c r="U19" s="2"/>
      <c r="V19" s="2"/>
      <c r="W19" s="2"/>
    </row>
    <row r="20" spans="1:23" ht="75" customHeight="1" x14ac:dyDescent="0.15">
      <c r="A20" s="2">
        <v>20</v>
      </c>
      <c r="B20" s="2" t="s">
        <v>9</v>
      </c>
      <c r="C20" s="2" t="s">
        <v>10</v>
      </c>
      <c r="D20" s="2" t="s">
        <v>30</v>
      </c>
      <c r="E20" s="2">
        <v>63.27</v>
      </c>
      <c r="F20" s="2">
        <v>63.27</v>
      </c>
      <c r="G20" s="2"/>
      <c r="H20" s="2"/>
      <c r="I20" s="2" t="b">
        <f t="shared" si="0"/>
        <v>1</v>
      </c>
      <c r="J20" s="2"/>
      <c r="K20" s="2"/>
      <c r="L20" s="2"/>
      <c r="M20" s="2"/>
      <c r="N20" s="2"/>
      <c r="O20" s="2"/>
      <c r="P20" s="2"/>
      <c r="Q20" s="2"/>
      <c r="R20" s="2"/>
      <c r="S20" s="2"/>
      <c r="T20" s="2"/>
      <c r="U20" s="2"/>
      <c r="V20" s="2"/>
      <c r="W20" s="2"/>
    </row>
    <row r="21" spans="1:23" ht="75" customHeight="1" x14ac:dyDescent="0.15">
      <c r="A21" s="2">
        <v>21</v>
      </c>
      <c r="B21" s="2" t="s">
        <v>31</v>
      </c>
      <c r="C21" s="2" t="s">
        <v>32</v>
      </c>
      <c r="D21" s="2" t="s">
        <v>33</v>
      </c>
      <c r="E21" s="2">
        <v>129.30000000000001</v>
      </c>
      <c r="F21" s="2">
        <v>129.30000000000001</v>
      </c>
      <c r="G21" s="2"/>
      <c r="H21" s="2"/>
      <c r="I21" s="2" t="b">
        <f t="shared" si="0"/>
        <v>1</v>
      </c>
      <c r="J21" s="2"/>
      <c r="K21" s="2"/>
      <c r="L21" s="2"/>
      <c r="M21" s="2"/>
      <c r="N21" s="2"/>
      <c r="O21" s="2"/>
      <c r="P21" s="2"/>
      <c r="Q21" s="2"/>
      <c r="R21" s="2"/>
      <c r="S21" s="2"/>
      <c r="T21" s="2"/>
      <c r="U21" s="2"/>
      <c r="V21" s="2"/>
      <c r="W21" s="2"/>
    </row>
    <row r="22" spans="1:23" ht="75" customHeight="1" x14ac:dyDescent="0.15">
      <c r="A22" s="2">
        <v>23</v>
      </c>
      <c r="B22" s="2" t="s">
        <v>31</v>
      </c>
      <c r="C22" s="2" t="s">
        <v>32</v>
      </c>
      <c r="D22" s="2" t="s">
        <v>34</v>
      </c>
      <c r="E22" s="2">
        <v>88.5</v>
      </c>
      <c r="F22" s="2">
        <v>88.5</v>
      </c>
      <c r="G22" s="2"/>
      <c r="H22" s="2"/>
      <c r="I22" s="2" t="b">
        <f t="shared" si="0"/>
        <v>1</v>
      </c>
      <c r="J22" s="2"/>
      <c r="K22" s="2"/>
      <c r="L22" s="2"/>
      <c r="M22" s="2"/>
      <c r="N22" s="2"/>
      <c r="O22" s="2"/>
      <c r="P22" s="2"/>
      <c r="Q22" s="2"/>
      <c r="R22" s="2"/>
      <c r="S22" s="2"/>
      <c r="T22" s="2"/>
      <c r="U22" s="2"/>
      <c r="V22" s="2"/>
      <c r="W22" s="2"/>
    </row>
    <row r="23" spans="1:23" ht="75" customHeight="1" x14ac:dyDescent="0.15">
      <c r="A23" s="2">
        <v>24</v>
      </c>
      <c r="B23" s="2" t="s">
        <v>31</v>
      </c>
      <c r="C23" s="2" t="s">
        <v>32</v>
      </c>
      <c r="D23" s="2" t="s">
        <v>35</v>
      </c>
      <c r="E23" s="2">
        <v>88.2</v>
      </c>
      <c r="F23" s="2">
        <v>88.2</v>
      </c>
      <c r="G23" s="2"/>
      <c r="H23" s="2"/>
      <c r="I23" s="2" t="b">
        <f t="shared" si="0"/>
        <v>1</v>
      </c>
      <c r="J23" s="2"/>
      <c r="K23" s="2"/>
      <c r="L23" s="2"/>
      <c r="M23" s="2"/>
      <c r="N23" s="2"/>
      <c r="O23" s="2"/>
      <c r="P23" s="2"/>
      <c r="Q23" s="2"/>
      <c r="R23" s="2"/>
      <c r="S23" s="2"/>
      <c r="T23" s="2"/>
      <c r="U23" s="2"/>
      <c r="V23" s="2"/>
      <c r="W23" s="2"/>
    </row>
    <row r="24" spans="1:23" ht="75" customHeight="1" x14ac:dyDescent="0.15">
      <c r="A24" s="2">
        <v>25</v>
      </c>
      <c r="B24" s="2" t="s">
        <v>31</v>
      </c>
      <c r="C24" s="2" t="s">
        <v>32</v>
      </c>
      <c r="D24" s="2" t="s">
        <v>36</v>
      </c>
      <c r="E24" s="2">
        <v>87.23</v>
      </c>
      <c r="F24" s="2">
        <v>87.23</v>
      </c>
      <c r="G24" s="2"/>
      <c r="H24" s="2"/>
      <c r="I24" s="2" t="b">
        <f t="shared" si="0"/>
        <v>1</v>
      </c>
      <c r="J24" s="2"/>
      <c r="K24" s="2"/>
      <c r="L24" s="2"/>
      <c r="M24" s="2"/>
      <c r="N24" s="2"/>
      <c r="O24" s="2"/>
      <c r="P24" s="2"/>
      <c r="Q24" s="2"/>
      <c r="R24" s="2"/>
      <c r="S24" s="2"/>
      <c r="T24" s="2"/>
      <c r="U24" s="2"/>
      <c r="V24" s="2"/>
      <c r="W24" s="2"/>
    </row>
    <row r="25" spans="1:23" ht="75" customHeight="1" x14ac:dyDescent="0.15">
      <c r="A25" s="2">
        <v>26</v>
      </c>
      <c r="B25" s="2" t="s">
        <v>31</v>
      </c>
      <c r="C25" s="2" t="s">
        <v>32</v>
      </c>
      <c r="D25" s="2" t="s">
        <v>37</v>
      </c>
      <c r="E25" s="2">
        <v>83.72</v>
      </c>
      <c r="F25" s="2">
        <v>83.72</v>
      </c>
      <c r="G25" s="2"/>
      <c r="H25" s="2"/>
      <c r="I25" s="2" t="b">
        <f t="shared" si="0"/>
        <v>1</v>
      </c>
      <c r="J25" s="2"/>
      <c r="K25" s="2"/>
      <c r="L25" s="2"/>
      <c r="M25" s="2"/>
      <c r="N25" s="2"/>
      <c r="O25" s="2"/>
      <c r="P25" s="2"/>
      <c r="Q25" s="2"/>
      <c r="R25" s="2"/>
      <c r="S25" s="2"/>
      <c r="T25" s="2"/>
      <c r="U25" s="2"/>
      <c r="V25" s="2"/>
      <c r="W25" s="2"/>
    </row>
    <row r="26" spans="1:23" ht="75" customHeight="1" x14ac:dyDescent="0.15">
      <c r="A26" s="2">
        <v>27</v>
      </c>
      <c r="B26" s="2" t="s">
        <v>31</v>
      </c>
      <c r="C26" s="2" t="s">
        <v>32</v>
      </c>
      <c r="D26" s="2" t="s">
        <v>38</v>
      </c>
      <c r="E26" s="2">
        <v>39.64</v>
      </c>
      <c r="F26" s="2">
        <v>39.64</v>
      </c>
      <c r="G26" s="2"/>
      <c r="H26" s="2"/>
      <c r="I26" s="2" t="b">
        <f t="shared" si="0"/>
        <v>1</v>
      </c>
      <c r="J26" s="2"/>
      <c r="K26" s="2"/>
      <c r="L26" s="2"/>
      <c r="M26" s="2"/>
      <c r="N26" s="2"/>
      <c r="O26" s="2"/>
      <c r="P26" s="2"/>
      <c r="Q26" s="2"/>
      <c r="R26" s="2"/>
      <c r="S26" s="2"/>
      <c r="T26" s="2"/>
      <c r="U26" s="2"/>
      <c r="V26" s="2"/>
      <c r="W26" s="2"/>
    </row>
    <row r="27" spans="1:23" ht="75" customHeight="1" x14ac:dyDescent="0.15">
      <c r="A27" s="2">
        <v>28</v>
      </c>
      <c r="B27" s="2" t="s">
        <v>31</v>
      </c>
      <c r="C27" s="2" t="s">
        <v>32</v>
      </c>
      <c r="D27" s="2" t="s">
        <v>39</v>
      </c>
      <c r="E27" s="2">
        <v>41.37</v>
      </c>
      <c r="F27" s="2">
        <v>41.37</v>
      </c>
      <c r="G27" s="2"/>
      <c r="H27" s="2"/>
      <c r="I27" s="2" t="b">
        <f t="shared" si="0"/>
        <v>1</v>
      </c>
      <c r="J27" s="2"/>
      <c r="K27" s="2"/>
      <c r="L27" s="2"/>
      <c r="M27" s="2"/>
      <c r="N27" s="2"/>
      <c r="O27" s="2"/>
      <c r="P27" s="2"/>
      <c r="Q27" s="2"/>
      <c r="R27" s="2"/>
      <c r="S27" s="2"/>
      <c r="T27" s="2"/>
      <c r="U27" s="2"/>
      <c r="V27" s="2"/>
      <c r="W27" s="2"/>
    </row>
    <row r="28" spans="1:23" ht="75" customHeight="1" x14ac:dyDescent="0.15">
      <c r="A28" s="2">
        <v>30</v>
      </c>
      <c r="B28" s="2" t="s">
        <v>31</v>
      </c>
      <c r="C28" s="2" t="s">
        <v>32</v>
      </c>
      <c r="D28" s="2" t="s">
        <v>40</v>
      </c>
      <c r="E28" s="2">
        <v>8.4700000000000006</v>
      </c>
      <c r="F28" s="2">
        <v>8.4700000000000006</v>
      </c>
      <c r="G28" s="2"/>
      <c r="H28" s="2"/>
      <c r="I28" s="2" t="b">
        <f t="shared" si="0"/>
        <v>1</v>
      </c>
      <c r="J28" s="2"/>
      <c r="K28" s="2"/>
      <c r="L28" s="2"/>
      <c r="M28" s="2"/>
      <c r="N28" s="2"/>
      <c r="O28" s="2"/>
      <c r="P28" s="2"/>
      <c r="Q28" s="2"/>
      <c r="R28" s="2"/>
      <c r="S28" s="2"/>
      <c r="T28" s="2"/>
      <c r="U28" s="2"/>
      <c r="V28" s="2"/>
      <c r="W28" s="2"/>
    </row>
    <row r="29" spans="1:23" ht="75" customHeight="1" x14ac:dyDescent="0.15">
      <c r="A29" s="2">
        <v>31</v>
      </c>
      <c r="B29" s="2" t="s">
        <v>31</v>
      </c>
      <c r="C29" s="2" t="s">
        <v>32</v>
      </c>
      <c r="D29" s="2" t="s">
        <v>41</v>
      </c>
      <c r="E29" s="2">
        <v>71.37</v>
      </c>
      <c r="F29" s="2">
        <v>71.37</v>
      </c>
      <c r="G29" s="2"/>
      <c r="H29" s="2"/>
      <c r="I29" s="2" t="b">
        <f t="shared" si="0"/>
        <v>1</v>
      </c>
      <c r="J29" s="2"/>
      <c r="K29" s="2"/>
      <c r="L29" s="2"/>
      <c r="M29" s="2"/>
      <c r="N29" s="2"/>
      <c r="O29" s="2"/>
      <c r="P29" s="2"/>
      <c r="Q29" s="2"/>
      <c r="R29" s="2"/>
      <c r="S29" s="2"/>
      <c r="T29" s="2"/>
      <c r="U29" s="2"/>
      <c r="V29" s="2"/>
      <c r="W29" s="2"/>
    </row>
    <row r="30" spans="1:23" ht="75" customHeight="1" x14ac:dyDescent="0.15">
      <c r="A30" s="2">
        <v>32</v>
      </c>
      <c r="B30" s="2" t="s">
        <v>31</v>
      </c>
      <c r="C30" s="2" t="s">
        <v>32</v>
      </c>
      <c r="D30" s="2" t="s">
        <v>42</v>
      </c>
      <c r="E30" s="2">
        <v>5.37</v>
      </c>
      <c r="F30" s="2">
        <v>5.37</v>
      </c>
      <c r="G30" s="2"/>
      <c r="H30" s="2"/>
      <c r="I30" s="2" t="b">
        <f t="shared" si="0"/>
        <v>1</v>
      </c>
      <c r="J30" s="2"/>
      <c r="K30" s="2"/>
      <c r="L30" s="2"/>
      <c r="M30" s="2"/>
      <c r="N30" s="2"/>
      <c r="O30" s="2"/>
      <c r="P30" s="2"/>
      <c r="Q30" s="2"/>
      <c r="R30" s="2"/>
      <c r="S30" s="2"/>
      <c r="T30" s="2"/>
      <c r="U30" s="2"/>
      <c r="V30" s="2"/>
      <c r="W30" s="2"/>
    </row>
    <row r="31" spans="1:23" ht="75" customHeight="1" x14ac:dyDescent="0.15">
      <c r="A31" s="2">
        <v>33</v>
      </c>
      <c r="B31" s="2" t="s">
        <v>31</v>
      </c>
      <c r="C31" s="2" t="s">
        <v>32</v>
      </c>
      <c r="D31" s="2" t="s">
        <v>43</v>
      </c>
      <c r="E31" s="2">
        <v>55.78</v>
      </c>
      <c r="F31" s="2">
        <v>55.78</v>
      </c>
      <c r="G31" s="2"/>
      <c r="H31" s="2"/>
      <c r="I31" s="2" t="b">
        <f t="shared" si="0"/>
        <v>1</v>
      </c>
      <c r="J31" s="2"/>
      <c r="K31" s="2"/>
      <c r="L31" s="2"/>
      <c r="M31" s="2"/>
      <c r="N31" s="2"/>
      <c r="O31" s="2"/>
      <c r="P31" s="2"/>
      <c r="Q31" s="2"/>
      <c r="R31" s="2"/>
      <c r="S31" s="2"/>
      <c r="T31" s="2"/>
      <c r="U31" s="2"/>
      <c r="V31" s="2"/>
      <c r="W31" s="2"/>
    </row>
    <row r="32" spans="1:23" ht="75" customHeight="1" x14ac:dyDescent="0.15">
      <c r="A32" s="2">
        <v>34</v>
      </c>
      <c r="B32" s="2" t="s">
        <v>31</v>
      </c>
      <c r="C32" s="2" t="s">
        <v>32</v>
      </c>
      <c r="D32" s="2" t="s">
        <v>44</v>
      </c>
      <c r="E32" s="2">
        <v>22.44</v>
      </c>
      <c r="F32" s="2">
        <v>22.44</v>
      </c>
      <c r="G32" s="2"/>
      <c r="H32" s="2"/>
      <c r="I32" s="2" t="b">
        <f t="shared" si="0"/>
        <v>1</v>
      </c>
      <c r="J32" s="2"/>
      <c r="K32" s="2"/>
      <c r="L32" s="2"/>
      <c r="M32" s="2"/>
      <c r="N32" s="2"/>
      <c r="O32" s="2"/>
      <c r="P32" s="2"/>
      <c r="Q32" s="2"/>
      <c r="R32" s="2"/>
      <c r="S32" s="2"/>
      <c r="T32" s="2"/>
      <c r="U32" s="2"/>
      <c r="V32" s="2"/>
      <c r="W32" s="2"/>
    </row>
    <row r="33" spans="1:23" ht="75" customHeight="1" x14ac:dyDescent="0.15">
      <c r="A33" s="2">
        <v>35</v>
      </c>
      <c r="B33" s="2" t="s">
        <v>31</v>
      </c>
      <c r="C33" s="2" t="s">
        <v>32</v>
      </c>
      <c r="D33" s="2" t="s">
        <v>45</v>
      </c>
      <c r="E33" s="2">
        <v>68.040000000000006</v>
      </c>
      <c r="F33" s="2">
        <v>68.040000000000006</v>
      </c>
      <c r="G33" s="2"/>
      <c r="H33" s="2"/>
      <c r="I33" s="2" t="b">
        <f t="shared" si="0"/>
        <v>1</v>
      </c>
      <c r="J33" s="2"/>
      <c r="K33" s="2"/>
      <c r="L33" s="2"/>
      <c r="M33" s="2"/>
      <c r="N33" s="2"/>
      <c r="O33" s="2"/>
      <c r="P33" s="2"/>
      <c r="Q33" s="2"/>
      <c r="R33" s="2"/>
      <c r="S33" s="2"/>
      <c r="T33" s="2"/>
      <c r="U33" s="2"/>
      <c r="V33" s="2"/>
      <c r="W33" s="2"/>
    </row>
    <row r="34" spans="1:23" ht="75" customHeight="1" x14ac:dyDescent="0.15">
      <c r="A34" s="2">
        <v>36</v>
      </c>
      <c r="B34" s="2" t="s">
        <v>31</v>
      </c>
      <c r="C34" s="2" t="s">
        <v>32</v>
      </c>
      <c r="D34" s="2" t="s">
        <v>46</v>
      </c>
      <c r="E34" s="2">
        <v>49.15</v>
      </c>
      <c r="F34" s="2">
        <v>49.15</v>
      </c>
      <c r="G34" s="2"/>
      <c r="H34" s="2"/>
      <c r="I34" s="2" t="b">
        <f t="shared" si="0"/>
        <v>1</v>
      </c>
      <c r="J34" s="2"/>
      <c r="K34" s="2"/>
      <c r="L34" s="2"/>
      <c r="M34" s="2"/>
      <c r="N34" s="2"/>
      <c r="O34" s="2"/>
      <c r="P34" s="2"/>
      <c r="Q34" s="2"/>
      <c r="R34" s="2"/>
      <c r="S34" s="2"/>
      <c r="T34" s="2"/>
      <c r="U34" s="2"/>
      <c r="V34" s="2"/>
      <c r="W34" s="2"/>
    </row>
    <row r="35" spans="1:23" ht="75" customHeight="1" x14ac:dyDescent="0.15">
      <c r="A35" s="2">
        <v>37</v>
      </c>
      <c r="B35" s="2" t="s">
        <v>31</v>
      </c>
      <c r="C35" s="2" t="s">
        <v>32</v>
      </c>
      <c r="D35" s="2" t="s">
        <v>47</v>
      </c>
      <c r="E35" s="2">
        <v>43.99</v>
      </c>
      <c r="F35" s="2">
        <v>43.99</v>
      </c>
      <c r="G35" s="2"/>
      <c r="H35" s="2"/>
      <c r="I35" s="2" t="b">
        <f t="shared" si="0"/>
        <v>1</v>
      </c>
      <c r="J35" s="2"/>
      <c r="K35" s="2"/>
      <c r="L35" s="2"/>
      <c r="M35" s="2"/>
      <c r="N35" s="2"/>
      <c r="O35" s="2"/>
      <c r="P35" s="2"/>
      <c r="Q35" s="2"/>
      <c r="R35" s="2"/>
      <c r="S35" s="2"/>
      <c r="T35" s="2"/>
      <c r="U35" s="2"/>
      <c r="V35" s="2"/>
      <c r="W35" s="2"/>
    </row>
    <row r="36" spans="1:23" ht="75" customHeight="1" x14ac:dyDescent="0.15">
      <c r="A36" s="2">
        <v>38</v>
      </c>
      <c r="B36" s="2" t="s">
        <v>31</v>
      </c>
      <c r="C36" s="2" t="s">
        <v>32</v>
      </c>
      <c r="D36" s="2" t="s">
        <v>48</v>
      </c>
      <c r="E36" s="2">
        <v>28.21</v>
      </c>
      <c r="F36" s="2">
        <v>28.21</v>
      </c>
      <c r="G36" s="2"/>
      <c r="H36" s="2"/>
      <c r="I36" s="2" t="b">
        <f t="shared" si="0"/>
        <v>1</v>
      </c>
      <c r="J36" s="2"/>
      <c r="K36" s="2"/>
      <c r="L36" s="2"/>
      <c r="M36" s="2"/>
      <c r="N36" s="2"/>
      <c r="O36" s="2"/>
      <c r="P36" s="2"/>
      <c r="Q36" s="2"/>
      <c r="R36" s="2"/>
      <c r="S36" s="2"/>
      <c r="T36" s="2"/>
      <c r="U36" s="2"/>
      <c r="V36" s="2"/>
      <c r="W36" s="2"/>
    </row>
    <row r="37" spans="1:23" ht="75" customHeight="1" x14ac:dyDescent="0.15">
      <c r="A37" s="2">
        <v>40</v>
      </c>
      <c r="B37" s="2" t="s">
        <v>31</v>
      </c>
      <c r="C37" s="2" t="s">
        <v>32</v>
      </c>
      <c r="D37" s="2" t="s">
        <v>49</v>
      </c>
      <c r="E37" s="2">
        <v>40.43</v>
      </c>
      <c r="F37" s="2">
        <v>40.43</v>
      </c>
      <c r="G37" s="2"/>
      <c r="H37" s="2"/>
      <c r="I37" s="2" t="b">
        <f t="shared" si="0"/>
        <v>1</v>
      </c>
      <c r="J37" s="2"/>
      <c r="K37" s="2"/>
      <c r="L37" s="2"/>
      <c r="M37" s="2"/>
      <c r="N37" s="2"/>
      <c r="O37" s="2"/>
      <c r="P37" s="2"/>
      <c r="Q37" s="2"/>
      <c r="R37" s="2"/>
      <c r="S37" s="2"/>
      <c r="T37" s="2"/>
      <c r="U37" s="2"/>
      <c r="V37" s="2"/>
      <c r="W37" s="2"/>
    </row>
    <row r="38" spans="1:23" ht="75" customHeight="1" x14ac:dyDescent="0.15">
      <c r="A38" s="2">
        <v>41</v>
      </c>
      <c r="B38" s="2" t="s">
        <v>50</v>
      </c>
      <c r="C38" s="2" t="s">
        <v>51</v>
      </c>
      <c r="D38" s="2" t="s">
        <v>52</v>
      </c>
      <c r="E38" s="2">
        <v>4</v>
      </c>
      <c r="F38" s="2">
        <v>4</v>
      </c>
      <c r="G38" s="2"/>
      <c r="H38" s="2"/>
      <c r="I38" s="2" t="b">
        <f t="shared" si="0"/>
        <v>1</v>
      </c>
      <c r="J38" s="2"/>
      <c r="K38" s="2"/>
      <c r="L38" s="2"/>
      <c r="M38" s="2"/>
      <c r="N38" s="2"/>
      <c r="O38" s="2"/>
      <c r="P38" s="2"/>
      <c r="Q38" s="2"/>
      <c r="R38" s="2"/>
      <c r="S38" s="2"/>
      <c r="T38" s="2"/>
      <c r="U38" s="2"/>
      <c r="V38" s="2"/>
      <c r="W38" s="2"/>
    </row>
    <row r="39" spans="1:23" ht="75" customHeight="1" x14ac:dyDescent="0.15">
      <c r="A39" s="2">
        <v>42</v>
      </c>
      <c r="B39" s="2" t="s">
        <v>50</v>
      </c>
      <c r="C39" s="2" t="s">
        <v>51</v>
      </c>
      <c r="D39" s="2" t="s">
        <v>53</v>
      </c>
      <c r="E39" s="2">
        <v>5</v>
      </c>
      <c r="F39" s="2">
        <v>5</v>
      </c>
      <c r="G39" s="2"/>
      <c r="H39" s="2"/>
      <c r="I39" s="2" t="b">
        <f t="shared" si="0"/>
        <v>1</v>
      </c>
      <c r="J39" s="2"/>
      <c r="K39" s="2"/>
      <c r="L39" s="2"/>
      <c r="M39" s="2"/>
      <c r="N39" s="2"/>
      <c r="O39" s="2"/>
      <c r="P39" s="2"/>
      <c r="Q39" s="2"/>
      <c r="R39" s="2"/>
      <c r="S39" s="2"/>
      <c r="T39" s="2"/>
      <c r="U39" s="2"/>
      <c r="V39" s="2"/>
      <c r="W39" s="2"/>
    </row>
    <row r="40" spans="1:23" ht="75" customHeight="1" x14ac:dyDescent="0.15">
      <c r="A40" s="2">
        <v>43</v>
      </c>
      <c r="B40" s="2" t="s">
        <v>50</v>
      </c>
      <c r="C40" s="2" t="s">
        <v>51</v>
      </c>
      <c r="D40" s="2" t="s">
        <v>54</v>
      </c>
      <c r="E40" s="2">
        <v>8</v>
      </c>
      <c r="F40" s="2">
        <v>8</v>
      </c>
      <c r="G40" s="2"/>
      <c r="H40" s="2"/>
      <c r="I40" s="2" t="b">
        <f t="shared" si="0"/>
        <v>1</v>
      </c>
      <c r="J40" s="2"/>
      <c r="K40" s="2"/>
      <c r="L40" s="2"/>
      <c r="M40" s="2"/>
      <c r="N40" s="2"/>
      <c r="O40" s="2"/>
      <c r="P40" s="2"/>
      <c r="Q40" s="2"/>
      <c r="R40" s="2"/>
      <c r="S40" s="2"/>
      <c r="T40" s="2"/>
      <c r="U40" s="2"/>
      <c r="V40" s="2"/>
      <c r="W40" s="2"/>
    </row>
    <row r="41" spans="1:23" ht="75" customHeight="1" x14ac:dyDescent="0.15">
      <c r="A41" s="2">
        <v>44</v>
      </c>
      <c r="B41" s="2" t="s">
        <v>50</v>
      </c>
      <c r="C41" s="2" t="s">
        <v>51</v>
      </c>
      <c r="D41" s="2" t="s">
        <v>55</v>
      </c>
      <c r="E41" s="2">
        <v>4</v>
      </c>
      <c r="F41" s="2">
        <v>4</v>
      </c>
      <c r="G41" s="2"/>
      <c r="H41" s="2"/>
      <c r="I41" s="2" t="b">
        <f t="shared" si="0"/>
        <v>1</v>
      </c>
      <c r="J41" s="2"/>
      <c r="K41" s="2"/>
      <c r="L41" s="2"/>
      <c r="M41" s="2"/>
      <c r="N41" s="2"/>
      <c r="O41" s="2"/>
      <c r="P41" s="2"/>
      <c r="Q41" s="2"/>
      <c r="R41" s="2"/>
      <c r="S41" s="2"/>
      <c r="T41" s="2"/>
      <c r="U41" s="2"/>
      <c r="V41" s="2"/>
      <c r="W41" s="2"/>
    </row>
    <row r="42" spans="1:23" ht="75" customHeight="1" x14ac:dyDescent="0.15">
      <c r="A42" s="2">
        <v>45</v>
      </c>
      <c r="B42" s="2" t="s">
        <v>50</v>
      </c>
      <c r="C42" s="2" t="s">
        <v>51</v>
      </c>
      <c r="D42" s="2" t="s">
        <v>56</v>
      </c>
      <c r="E42" s="2">
        <v>5</v>
      </c>
      <c r="F42" s="2">
        <v>5</v>
      </c>
      <c r="G42" s="2"/>
      <c r="H42" s="2"/>
      <c r="I42" s="2" t="b">
        <f t="shared" si="0"/>
        <v>1</v>
      </c>
      <c r="J42" s="2"/>
      <c r="K42" s="2"/>
      <c r="L42" s="2"/>
      <c r="M42" s="2"/>
      <c r="N42" s="2"/>
      <c r="O42" s="2"/>
      <c r="P42" s="2"/>
      <c r="Q42" s="2"/>
      <c r="R42" s="2"/>
      <c r="S42" s="2"/>
      <c r="T42" s="2"/>
      <c r="U42" s="2"/>
      <c r="V42" s="2"/>
      <c r="W42" s="2"/>
    </row>
    <row r="43" spans="1:23" ht="75" customHeight="1" x14ac:dyDescent="0.15">
      <c r="A43" s="2">
        <v>46</v>
      </c>
      <c r="B43" s="2" t="s">
        <v>50</v>
      </c>
      <c r="C43" s="2" t="s">
        <v>51</v>
      </c>
      <c r="D43" s="2" t="s">
        <v>57</v>
      </c>
      <c r="E43" s="2">
        <v>4</v>
      </c>
      <c r="F43" s="2">
        <v>4</v>
      </c>
      <c r="G43" s="2"/>
      <c r="H43" s="2"/>
      <c r="I43" s="2" t="b">
        <f t="shared" si="0"/>
        <v>1</v>
      </c>
      <c r="J43" s="2"/>
      <c r="K43" s="2"/>
      <c r="L43" s="2"/>
      <c r="M43" s="2"/>
      <c r="N43" s="2"/>
      <c r="O43" s="2"/>
      <c r="P43" s="2"/>
      <c r="Q43" s="2"/>
      <c r="R43" s="2"/>
      <c r="S43" s="2"/>
      <c r="T43" s="2"/>
      <c r="U43" s="2"/>
      <c r="V43" s="2"/>
      <c r="W43" s="2"/>
    </row>
    <row r="44" spans="1:23" ht="75" customHeight="1" x14ac:dyDescent="0.15">
      <c r="A44" s="2">
        <v>47</v>
      </c>
      <c r="B44" s="2" t="s">
        <v>50</v>
      </c>
      <c r="C44" s="2" t="s">
        <v>51</v>
      </c>
      <c r="D44" s="2" t="s">
        <v>58</v>
      </c>
      <c r="E44" s="2">
        <v>1</v>
      </c>
      <c r="F44" s="2">
        <v>1</v>
      </c>
      <c r="G44" s="2"/>
      <c r="H44" s="2"/>
      <c r="I44" s="2" t="b">
        <f t="shared" si="0"/>
        <v>1</v>
      </c>
      <c r="J44" s="2"/>
      <c r="K44" s="2"/>
      <c r="L44" s="2"/>
      <c r="M44" s="2"/>
      <c r="N44" s="2"/>
      <c r="O44" s="2"/>
      <c r="P44" s="2"/>
      <c r="Q44" s="2"/>
      <c r="R44" s="2"/>
      <c r="S44" s="2"/>
      <c r="T44" s="2"/>
      <c r="U44" s="2"/>
      <c r="V44" s="2"/>
      <c r="W44" s="2"/>
    </row>
    <row r="45" spans="1:23" ht="75" customHeight="1" x14ac:dyDescent="0.15">
      <c r="A45" s="2">
        <v>48</v>
      </c>
      <c r="B45" s="2" t="s">
        <v>50</v>
      </c>
      <c r="C45" s="2" t="s">
        <v>51</v>
      </c>
      <c r="D45" s="2" t="s">
        <v>59</v>
      </c>
      <c r="E45" s="2">
        <v>4</v>
      </c>
      <c r="F45" s="2">
        <v>4</v>
      </c>
      <c r="G45" s="2"/>
      <c r="H45" s="2"/>
      <c r="I45" s="2" t="b">
        <f t="shared" si="0"/>
        <v>1</v>
      </c>
      <c r="J45" s="2"/>
      <c r="K45" s="2"/>
      <c r="L45" s="2"/>
      <c r="M45" s="2"/>
      <c r="N45" s="2"/>
      <c r="O45" s="2"/>
      <c r="P45" s="2"/>
      <c r="Q45" s="2"/>
      <c r="R45" s="2"/>
      <c r="S45" s="2"/>
      <c r="T45" s="2"/>
      <c r="U45" s="2"/>
      <c r="V45" s="2"/>
      <c r="W45" s="2"/>
    </row>
    <row r="46" spans="1:23" ht="75" customHeight="1" x14ac:dyDescent="0.15">
      <c r="A46" s="2">
        <v>49</v>
      </c>
      <c r="B46" s="2" t="s">
        <v>50</v>
      </c>
      <c r="C46" s="2" t="s">
        <v>51</v>
      </c>
      <c r="D46" s="2" t="s">
        <v>60</v>
      </c>
      <c r="E46" s="2">
        <v>7</v>
      </c>
      <c r="F46" s="2">
        <v>7</v>
      </c>
      <c r="G46" s="2"/>
      <c r="H46" s="2"/>
      <c r="I46" s="2" t="b">
        <f t="shared" si="0"/>
        <v>1</v>
      </c>
      <c r="J46" s="2"/>
      <c r="K46" s="2"/>
      <c r="L46" s="2"/>
      <c r="M46" s="2"/>
      <c r="N46" s="2"/>
      <c r="O46" s="2"/>
      <c r="P46" s="2"/>
      <c r="Q46" s="2"/>
      <c r="R46" s="2"/>
      <c r="S46" s="2"/>
      <c r="T46" s="2"/>
      <c r="U46" s="2"/>
      <c r="V46" s="2"/>
      <c r="W46" s="2"/>
    </row>
    <row r="47" spans="1:23" ht="75" customHeight="1" x14ac:dyDescent="0.15">
      <c r="A47" s="2">
        <v>50</v>
      </c>
      <c r="B47" s="2" t="s">
        <v>50</v>
      </c>
      <c r="C47" s="2" t="s">
        <v>51</v>
      </c>
      <c r="D47" s="2" t="s">
        <v>61</v>
      </c>
      <c r="E47" s="2">
        <v>0</v>
      </c>
      <c r="F47" s="2">
        <v>0</v>
      </c>
      <c r="G47" s="2"/>
      <c r="H47" s="2"/>
      <c r="I47" s="2" t="b">
        <f t="shared" si="0"/>
        <v>1</v>
      </c>
      <c r="J47" s="2"/>
      <c r="K47" s="2"/>
      <c r="L47" s="2"/>
      <c r="M47" s="2"/>
      <c r="N47" s="2"/>
      <c r="O47" s="2"/>
      <c r="P47" s="2"/>
      <c r="Q47" s="2"/>
      <c r="R47" s="2"/>
      <c r="S47" s="2"/>
      <c r="T47" s="2"/>
      <c r="U47" s="2"/>
      <c r="V47" s="2"/>
      <c r="W47" s="2"/>
    </row>
    <row r="48" spans="1:23" ht="75" customHeight="1" x14ac:dyDescent="0.15">
      <c r="A48" s="2">
        <v>51</v>
      </c>
      <c r="B48" s="2" t="s">
        <v>50</v>
      </c>
      <c r="C48" s="2" t="s">
        <v>51</v>
      </c>
      <c r="D48" s="2" t="s">
        <v>62</v>
      </c>
      <c r="E48" s="2">
        <v>3</v>
      </c>
      <c r="F48" s="2">
        <v>3</v>
      </c>
      <c r="G48" s="2"/>
      <c r="H48" s="2"/>
      <c r="I48" s="2" t="b">
        <f t="shared" si="0"/>
        <v>1</v>
      </c>
      <c r="J48" s="2"/>
      <c r="K48" s="2"/>
      <c r="L48" s="2"/>
      <c r="M48" s="2"/>
      <c r="N48" s="2"/>
      <c r="O48" s="2"/>
      <c r="P48" s="2"/>
      <c r="Q48" s="2"/>
      <c r="R48" s="2"/>
      <c r="S48" s="2"/>
      <c r="T48" s="2"/>
      <c r="U48" s="2"/>
      <c r="V48" s="2"/>
      <c r="W48" s="2"/>
    </row>
    <row r="49" spans="1:23" ht="75" customHeight="1" x14ac:dyDescent="0.15">
      <c r="A49" s="2">
        <v>52</v>
      </c>
      <c r="B49" s="2" t="s">
        <v>50</v>
      </c>
      <c r="C49" s="2" t="s">
        <v>51</v>
      </c>
      <c r="D49" s="2" t="s">
        <v>63</v>
      </c>
      <c r="E49" s="2">
        <v>2</v>
      </c>
      <c r="F49" s="2">
        <v>2</v>
      </c>
      <c r="G49" s="2"/>
      <c r="H49" s="2"/>
      <c r="I49" s="2" t="b">
        <f t="shared" si="0"/>
        <v>1</v>
      </c>
      <c r="J49" s="2"/>
      <c r="K49" s="2"/>
      <c r="L49" s="2"/>
      <c r="M49" s="2"/>
      <c r="N49" s="2"/>
      <c r="O49" s="2"/>
      <c r="P49" s="2"/>
      <c r="Q49" s="2"/>
      <c r="R49" s="2"/>
      <c r="S49" s="2"/>
      <c r="T49" s="2"/>
      <c r="U49" s="2"/>
      <c r="V49" s="2"/>
      <c r="W49" s="2"/>
    </row>
    <row r="50" spans="1:23" ht="75" customHeight="1" x14ac:dyDescent="0.15">
      <c r="A50" s="2">
        <v>53</v>
      </c>
      <c r="B50" s="2" t="s">
        <v>50</v>
      </c>
      <c r="C50" s="2" t="s">
        <v>51</v>
      </c>
      <c r="D50" s="2" t="s">
        <v>64</v>
      </c>
      <c r="E50" s="2">
        <v>5</v>
      </c>
      <c r="F50" s="2">
        <v>5</v>
      </c>
      <c r="G50" s="2"/>
      <c r="H50" s="2"/>
      <c r="I50" s="2" t="b">
        <f t="shared" si="0"/>
        <v>1</v>
      </c>
      <c r="J50" s="2"/>
      <c r="K50" s="2"/>
      <c r="L50" s="2"/>
      <c r="M50" s="2"/>
      <c r="N50" s="2"/>
      <c r="O50" s="2"/>
      <c r="P50" s="2"/>
      <c r="Q50" s="2"/>
      <c r="R50" s="2"/>
      <c r="S50" s="2"/>
      <c r="T50" s="2"/>
      <c r="U50" s="2"/>
      <c r="V50" s="2"/>
      <c r="W50" s="2"/>
    </row>
    <row r="51" spans="1:23" ht="75" customHeight="1" x14ac:dyDescent="0.15">
      <c r="A51" s="2">
        <v>56</v>
      </c>
      <c r="B51" s="2" t="s">
        <v>50</v>
      </c>
      <c r="C51" s="2" t="s">
        <v>51</v>
      </c>
      <c r="D51" s="2" t="s">
        <v>65</v>
      </c>
      <c r="E51" s="2">
        <v>1</v>
      </c>
      <c r="F51" s="2">
        <v>0</v>
      </c>
      <c r="G51" s="3">
        <v>0</v>
      </c>
      <c r="H51" s="3" t="s">
        <v>66</v>
      </c>
      <c r="I51" s="2" t="b">
        <f t="shared" si="0"/>
        <v>0</v>
      </c>
      <c r="J51" s="2"/>
      <c r="K51" s="2"/>
      <c r="L51" s="2"/>
      <c r="M51" s="2"/>
      <c r="N51" s="2"/>
      <c r="O51" s="2"/>
      <c r="P51" s="2"/>
      <c r="Q51" s="2"/>
      <c r="R51" s="2"/>
      <c r="S51" s="2"/>
      <c r="T51" s="2"/>
      <c r="U51" s="2"/>
      <c r="V51" s="2"/>
      <c r="W51" s="2"/>
    </row>
    <row r="52" spans="1:23" ht="75" customHeight="1" x14ac:dyDescent="0.15">
      <c r="A52" s="2">
        <v>57</v>
      </c>
      <c r="B52" s="2" t="s">
        <v>50</v>
      </c>
      <c r="C52" s="2" t="s">
        <v>51</v>
      </c>
      <c r="D52" s="2" t="s">
        <v>67</v>
      </c>
      <c r="E52" s="2">
        <v>3</v>
      </c>
      <c r="F52" s="2">
        <v>3</v>
      </c>
      <c r="G52" s="2"/>
      <c r="H52" s="2"/>
      <c r="I52" s="2" t="b">
        <f t="shared" si="0"/>
        <v>1</v>
      </c>
      <c r="J52" s="2"/>
      <c r="K52" s="2"/>
      <c r="L52" s="2"/>
      <c r="M52" s="2"/>
      <c r="N52" s="2"/>
      <c r="O52" s="2"/>
      <c r="P52" s="2"/>
      <c r="Q52" s="2"/>
      <c r="R52" s="2"/>
      <c r="S52" s="2"/>
      <c r="T52" s="2"/>
      <c r="U52" s="2"/>
      <c r="V52" s="2"/>
      <c r="W52" s="2"/>
    </row>
    <row r="53" spans="1:23" ht="75" customHeight="1" x14ac:dyDescent="0.15">
      <c r="A53" s="2">
        <v>58</v>
      </c>
      <c r="B53" s="2" t="s">
        <v>50</v>
      </c>
      <c r="C53" s="2" t="s">
        <v>51</v>
      </c>
      <c r="D53" s="2" t="s">
        <v>68</v>
      </c>
      <c r="E53" s="2">
        <v>6</v>
      </c>
      <c r="F53" s="2">
        <v>6</v>
      </c>
      <c r="G53" s="2"/>
      <c r="H53" s="2"/>
      <c r="I53" s="2" t="b">
        <f t="shared" si="0"/>
        <v>1</v>
      </c>
      <c r="J53" s="2"/>
      <c r="K53" s="2"/>
      <c r="L53" s="2"/>
      <c r="M53" s="2"/>
      <c r="N53" s="2"/>
      <c r="O53" s="2"/>
      <c r="P53" s="2"/>
      <c r="Q53" s="2"/>
      <c r="R53" s="2"/>
      <c r="S53" s="2"/>
      <c r="T53" s="2"/>
      <c r="U53" s="2"/>
      <c r="V53" s="2"/>
      <c r="W53" s="2"/>
    </row>
    <row r="54" spans="1:23" ht="75" customHeight="1" x14ac:dyDescent="0.15">
      <c r="A54" s="2">
        <v>59</v>
      </c>
      <c r="B54" s="2" t="s">
        <v>50</v>
      </c>
      <c r="C54" s="2" t="s">
        <v>51</v>
      </c>
      <c r="D54" s="2" t="s">
        <v>69</v>
      </c>
      <c r="E54" s="2">
        <v>4</v>
      </c>
      <c r="F54" s="2">
        <v>4</v>
      </c>
      <c r="G54" s="2"/>
      <c r="H54" s="2"/>
      <c r="I54" s="2" t="b">
        <f t="shared" si="0"/>
        <v>1</v>
      </c>
      <c r="J54" s="2"/>
      <c r="K54" s="2"/>
      <c r="L54" s="2"/>
      <c r="M54" s="2"/>
      <c r="N54" s="2"/>
      <c r="O54" s="2"/>
      <c r="P54" s="2"/>
      <c r="Q54" s="2"/>
      <c r="R54" s="2"/>
      <c r="S54" s="2"/>
      <c r="T54" s="2"/>
      <c r="U54" s="2"/>
      <c r="V54" s="2"/>
      <c r="W54" s="2"/>
    </row>
    <row r="55" spans="1:23" ht="75" customHeight="1" x14ac:dyDescent="0.15">
      <c r="A55" s="2">
        <v>60</v>
      </c>
      <c r="B55" s="2" t="s">
        <v>50</v>
      </c>
      <c r="C55" s="2" t="s">
        <v>51</v>
      </c>
      <c r="D55" s="2" t="s">
        <v>70</v>
      </c>
      <c r="E55" s="2">
        <v>6</v>
      </c>
      <c r="F55" s="2">
        <v>6</v>
      </c>
      <c r="G55" s="2"/>
      <c r="H55" s="2"/>
      <c r="I55" s="2" t="b">
        <f t="shared" si="0"/>
        <v>1</v>
      </c>
      <c r="J55" s="2"/>
      <c r="K55" s="2"/>
      <c r="L55" s="2"/>
      <c r="M55" s="2"/>
      <c r="N55" s="2"/>
      <c r="O55" s="2"/>
      <c r="P55" s="2"/>
      <c r="Q55" s="2"/>
      <c r="R55" s="2"/>
      <c r="S55" s="2"/>
      <c r="T55" s="2"/>
      <c r="U55" s="2"/>
      <c r="V55" s="2"/>
      <c r="W55" s="2"/>
    </row>
    <row r="56" spans="1:23" ht="75" customHeight="1" x14ac:dyDescent="0.15">
      <c r="A56" s="2">
        <v>61</v>
      </c>
      <c r="B56" s="2" t="s">
        <v>71</v>
      </c>
      <c r="C56" s="2" t="s">
        <v>72</v>
      </c>
      <c r="D56" s="2" t="s">
        <v>73</v>
      </c>
      <c r="E56" s="2">
        <v>100</v>
      </c>
      <c r="F56" s="2">
        <v>100</v>
      </c>
      <c r="G56" s="2"/>
      <c r="H56" s="2"/>
      <c r="I56" s="2" t="b">
        <f t="shared" si="0"/>
        <v>1</v>
      </c>
      <c r="J56" s="2"/>
      <c r="K56" s="2"/>
      <c r="L56" s="2"/>
      <c r="M56" s="2"/>
      <c r="N56" s="2"/>
      <c r="O56" s="2"/>
      <c r="P56" s="2"/>
      <c r="Q56" s="2"/>
      <c r="R56" s="2"/>
      <c r="S56" s="2"/>
      <c r="T56" s="2"/>
      <c r="U56" s="2"/>
      <c r="V56" s="2"/>
      <c r="W56" s="2"/>
    </row>
    <row r="57" spans="1:23" ht="75" customHeight="1" x14ac:dyDescent="0.15">
      <c r="A57" s="2">
        <v>62</v>
      </c>
      <c r="B57" s="2" t="s">
        <v>71</v>
      </c>
      <c r="C57" s="2" t="s">
        <v>72</v>
      </c>
      <c r="D57" s="2" t="s">
        <v>74</v>
      </c>
      <c r="E57" s="2">
        <v>56.67</v>
      </c>
      <c r="F57" s="2">
        <v>56.67</v>
      </c>
      <c r="G57" s="2"/>
      <c r="H57" s="2"/>
      <c r="I57" s="2" t="b">
        <f t="shared" si="0"/>
        <v>1</v>
      </c>
      <c r="J57" s="2"/>
      <c r="K57" s="2"/>
      <c r="L57" s="2"/>
      <c r="M57" s="2"/>
      <c r="N57" s="2"/>
      <c r="O57" s="2"/>
      <c r="P57" s="2"/>
      <c r="Q57" s="2"/>
      <c r="R57" s="2"/>
      <c r="S57" s="2"/>
      <c r="T57" s="2"/>
      <c r="U57" s="2"/>
      <c r="V57" s="2"/>
      <c r="W57" s="2"/>
    </row>
    <row r="58" spans="1:23" ht="75" customHeight="1" x14ac:dyDescent="0.15">
      <c r="A58" s="2">
        <v>63</v>
      </c>
      <c r="B58" s="2" t="s">
        <v>71</v>
      </c>
      <c r="C58" s="2" t="s">
        <v>72</v>
      </c>
      <c r="D58" s="2" t="s">
        <v>75</v>
      </c>
      <c r="E58" s="2">
        <v>111.33</v>
      </c>
      <c r="F58" s="2">
        <v>111.33</v>
      </c>
      <c r="G58" s="2"/>
      <c r="H58" s="2"/>
      <c r="I58" s="2" t="b">
        <f t="shared" si="0"/>
        <v>1</v>
      </c>
      <c r="J58" s="2"/>
      <c r="K58" s="2"/>
      <c r="L58" s="2"/>
      <c r="M58" s="2"/>
      <c r="N58" s="2"/>
      <c r="O58" s="2"/>
      <c r="P58" s="2"/>
      <c r="Q58" s="2"/>
      <c r="R58" s="2"/>
      <c r="S58" s="2"/>
      <c r="T58" s="2"/>
      <c r="U58" s="2"/>
      <c r="V58" s="2"/>
      <c r="W58" s="2"/>
    </row>
    <row r="59" spans="1:23" ht="75" customHeight="1" x14ac:dyDescent="0.15">
      <c r="A59" s="2">
        <v>64</v>
      </c>
      <c r="B59" s="2" t="s">
        <v>71</v>
      </c>
      <c r="C59" s="2" t="s">
        <v>72</v>
      </c>
      <c r="D59" s="2" t="s">
        <v>76</v>
      </c>
      <c r="E59" s="2">
        <v>70</v>
      </c>
      <c r="F59" s="2">
        <v>70</v>
      </c>
      <c r="G59" s="2"/>
      <c r="H59" s="2"/>
      <c r="I59" s="2" t="b">
        <f t="shared" si="0"/>
        <v>1</v>
      </c>
      <c r="J59" s="2"/>
      <c r="K59" s="2"/>
      <c r="L59" s="2"/>
      <c r="M59" s="2"/>
      <c r="N59" s="2"/>
      <c r="O59" s="2"/>
      <c r="P59" s="2"/>
      <c r="Q59" s="2"/>
      <c r="R59" s="2"/>
      <c r="S59" s="2"/>
      <c r="T59" s="2"/>
      <c r="U59" s="2"/>
      <c r="V59" s="2"/>
      <c r="W59" s="2"/>
    </row>
    <row r="60" spans="1:23" ht="75" customHeight="1" x14ac:dyDescent="0.15">
      <c r="A60" s="2">
        <v>65</v>
      </c>
      <c r="B60" s="2" t="s">
        <v>71</v>
      </c>
      <c r="C60" s="2" t="s">
        <v>72</v>
      </c>
      <c r="D60" s="2" t="s">
        <v>77</v>
      </c>
      <c r="E60" s="2">
        <v>106</v>
      </c>
      <c r="F60" s="2">
        <v>106</v>
      </c>
      <c r="G60" s="2"/>
      <c r="H60" s="2"/>
      <c r="I60" s="2" t="b">
        <f t="shared" si="0"/>
        <v>1</v>
      </c>
      <c r="J60" s="2"/>
      <c r="K60" s="2"/>
      <c r="L60" s="2"/>
      <c r="M60" s="2"/>
      <c r="N60" s="2"/>
      <c r="O60" s="2"/>
      <c r="P60" s="2"/>
      <c r="Q60" s="2"/>
      <c r="R60" s="2"/>
      <c r="S60" s="2"/>
      <c r="T60" s="2"/>
      <c r="U60" s="2"/>
      <c r="V60" s="2"/>
      <c r="W60" s="2"/>
    </row>
    <row r="61" spans="1:23" ht="75" customHeight="1" x14ac:dyDescent="0.15">
      <c r="A61" s="2">
        <v>66</v>
      </c>
      <c r="B61" s="2" t="s">
        <v>71</v>
      </c>
      <c r="C61" s="2" t="s">
        <v>72</v>
      </c>
      <c r="D61" s="2" t="s">
        <v>78</v>
      </c>
      <c r="E61" s="2">
        <v>78.67</v>
      </c>
      <c r="F61" s="2">
        <v>78.67</v>
      </c>
      <c r="G61" s="2"/>
      <c r="H61" s="2"/>
      <c r="I61" s="2" t="b">
        <f t="shared" si="0"/>
        <v>1</v>
      </c>
      <c r="J61" s="2"/>
      <c r="K61" s="2"/>
      <c r="L61" s="2"/>
      <c r="M61" s="2"/>
      <c r="N61" s="2"/>
      <c r="O61" s="2"/>
      <c r="P61" s="2"/>
      <c r="Q61" s="2"/>
      <c r="R61" s="2"/>
      <c r="S61" s="2"/>
      <c r="T61" s="2"/>
      <c r="U61" s="2"/>
      <c r="V61" s="2"/>
      <c r="W61" s="2"/>
    </row>
    <row r="62" spans="1:23" ht="75" customHeight="1" x14ac:dyDescent="0.15">
      <c r="A62" s="2">
        <v>67</v>
      </c>
      <c r="B62" s="2" t="s">
        <v>71</v>
      </c>
      <c r="C62" s="2" t="s">
        <v>72</v>
      </c>
      <c r="D62" s="2" t="s">
        <v>79</v>
      </c>
      <c r="E62" s="2">
        <v>90</v>
      </c>
      <c r="F62" s="2">
        <v>90</v>
      </c>
      <c r="G62" s="2"/>
      <c r="H62" s="2"/>
      <c r="I62" s="2" t="b">
        <f t="shared" si="0"/>
        <v>1</v>
      </c>
      <c r="J62" s="2"/>
      <c r="K62" s="2"/>
      <c r="L62" s="2"/>
      <c r="M62" s="2"/>
      <c r="N62" s="2"/>
      <c r="O62" s="2"/>
      <c r="P62" s="2"/>
      <c r="Q62" s="2"/>
      <c r="R62" s="2"/>
      <c r="S62" s="2"/>
      <c r="T62" s="2"/>
      <c r="U62" s="2"/>
      <c r="V62" s="2"/>
      <c r="W62" s="2"/>
    </row>
    <row r="63" spans="1:23" ht="75" customHeight="1" x14ac:dyDescent="0.15">
      <c r="A63" s="2">
        <v>68</v>
      </c>
      <c r="B63" s="2" t="s">
        <v>71</v>
      </c>
      <c r="C63" s="2" t="s">
        <v>72</v>
      </c>
      <c r="D63" s="2" t="s">
        <v>80</v>
      </c>
      <c r="E63" s="2">
        <v>100</v>
      </c>
      <c r="F63" s="2">
        <v>100</v>
      </c>
      <c r="G63" s="2"/>
      <c r="H63" s="2"/>
      <c r="I63" s="2" t="b">
        <f t="shared" si="0"/>
        <v>1</v>
      </c>
      <c r="J63" s="2"/>
      <c r="K63" s="2"/>
      <c r="L63" s="2"/>
      <c r="M63" s="2"/>
      <c r="N63" s="2"/>
      <c r="O63" s="2"/>
      <c r="P63" s="2"/>
      <c r="Q63" s="2"/>
      <c r="R63" s="2"/>
      <c r="S63" s="2"/>
      <c r="T63" s="2"/>
      <c r="U63" s="2"/>
      <c r="V63" s="2"/>
      <c r="W63" s="2"/>
    </row>
    <row r="64" spans="1:23" ht="75" customHeight="1" x14ac:dyDescent="0.15">
      <c r="A64" s="2">
        <v>69</v>
      </c>
      <c r="B64" s="2" t="s">
        <v>71</v>
      </c>
      <c r="C64" s="2" t="s">
        <v>72</v>
      </c>
      <c r="D64" s="2" t="s">
        <v>81</v>
      </c>
      <c r="E64" s="2">
        <v>96</v>
      </c>
      <c r="F64" s="2">
        <v>96</v>
      </c>
      <c r="G64" s="2"/>
      <c r="H64" s="2"/>
      <c r="I64" s="2" t="b">
        <f t="shared" si="0"/>
        <v>1</v>
      </c>
      <c r="J64" s="2"/>
      <c r="K64" s="2"/>
      <c r="L64" s="2"/>
      <c r="M64" s="2"/>
      <c r="N64" s="2"/>
      <c r="O64" s="2"/>
      <c r="P64" s="2"/>
      <c r="Q64" s="2"/>
      <c r="R64" s="2"/>
      <c r="S64" s="2"/>
      <c r="T64" s="2"/>
      <c r="U64" s="2"/>
      <c r="V64" s="2"/>
      <c r="W64" s="2"/>
    </row>
    <row r="65" spans="1:23" ht="75" customHeight="1" x14ac:dyDescent="0.15">
      <c r="A65" s="2">
        <v>70</v>
      </c>
      <c r="B65" s="2" t="s">
        <v>71</v>
      </c>
      <c r="C65" s="2" t="s">
        <v>72</v>
      </c>
      <c r="D65" s="2" t="s">
        <v>82</v>
      </c>
      <c r="E65" s="2">
        <v>68.33</v>
      </c>
      <c r="F65" s="2">
        <v>68.33</v>
      </c>
      <c r="G65" s="2"/>
      <c r="H65" s="2"/>
      <c r="I65" s="2" t="b">
        <f t="shared" si="0"/>
        <v>1</v>
      </c>
      <c r="J65" s="2"/>
      <c r="K65" s="2"/>
      <c r="L65" s="2"/>
      <c r="M65" s="2"/>
      <c r="N65" s="2"/>
      <c r="O65" s="2"/>
      <c r="P65" s="2"/>
      <c r="Q65" s="2"/>
      <c r="R65" s="2"/>
      <c r="S65" s="2"/>
      <c r="T65" s="2"/>
      <c r="U65" s="2"/>
      <c r="V65" s="2"/>
      <c r="W65" s="2"/>
    </row>
    <row r="66" spans="1:23" ht="75" customHeight="1" x14ac:dyDescent="0.15">
      <c r="A66" s="2">
        <v>71</v>
      </c>
      <c r="B66" s="2" t="s">
        <v>71</v>
      </c>
      <c r="C66" s="2" t="s">
        <v>72</v>
      </c>
      <c r="D66" s="2" t="s">
        <v>83</v>
      </c>
      <c r="E66" s="2">
        <v>126</v>
      </c>
      <c r="F66" s="2">
        <v>126</v>
      </c>
      <c r="G66" s="2"/>
      <c r="H66" s="2"/>
      <c r="I66" s="2" t="b">
        <f t="shared" si="0"/>
        <v>1</v>
      </c>
      <c r="J66" s="2"/>
      <c r="K66" s="2"/>
      <c r="L66" s="2"/>
      <c r="M66" s="2"/>
      <c r="N66" s="2"/>
      <c r="O66" s="2"/>
      <c r="P66" s="2"/>
      <c r="Q66" s="2"/>
      <c r="R66" s="2"/>
      <c r="S66" s="2"/>
      <c r="T66" s="2"/>
      <c r="U66" s="2"/>
      <c r="V66" s="2"/>
      <c r="W66" s="2"/>
    </row>
    <row r="67" spans="1:23" ht="75" customHeight="1" x14ac:dyDescent="0.15">
      <c r="A67" s="2">
        <v>72</v>
      </c>
      <c r="B67" s="2" t="s">
        <v>71</v>
      </c>
      <c r="C67" s="2" t="s">
        <v>72</v>
      </c>
      <c r="D67" s="2" t="s">
        <v>84</v>
      </c>
      <c r="E67" s="2">
        <v>88.33</v>
      </c>
      <c r="F67" s="2">
        <v>88.33</v>
      </c>
      <c r="G67" s="2"/>
      <c r="H67" s="2"/>
      <c r="I67" s="2" t="b">
        <f t="shared" si="0"/>
        <v>1</v>
      </c>
      <c r="J67" s="2"/>
      <c r="K67" s="2"/>
      <c r="L67" s="2"/>
      <c r="M67" s="2"/>
      <c r="N67" s="2"/>
      <c r="O67" s="2"/>
      <c r="P67" s="2"/>
      <c r="Q67" s="2"/>
      <c r="R67" s="2"/>
      <c r="S67" s="2"/>
      <c r="T67" s="2"/>
      <c r="U67" s="2"/>
      <c r="V67" s="2"/>
      <c r="W67" s="2"/>
    </row>
    <row r="68" spans="1:23" ht="75" customHeight="1" x14ac:dyDescent="0.15">
      <c r="A68" s="2">
        <v>73</v>
      </c>
      <c r="B68" s="2" t="s">
        <v>71</v>
      </c>
      <c r="C68" s="2" t="s">
        <v>72</v>
      </c>
      <c r="D68" s="2" t="s">
        <v>85</v>
      </c>
      <c r="E68" s="2">
        <v>90</v>
      </c>
      <c r="F68" s="2">
        <v>90</v>
      </c>
      <c r="G68" s="2"/>
      <c r="H68" s="2"/>
      <c r="I68" s="2" t="b">
        <f t="shared" si="0"/>
        <v>1</v>
      </c>
      <c r="J68" s="2"/>
      <c r="K68" s="2"/>
      <c r="L68" s="2"/>
      <c r="M68" s="2"/>
      <c r="N68" s="2"/>
      <c r="O68" s="2"/>
      <c r="P68" s="2"/>
      <c r="Q68" s="2"/>
      <c r="R68" s="2"/>
      <c r="S68" s="2"/>
      <c r="T68" s="2"/>
      <c r="U68" s="2"/>
      <c r="V68" s="2"/>
      <c r="W68" s="2"/>
    </row>
    <row r="69" spans="1:23" ht="75" customHeight="1" x14ac:dyDescent="0.15">
      <c r="A69" s="2">
        <v>74</v>
      </c>
      <c r="B69" s="2" t="s">
        <v>71</v>
      </c>
      <c r="C69" s="2" t="s">
        <v>72</v>
      </c>
      <c r="D69" s="2" t="s">
        <v>86</v>
      </c>
      <c r="E69" s="2">
        <v>86.67</v>
      </c>
      <c r="F69" s="2">
        <v>86.67</v>
      </c>
      <c r="G69" s="2"/>
      <c r="H69" s="2"/>
      <c r="I69" s="2" t="b">
        <f t="shared" si="0"/>
        <v>1</v>
      </c>
      <c r="J69" s="2"/>
      <c r="K69" s="2"/>
      <c r="L69" s="2"/>
      <c r="M69" s="2"/>
      <c r="N69" s="2"/>
      <c r="O69" s="2"/>
      <c r="P69" s="2"/>
      <c r="Q69" s="2"/>
      <c r="R69" s="2"/>
      <c r="S69" s="2"/>
      <c r="T69" s="2"/>
      <c r="U69" s="2"/>
      <c r="V69" s="2"/>
      <c r="W69" s="2"/>
    </row>
    <row r="70" spans="1:23" ht="75" customHeight="1" x14ac:dyDescent="0.15">
      <c r="A70" s="2">
        <v>75</v>
      </c>
      <c r="B70" s="2" t="s">
        <v>71</v>
      </c>
      <c r="C70" s="2" t="s">
        <v>72</v>
      </c>
      <c r="D70" s="2" t="s">
        <v>87</v>
      </c>
      <c r="E70" s="2">
        <v>53.33</v>
      </c>
      <c r="F70" s="2">
        <v>53.33</v>
      </c>
      <c r="G70" s="2"/>
      <c r="H70" s="2"/>
      <c r="I70" s="2" t="b">
        <f t="shared" si="0"/>
        <v>1</v>
      </c>
      <c r="J70" s="2"/>
      <c r="K70" s="2"/>
      <c r="L70" s="2"/>
      <c r="M70" s="2"/>
      <c r="N70" s="2"/>
      <c r="O70" s="2"/>
      <c r="P70" s="2"/>
      <c r="Q70" s="2"/>
      <c r="R70" s="2"/>
      <c r="S70" s="2"/>
      <c r="T70" s="2"/>
      <c r="U70" s="2"/>
      <c r="V70" s="2"/>
      <c r="W70" s="2"/>
    </row>
    <row r="71" spans="1:23" ht="75" customHeight="1" x14ac:dyDescent="0.15">
      <c r="A71" s="2">
        <v>76</v>
      </c>
      <c r="B71" s="2" t="s">
        <v>71</v>
      </c>
      <c r="C71" s="2" t="s">
        <v>72</v>
      </c>
      <c r="D71" s="2" t="s">
        <v>88</v>
      </c>
      <c r="E71" s="2">
        <v>104</v>
      </c>
      <c r="F71" s="2">
        <v>104</v>
      </c>
      <c r="G71" s="2"/>
      <c r="H71" s="2"/>
      <c r="I71" s="2" t="b">
        <f t="shared" si="0"/>
        <v>1</v>
      </c>
      <c r="J71" s="2"/>
      <c r="K71" s="2"/>
      <c r="L71" s="2"/>
      <c r="M71" s="2"/>
      <c r="N71" s="2"/>
      <c r="O71" s="2"/>
      <c r="P71" s="2"/>
      <c r="Q71" s="2"/>
      <c r="R71" s="2"/>
      <c r="S71" s="2"/>
      <c r="T71" s="2"/>
      <c r="U71" s="2"/>
      <c r="V71" s="2"/>
      <c r="W71" s="2"/>
    </row>
    <row r="72" spans="1:23" ht="75" customHeight="1" x14ac:dyDescent="0.15">
      <c r="A72" s="2">
        <v>77</v>
      </c>
      <c r="B72" s="2" t="s">
        <v>71</v>
      </c>
      <c r="C72" s="2" t="s">
        <v>72</v>
      </c>
      <c r="D72" s="2" t="s">
        <v>89</v>
      </c>
      <c r="E72" s="2">
        <v>64.33</v>
      </c>
      <c r="F72" s="2">
        <v>64.33</v>
      </c>
      <c r="G72" s="2"/>
      <c r="H72" s="2"/>
      <c r="I72" s="2" t="b">
        <f t="shared" si="0"/>
        <v>1</v>
      </c>
      <c r="J72" s="2"/>
      <c r="K72" s="2"/>
      <c r="L72" s="2"/>
      <c r="M72" s="2"/>
      <c r="N72" s="2"/>
      <c r="O72" s="2"/>
      <c r="P72" s="2"/>
      <c r="Q72" s="2"/>
      <c r="R72" s="2"/>
      <c r="S72" s="2"/>
      <c r="T72" s="2"/>
      <c r="U72" s="2"/>
      <c r="V72" s="2"/>
      <c r="W72" s="2"/>
    </row>
    <row r="73" spans="1:23" ht="75" customHeight="1" x14ac:dyDescent="0.15">
      <c r="A73" s="2">
        <v>78</v>
      </c>
      <c r="B73" s="2" t="s">
        <v>71</v>
      </c>
      <c r="C73" s="2" t="s">
        <v>72</v>
      </c>
      <c r="D73" s="2" t="s">
        <v>90</v>
      </c>
      <c r="E73" s="2">
        <v>82</v>
      </c>
      <c r="F73" s="2">
        <v>82</v>
      </c>
      <c r="G73" s="2"/>
      <c r="H73" s="2"/>
      <c r="I73" s="2" t="b">
        <f t="shared" si="0"/>
        <v>1</v>
      </c>
      <c r="J73" s="2"/>
      <c r="K73" s="2"/>
      <c r="L73" s="2"/>
      <c r="M73" s="2"/>
      <c r="N73" s="2"/>
      <c r="O73" s="2"/>
      <c r="P73" s="2"/>
      <c r="Q73" s="2"/>
      <c r="R73" s="2"/>
      <c r="S73" s="2"/>
      <c r="T73" s="2"/>
      <c r="U73" s="2"/>
      <c r="V73" s="2"/>
      <c r="W73" s="2"/>
    </row>
    <row r="74" spans="1:23" ht="75" customHeight="1" x14ac:dyDescent="0.15">
      <c r="A74" s="2">
        <v>79</v>
      </c>
      <c r="B74" s="2" t="s">
        <v>71</v>
      </c>
      <c r="C74" s="2" t="s">
        <v>72</v>
      </c>
      <c r="D74" s="2" t="s">
        <v>91</v>
      </c>
      <c r="E74" s="2">
        <v>91.67</v>
      </c>
      <c r="F74" s="2">
        <v>91.67</v>
      </c>
      <c r="G74" s="2"/>
      <c r="H74" s="2"/>
      <c r="I74" s="2" t="b">
        <f t="shared" si="0"/>
        <v>1</v>
      </c>
      <c r="J74" s="2"/>
      <c r="K74" s="2"/>
      <c r="L74" s="2"/>
      <c r="M74" s="2"/>
      <c r="N74" s="2"/>
      <c r="O74" s="2"/>
      <c r="P74" s="2"/>
      <c r="Q74" s="2"/>
      <c r="R74" s="2"/>
      <c r="S74" s="2"/>
      <c r="T74" s="2"/>
      <c r="U74" s="2"/>
      <c r="V74" s="2"/>
      <c r="W74" s="2"/>
    </row>
    <row r="75" spans="1:23" ht="75" customHeight="1" x14ac:dyDescent="0.15">
      <c r="A75" s="2">
        <v>80</v>
      </c>
      <c r="B75" s="2" t="s">
        <v>71</v>
      </c>
      <c r="C75" s="2" t="s">
        <v>72</v>
      </c>
      <c r="D75" s="2" t="s">
        <v>92</v>
      </c>
      <c r="E75" s="2">
        <v>83</v>
      </c>
      <c r="F75" s="2">
        <v>83</v>
      </c>
      <c r="G75" s="2"/>
      <c r="H75" s="2"/>
      <c r="I75" s="2" t="b">
        <f t="shared" si="0"/>
        <v>1</v>
      </c>
      <c r="J75" s="2"/>
      <c r="K75" s="2"/>
      <c r="L75" s="2"/>
      <c r="M75" s="2"/>
      <c r="N75" s="2"/>
      <c r="O75" s="2"/>
      <c r="P75" s="2"/>
      <c r="Q75" s="2"/>
      <c r="R75" s="2"/>
      <c r="S75" s="2"/>
      <c r="T75" s="2"/>
      <c r="U75" s="2"/>
      <c r="V75" s="2"/>
      <c r="W75" s="2"/>
    </row>
    <row r="76" spans="1:23" ht="75" customHeight="1" x14ac:dyDescent="0.15">
      <c r="A76" s="2">
        <v>81</v>
      </c>
      <c r="B76" s="2" t="s">
        <v>93</v>
      </c>
      <c r="C76" s="2" t="s">
        <v>94</v>
      </c>
      <c r="D76" s="2" t="s">
        <v>95</v>
      </c>
      <c r="E76" s="2">
        <v>14.52</v>
      </c>
      <c r="F76" s="2">
        <v>14.52</v>
      </c>
      <c r="G76" s="2"/>
      <c r="H76" s="2"/>
      <c r="I76" s="2" t="b">
        <f t="shared" si="0"/>
        <v>1</v>
      </c>
      <c r="J76" s="2"/>
      <c r="K76" s="2"/>
      <c r="L76" s="2"/>
      <c r="M76" s="2"/>
      <c r="N76" s="2"/>
      <c r="O76" s="2"/>
      <c r="P76" s="2"/>
      <c r="Q76" s="2"/>
      <c r="R76" s="2"/>
      <c r="S76" s="2"/>
      <c r="T76" s="2"/>
      <c r="U76" s="2"/>
      <c r="V76" s="2"/>
      <c r="W76" s="2"/>
    </row>
    <row r="77" spans="1:23" ht="75" customHeight="1" x14ac:dyDescent="0.15">
      <c r="A77" s="2">
        <v>82</v>
      </c>
      <c r="B77" s="2" t="s">
        <v>93</v>
      </c>
      <c r="C77" s="2" t="s">
        <v>94</v>
      </c>
      <c r="D77" s="2" t="s">
        <v>96</v>
      </c>
      <c r="E77" s="2">
        <v>23.79</v>
      </c>
      <c r="F77" s="2">
        <v>23.79</v>
      </c>
      <c r="G77" s="2"/>
      <c r="H77" s="2"/>
      <c r="I77" s="2" t="b">
        <f t="shared" si="0"/>
        <v>1</v>
      </c>
      <c r="J77" s="2"/>
      <c r="K77" s="2"/>
      <c r="L77" s="2"/>
      <c r="M77" s="2"/>
      <c r="N77" s="2"/>
      <c r="O77" s="2"/>
      <c r="P77" s="2"/>
      <c r="Q77" s="2"/>
      <c r="R77" s="2"/>
      <c r="S77" s="2"/>
      <c r="T77" s="2"/>
      <c r="U77" s="2"/>
      <c r="V77" s="2"/>
      <c r="W77" s="2"/>
    </row>
    <row r="78" spans="1:23" ht="75" customHeight="1" x14ac:dyDescent="0.15">
      <c r="A78" s="2">
        <v>83</v>
      </c>
      <c r="B78" s="2" t="s">
        <v>93</v>
      </c>
      <c r="C78" s="2" t="s">
        <v>94</v>
      </c>
      <c r="D78" s="2" t="s">
        <v>97</v>
      </c>
      <c r="E78" s="2">
        <v>28.03</v>
      </c>
      <c r="F78" s="2">
        <v>28.03</v>
      </c>
      <c r="G78" s="2"/>
      <c r="H78" s="2"/>
      <c r="I78" s="2" t="b">
        <f t="shared" si="0"/>
        <v>1</v>
      </c>
      <c r="J78" s="2"/>
      <c r="K78" s="2"/>
      <c r="L78" s="2"/>
      <c r="M78" s="2"/>
      <c r="N78" s="2"/>
      <c r="O78" s="2"/>
      <c r="P78" s="2"/>
      <c r="Q78" s="2"/>
      <c r="R78" s="2"/>
      <c r="S78" s="2"/>
      <c r="T78" s="2"/>
      <c r="U78" s="2"/>
      <c r="V78" s="2"/>
      <c r="W78" s="2"/>
    </row>
    <row r="79" spans="1:23" ht="75" customHeight="1" x14ac:dyDescent="0.15">
      <c r="A79" s="2">
        <v>84</v>
      </c>
      <c r="B79" s="2" t="s">
        <v>93</v>
      </c>
      <c r="C79" s="2" t="s">
        <v>94</v>
      </c>
      <c r="D79" s="2" t="s">
        <v>98</v>
      </c>
      <c r="E79" s="2">
        <v>22.32</v>
      </c>
      <c r="F79" s="2">
        <v>22.32</v>
      </c>
      <c r="G79" s="2"/>
      <c r="H79" s="2"/>
      <c r="I79" s="2" t="b">
        <f t="shared" si="0"/>
        <v>1</v>
      </c>
      <c r="J79" s="2"/>
      <c r="K79" s="2"/>
      <c r="L79" s="2"/>
      <c r="M79" s="2"/>
      <c r="N79" s="2"/>
      <c r="O79" s="2"/>
      <c r="P79" s="2"/>
      <c r="Q79" s="2"/>
      <c r="R79" s="2"/>
      <c r="S79" s="2"/>
      <c r="T79" s="2"/>
      <c r="U79" s="2"/>
      <c r="V79" s="2"/>
      <c r="W79" s="2"/>
    </row>
    <row r="80" spans="1:23" ht="75" customHeight="1" x14ac:dyDescent="0.15">
      <c r="A80" s="2">
        <v>85</v>
      </c>
      <c r="B80" s="2" t="s">
        <v>93</v>
      </c>
      <c r="C80" s="2" t="s">
        <v>94</v>
      </c>
      <c r="D80" s="2" t="s">
        <v>99</v>
      </c>
      <c r="E80" s="2">
        <v>23.95</v>
      </c>
      <c r="F80" s="2">
        <v>23.95</v>
      </c>
      <c r="G80" s="2"/>
      <c r="H80" s="2"/>
      <c r="I80" s="2" t="b">
        <f t="shared" si="0"/>
        <v>1</v>
      </c>
      <c r="J80" s="2"/>
      <c r="K80" s="2"/>
      <c r="L80" s="2"/>
      <c r="M80" s="2"/>
      <c r="N80" s="2"/>
      <c r="O80" s="2"/>
      <c r="P80" s="2"/>
      <c r="Q80" s="2"/>
      <c r="R80" s="2"/>
      <c r="S80" s="2"/>
      <c r="T80" s="2"/>
      <c r="U80" s="2"/>
      <c r="V80" s="2"/>
      <c r="W80" s="2"/>
    </row>
    <row r="81" spans="1:23" ht="75" customHeight="1" x14ac:dyDescent="0.15">
      <c r="A81" s="2">
        <v>86</v>
      </c>
      <c r="B81" s="2" t="s">
        <v>93</v>
      </c>
      <c r="C81" s="2" t="s">
        <v>94</v>
      </c>
      <c r="D81" s="2" t="s">
        <v>100</v>
      </c>
      <c r="E81" s="2">
        <v>18.600000000000001</v>
      </c>
      <c r="F81" s="2">
        <v>18.600000000000001</v>
      </c>
      <c r="G81" s="2"/>
      <c r="H81" s="2"/>
      <c r="I81" s="2" t="b">
        <f t="shared" si="0"/>
        <v>1</v>
      </c>
      <c r="J81" s="2"/>
      <c r="K81" s="2"/>
      <c r="L81" s="2"/>
      <c r="M81" s="2"/>
      <c r="N81" s="2"/>
      <c r="O81" s="2"/>
      <c r="P81" s="2"/>
      <c r="Q81" s="2"/>
      <c r="R81" s="2"/>
      <c r="S81" s="2"/>
      <c r="T81" s="2"/>
      <c r="U81" s="2"/>
      <c r="V81" s="2"/>
      <c r="W81" s="2"/>
    </row>
    <row r="82" spans="1:23" ht="75" customHeight="1" x14ac:dyDescent="0.15">
      <c r="A82" s="2">
        <v>87</v>
      </c>
      <c r="B82" s="2" t="s">
        <v>93</v>
      </c>
      <c r="C82" s="2" t="s">
        <v>94</v>
      </c>
      <c r="D82" s="2" t="s">
        <v>101</v>
      </c>
      <c r="E82" s="2">
        <v>22.11</v>
      </c>
      <c r="F82" s="2">
        <v>22.11</v>
      </c>
      <c r="G82" s="2"/>
      <c r="H82" s="2"/>
      <c r="I82" s="2" t="b">
        <f t="shared" si="0"/>
        <v>1</v>
      </c>
      <c r="J82" s="2"/>
      <c r="K82" s="2"/>
      <c r="L82" s="2"/>
      <c r="M82" s="2"/>
      <c r="N82" s="2"/>
      <c r="O82" s="2"/>
      <c r="P82" s="2"/>
      <c r="Q82" s="2"/>
      <c r="R82" s="2"/>
      <c r="S82" s="2"/>
      <c r="T82" s="2"/>
      <c r="U82" s="2"/>
      <c r="V82" s="2"/>
      <c r="W82" s="2"/>
    </row>
    <row r="83" spans="1:23" ht="75" customHeight="1" x14ac:dyDescent="0.15">
      <c r="A83" s="2">
        <v>88</v>
      </c>
      <c r="B83" s="2" t="s">
        <v>93</v>
      </c>
      <c r="C83" s="2" t="s">
        <v>94</v>
      </c>
      <c r="D83" s="2" t="s">
        <v>102</v>
      </c>
      <c r="E83" s="2">
        <v>20.09</v>
      </c>
      <c r="F83" s="2">
        <v>20.09</v>
      </c>
      <c r="G83" s="2"/>
      <c r="H83" s="2"/>
      <c r="I83" s="2" t="b">
        <f t="shared" si="0"/>
        <v>1</v>
      </c>
      <c r="J83" s="2"/>
      <c r="K83" s="2"/>
      <c r="L83" s="2"/>
      <c r="M83" s="2"/>
      <c r="N83" s="2"/>
      <c r="O83" s="2"/>
      <c r="P83" s="2"/>
      <c r="Q83" s="2"/>
      <c r="R83" s="2"/>
      <c r="S83" s="2"/>
      <c r="T83" s="2"/>
      <c r="U83" s="2"/>
      <c r="V83" s="2"/>
      <c r="W83" s="2"/>
    </row>
    <row r="84" spans="1:23" ht="75" customHeight="1" x14ac:dyDescent="0.15">
      <c r="A84" s="2">
        <v>89</v>
      </c>
      <c r="B84" s="2" t="s">
        <v>93</v>
      </c>
      <c r="C84" s="2" t="s">
        <v>94</v>
      </c>
      <c r="D84" s="2" t="s">
        <v>103</v>
      </c>
      <c r="E84" s="2">
        <v>19.98</v>
      </c>
      <c r="F84" s="2">
        <v>19.98</v>
      </c>
      <c r="G84" s="2"/>
      <c r="H84" s="2"/>
      <c r="I84" s="2" t="b">
        <f t="shared" si="0"/>
        <v>1</v>
      </c>
      <c r="J84" s="2"/>
      <c r="K84" s="2"/>
      <c r="L84" s="2"/>
      <c r="M84" s="2"/>
      <c r="N84" s="2"/>
      <c r="O84" s="2"/>
      <c r="P84" s="2"/>
      <c r="Q84" s="2"/>
      <c r="R84" s="2"/>
      <c r="S84" s="2"/>
      <c r="T84" s="2"/>
      <c r="U84" s="2"/>
      <c r="V84" s="2"/>
      <c r="W84" s="2"/>
    </row>
    <row r="85" spans="1:23" ht="75" customHeight="1" x14ac:dyDescent="0.15">
      <c r="A85" s="2">
        <v>90</v>
      </c>
      <c r="B85" s="2" t="s">
        <v>93</v>
      </c>
      <c r="C85" s="2" t="s">
        <v>94</v>
      </c>
      <c r="D85" s="2" t="s">
        <v>104</v>
      </c>
      <c r="E85" s="2">
        <v>24.24</v>
      </c>
      <c r="F85" s="2">
        <v>24.24</v>
      </c>
      <c r="G85" s="2"/>
      <c r="H85" s="2"/>
      <c r="I85" s="2" t="b">
        <f t="shared" si="0"/>
        <v>1</v>
      </c>
      <c r="J85" s="2"/>
      <c r="K85" s="2"/>
      <c r="L85" s="2"/>
      <c r="M85" s="2"/>
      <c r="N85" s="2"/>
      <c r="O85" s="2"/>
      <c r="P85" s="2"/>
      <c r="Q85" s="2"/>
      <c r="R85" s="2"/>
      <c r="S85" s="2"/>
      <c r="T85" s="2"/>
      <c r="U85" s="2"/>
      <c r="V85" s="2"/>
      <c r="W85" s="2"/>
    </row>
    <row r="86" spans="1:23" ht="75" customHeight="1" x14ac:dyDescent="0.15">
      <c r="A86" s="2">
        <v>91</v>
      </c>
      <c r="B86" s="2" t="s">
        <v>93</v>
      </c>
      <c r="C86" s="2" t="s">
        <v>94</v>
      </c>
      <c r="D86" s="2" t="s">
        <v>105</v>
      </c>
      <c r="E86" s="2">
        <v>22.38</v>
      </c>
      <c r="F86" s="2">
        <v>22.38</v>
      </c>
      <c r="G86" s="2"/>
      <c r="H86" s="2"/>
      <c r="I86" s="2" t="b">
        <f t="shared" si="0"/>
        <v>1</v>
      </c>
      <c r="J86" s="2"/>
      <c r="K86" s="2"/>
      <c r="L86" s="2"/>
      <c r="M86" s="2"/>
      <c r="N86" s="2"/>
      <c r="O86" s="2"/>
      <c r="P86" s="2"/>
      <c r="Q86" s="2"/>
      <c r="R86" s="2"/>
      <c r="S86" s="2"/>
      <c r="T86" s="2"/>
      <c r="U86" s="2"/>
      <c r="V86" s="2"/>
      <c r="W86" s="2"/>
    </row>
    <row r="87" spans="1:23" ht="75" customHeight="1" x14ac:dyDescent="0.15">
      <c r="A87" s="2">
        <v>92</v>
      </c>
      <c r="B87" s="2" t="s">
        <v>93</v>
      </c>
      <c r="C87" s="2" t="s">
        <v>94</v>
      </c>
      <c r="D87" s="2" t="s">
        <v>106</v>
      </c>
      <c r="E87" s="2">
        <v>26.56</v>
      </c>
      <c r="F87" s="2">
        <v>26.56</v>
      </c>
      <c r="G87" s="2"/>
      <c r="H87" s="2"/>
      <c r="I87" s="2" t="b">
        <f t="shared" si="0"/>
        <v>1</v>
      </c>
      <c r="J87" s="2"/>
      <c r="K87" s="2"/>
      <c r="L87" s="2"/>
      <c r="M87" s="2"/>
      <c r="N87" s="2"/>
      <c r="O87" s="2"/>
      <c r="P87" s="2"/>
      <c r="Q87" s="2"/>
      <c r="R87" s="2"/>
      <c r="S87" s="2"/>
      <c r="T87" s="2"/>
      <c r="U87" s="2"/>
      <c r="V87" s="2"/>
      <c r="W87" s="2"/>
    </row>
    <row r="88" spans="1:23" ht="75" customHeight="1" x14ac:dyDescent="0.15">
      <c r="A88" s="2">
        <v>93</v>
      </c>
      <c r="B88" s="2" t="s">
        <v>93</v>
      </c>
      <c r="C88" s="2" t="s">
        <v>94</v>
      </c>
      <c r="D88" s="2" t="s">
        <v>107</v>
      </c>
      <c r="E88" s="2">
        <v>31.35</v>
      </c>
      <c r="F88" s="2">
        <v>31.35</v>
      </c>
      <c r="G88" s="2"/>
      <c r="H88" s="2"/>
      <c r="I88" s="2" t="b">
        <f t="shared" si="0"/>
        <v>1</v>
      </c>
      <c r="J88" s="2"/>
      <c r="K88" s="2"/>
      <c r="L88" s="2"/>
      <c r="M88" s="2"/>
      <c r="N88" s="2"/>
      <c r="O88" s="2"/>
      <c r="P88" s="2"/>
      <c r="Q88" s="2"/>
      <c r="R88" s="2"/>
      <c r="S88" s="2"/>
      <c r="T88" s="2"/>
      <c r="U88" s="2"/>
      <c r="V88" s="2"/>
      <c r="W88" s="2"/>
    </row>
    <row r="89" spans="1:23" ht="75" customHeight="1" x14ac:dyDescent="0.15">
      <c r="A89" s="2">
        <v>94</v>
      </c>
      <c r="B89" s="2" t="s">
        <v>93</v>
      </c>
      <c r="C89" s="2" t="s">
        <v>94</v>
      </c>
      <c r="D89" s="2" t="s">
        <v>108</v>
      </c>
      <c r="E89" s="2">
        <v>24.45</v>
      </c>
      <c r="F89" s="2">
        <v>24.45</v>
      </c>
      <c r="G89" s="2"/>
      <c r="H89" s="2"/>
      <c r="I89" s="2" t="b">
        <f t="shared" si="0"/>
        <v>1</v>
      </c>
      <c r="J89" s="2"/>
      <c r="K89" s="2"/>
      <c r="L89" s="2"/>
      <c r="M89" s="2"/>
      <c r="N89" s="2"/>
      <c r="O89" s="2"/>
      <c r="P89" s="2"/>
      <c r="Q89" s="2"/>
      <c r="R89" s="2"/>
      <c r="S89" s="2"/>
      <c r="T89" s="2"/>
      <c r="U89" s="2"/>
      <c r="V89" s="2"/>
      <c r="W89" s="2"/>
    </row>
    <row r="90" spans="1:23" ht="75" customHeight="1" x14ac:dyDescent="0.15">
      <c r="A90" s="2">
        <v>95</v>
      </c>
      <c r="B90" s="2" t="s">
        <v>93</v>
      </c>
      <c r="C90" s="2" t="s">
        <v>94</v>
      </c>
      <c r="D90" s="2" t="s">
        <v>109</v>
      </c>
      <c r="E90" s="2">
        <v>24.3</v>
      </c>
      <c r="F90" s="2">
        <v>24.3</v>
      </c>
      <c r="G90" s="2"/>
      <c r="H90" s="2"/>
      <c r="I90" s="2" t="b">
        <f t="shared" si="0"/>
        <v>1</v>
      </c>
      <c r="J90" s="2"/>
      <c r="K90" s="2"/>
      <c r="L90" s="2"/>
      <c r="M90" s="2"/>
      <c r="N90" s="2"/>
      <c r="O90" s="2"/>
      <c r="P90" s="2"/>
      <c r="Q90" s="2"/>
      <c r="R90" s="2"/>
      <c r="S90" s="2"/>
      <c r="T90" s="2"/>
      <c r="U90" s="2"/>
      <c r="V90" s="2"/>
      <c r="W90" s="2"/>
    </row>
    <row r="91" spans="1:23" ht="75" customHeight="1" x14ac:dyDescent="0.15">
      <c r="A91" s="2">
        <v>96</v>
      </c>
      <c r="B91" s="2" t="s">
        <v>93</v>
      </c>
      <c r="C91" s="2" t="s">
        <v>94</v>
      </c>
      <c r="D91" s="2" t="s">
        <v>110</v>
      </c>
      <c r="E91" s="2">
        <v>19.670000000000002</v>
      </c>
      <c r="F91" s="2">
        <v>19.670000000000002</v>
      </c>
      <c r="G91" s="2"/>
      <c r="H91" s="2"/>
      <c r="I91" s="2" t="b">
        <f t="shared" si="0"/>
        <v>1</v>
      </c>
      <c r="J91" s="2"/>
      <c r="K91" s="2"/>
      <c r="L91" s="2"/>
      <c r="M91" s="2"/>
      <c r="N91" s="2"/>
      <c r="O91" s="2"/>
      <c r="P91" s="2"/>
      <c r="Q91" s="2"/>
      <c r="R91" s="2"/>
      <c r="S91" s="2"/>
      <c r="T91" s="2"/>
      <c r="U91" s="2"/>
      <c r="V91" s="2"/>
      <c r="W91" s="2"/>
    </row>
    <row r="92" spans="1:23" ht="75" customHeight="1" x14ac:dyDescent="0.15">
      <c r="A92" s="2">
        <v>97</v>
      </c>
      <c r="B92" s="2" t="s">
        <v>93</v>
      </c>
      <c r="C92" s="2" t="s">
        <v>94</v>
      </c>
      <c r="D92" s="2" t="s">
        <v>111</v>
      </c>
      <c r="E92" s="2">
        <v>18.079999999999998</v>
      </c>
      <c r="F92" s="2">
        <v>18.079999999999998</v>
      </c>
      <c r="G92" s="2"/>
      <c r="H92" s="2"/>
      <c r="I92" s="2" t="b">
        <f t="shared" si="0"/>
        <v>1</v>
      </c>
      <c r="J92" s="2"/>
      <c r="K92" s="2"/>
      <c r="L92" s="2"/>
      <c r="M92" s="2"/>
      <c r="N92" s="2"/>
      <c r="O92" s="2"/>
      <c r="P92" s="2"/>
      <c r="Q92" s="2"/>
      <c r="R92" s="2"/>
      <c r="S92" s="2"/>
      <c r="T92" s="2"/>
      <c r="U92" s="2"/>
      <c r="V92" s="2"/>
      <c r="W92" s="2"/>
    </row>
    <row r="93" spans="1:23" ht="75" customHeight="1" x14ac:dyDescent="0.15">
      <c r="A93" s="2">
        <v>98</v>
      </c>
      <c r="B93" s="2" t="s">
        <v>93</v>
      </c>
      <c r="C93" s="2" t="s">
        <v>94</v>
      </c>
      <c r="D93" s="2" t="s">
        <v>112</v>
      </c>
      <c r="E93" s="2">
        <v>13.18</v>
      </c>
      <c r="F93" s="2">
        <v>13.18</v>
      </c>
      <c r="G93" s="2"/>
      <c r="H93" s="2"/>
      <c r="I93" s="2" t="b">
        <f t="shared" si="0"/>
        <v>1</v>
      </c>
      <c r="J93" s="2"/>
      <c r="K93" s="2"/>
      <c r="L93" s="2"/>
      <c r="M93" s="2"/>
      <c r="N93" s="2"/>
      <c r="O93" s="2"/>
      <c r="P93" s="2"/>
      <c r="Q93" s="2"/>
      <c r="R93" s="2"/>
      <c r="S93" s="2"/>
      <c r="T93" s="2"/>
      <c r="U93" s="2"/>
      <c r="V93" s="2"/>
      <c r="W93" s="2"/>
    </row>
    <row r="94" spans="1:23" ht="75" customHeight="1" x14ac:dyDescent="0.15">
      <c r="A94" s="2">
        <v>99</v>
      </c>
      <c r="B94" s="2" t="s">
        <v>93</v>
      </c>
      <c r="C94" s="2" t="s">
        <v>94</v>
      </c>
      <c r="D94" s="2" t="s">
        <v>113</v>
      </c>
      <c r="E94" s="2">
        <v>18.52</v>
      </c>
      <c r="F94" s="2">
        <v>18.52</v>
      </c>
      <c r="G94" s="2"/>
      <c r="H94" s="2"/>
      <c r="I94" s="2" t="b">
        <f t="shared" si="0"/>
        <v>1</v>
      </c>
      <c r="J94" s="2"/>
      <c r="K94" s="2"/>
      <c r="L94" s="2"/>
      <c r="M94" s="2"/>
      <c r="N94" s="2"/>
      <c r="O94" s="2"/>
      <c r="P94" s="2"/>
      <c r="Q94" s="2"/>
      <c r="R94" s="2"/>
      <c r="S94" s="2"/>
      <c r="T94" s="2"/>
      <c r="U94" s="2"/>
      <c r="V94" s="2"/>
      <c r="W94" s="2"/>
    </row>
    <row r="95" spans="1:23" ht="75" customHeight="1" x14ac:dyDescent="0.15">
      <c r="A95" s="2">
        <v>100</v>
      </c>
      <c r="B95" s="2" t="s">
        <v>93</v>
      </c>
      <c r="C95" s="2" t="s">
        <v>94</v>
      </c>
      <c r="D95" s="2" t="s">
        <v>114</v>
      </c>
      <c r="E95" s="2">
        <v>15.62</v>
      </c>
      <c r="F95" s="2">
        <v>15.62</v>
      </c>
      <c r="G95" s="2"/>
      <c r="H95" s="2"/>
      <c r="I95" s="2" t="b">
        <f t="shared" si="0"/>
        <v>1</v>
      </c>
      <c r="J95" s="2"/>
      <c r="K95" s="2"/>
      <c r="L95" s="2"/>
      <c r="M95" s="2"/>
      <c r="N95" s="2"/>
      <c r="O95" s="2"/>
      <c r="P95" s="2"/>
      <c r="Q95" s="2"/>
      <c r="R95" s="2"/>
      <c r="S95" s="2"/>
      <c r="T95" s="2"/>
      <c r="U95" s="2"/>
      <c r="V95" s="2"/>
      <c r="W95" s="2"/>
    </row>
    <row r="96" spans="1:23" ht="75" customHeight="1" x14ac:dyDescent="0.15">
      <c r="A96" s="2">
        <v>101</v>
      </c>
      <c r="B96" s="2" t="s">
        <v>115</v>
      </c>
      <c r="C96" s="2" t="s">
        <v>116</v>
      </c>
      <c r="D96" s="2" t="s">
        <v>117</v>
      </c>
      <c r="E96" s="2">
        <v>9.32</v>
      </c>
      <c r="F96" s="2">
        <v>9.32</v>
      </c>
      <c r="G96" s="2"/>
      <c r="H96" s="2"/>
      <c r="I96" s="2" t="b">
        <f t="shared" si="0"/>
        <v>1</v>
      </c>
      <c r="J96" s="2"/>
      <c r="K96" s="2"/>
      <c r="L96" s="2"/>
      <c r="M96" s="2"/>
      <c r="N96" s="2"/>
      <c r="O96" s="2"/>
      <c r="P96" s="2"/>
      <c r="Q96" s="2"/>
      <c r="R96" s="2"/>
      <c r="S96" s="2"/>
      <c r="T96" s="2"/>
      <c r="U96" s="2"/>
      <c r="V96" s="2"/>
      <c r="W96" s="2"/>
    </row>
    <row r="97" spans="1:23" ht="75" customHeight="1" x14ac:dyDescent="0.15">
      <c r="A97" s="2">
        <v>102</v>
      </c>
      <c r="B97" s="2" t="s">
        <v>115</v>
      </c>
      <c r="C97" s="2" t="s">
        <v>116</v>
      </c>
      <c r="D97" s="2" t="s">
        <v>118</v>
      </c>
      <c r="E97" s="2">
        <v>8.56</v>
      </c>
      <c r="F97" s="2">
        <v>8.56</v>
      </c>
      <c r="G97" s="2"/>
      <c r="H97" s="2"/>
      <c r="I97" s="2" t="b">
        <f t="shared" si="0"/>
        <v>1</v>
      </c>
      <c r="J97" s="2"/>
      <c r="K97" s="2"/>
      <c r="L97" s="2"/>
      <c r="M97" s="2"/>
      <c r="N97" s="2"/>
      <c r="O97" s="2"/>
      <c r="P97" s="2"/>
      <c r="Q97" s="2"/>
      <c r="R97" s="2"/>
      <c r="S97" s="2"/>
      <c r="T97" s="2"/>
      <c r="U97" s="2"/>
      <c r="V97" s="2"/>
      <c r="W97" s="2"/>
    </row>
    <row r="98" spans="1:23" ht="75" customHeight="1" x14ac:dyDescent="0.15">
      <c r="A98" s="2">
        <v>103</v>
      </c>
      <c r="B98" s="2" t="s">
        <v>115</v>
      </c>
      <c r="C98" s="2" t="s">
        <v>116</v>
      </c>
      <c r="D98" s="2" t="s">
        <v>119</v>
      </c>
      <c r="E98" s="2">
        <v>8.66</v>
      </c>
      <c r="F98" s="2">
        <v>8.66</v>
      </c>
      <c r="G98" s="2"/>
      <c r="H98" s="2"/>
      <c r="I98" s="2" t="b">
        <f t="shared" si="0"/>
        <v>1</v>
      </c>
      <c r="J98" s="2"/>
      <c r="K98" s="2"/>
      <c r="L98" s="2"/>
      <c r="M98" s="2"/>
      <c r="N98" s="2"/>
      <c r="O98" s="2"/>
      <c r="P98" s="2"/>
      <c r="Q98" s="2"/>
      <c r="R98" s="2"/>
      <c r="S98" s="2"/>
      <c r="T98" s="2"/>
      <c r="U98" s="2"/>
      <c r="V98" s="2"/>
      <c r="W98" s="2"/>
    </row>
    <row r="99" spans="1:23" ht="75" customHeight="1" x14ac:dyDescent="0.15">
      <c r="A99" s="2">
        <v>104</v>
      </c>
      <c r="B99" s="2" t="s">
        <v>115</v>
      </c>
      <c r="C99" s="2" t="s">
        <v>116</v>
      </c>
      <c r="D99" s="2" t="s">
        <v>120</v>
      </c>
      <c r="E99" s="2">
        <v>11.18</v>
      </c>
      <c r="F99" s="2">
        <v>11.18</v>
      </c>
      <c r="G99" s="2"/>
      <c r="H99" s="2"/>
      <c r="I99" s="2" t="b">
        <f t="shared" si="0"/>
        <v>1</v>
      </c>
      <c r="J99" s="2"/>
      <c r="K99" s="2"/>
      <c r="L99" s="2"/>
      <c r="M99" s="2"/>
      <c r="N99" s="2"/>
      <c r="O99" s="2"/>
      <c r="P99" s="2"/>
      <c r="Q99" s="2"/>
      <c r="R99" s="2"/>
      <c r="S99" s="2"/>
      <c r="T99" s="2"/>
      <c r="U99" s="2"/>
      <c r="V99" s="2"/>
      <c r="W99" s="2"/>
    </row>
    <row r="100" spans="1:23" ht="75" customHeight="1" x14ac:dyDescent="0.15">
      <c r="A100" s="2">
        <v>105</v>
      </c>
      <c r="B100" s="2" t="s">
        <v>115</v>
      </c>
      <c r="C100" s="2" t="s">
        <v>116</v>
      </c>
      <c r="D100" s="2" t="s">
        <v>121</v>
      </c>
      <c r="E100" s="2">
        <v>18.59</v>
      </c>
      <c r="F100" s="2">
        <v>18.59</v>
      </c>
      <c r="G100" s="2"/>
      <c r="H100" s="2"/>
      <c r="I100" s="2" t="b">
        <f t="shared" si="0"/>
        <v>1</v>
      </c>
      <c r="J100" s="2"/>
      <c r="K100" s="2"/>
      <c r="L100" s="2"/>
      <c r="M100" s="2"/>
      <c r="N100" s="2"/>
      <c r="O100" s="2"/>
      <c r="P100" s="2"/>
      <c r="Q100" s="2"/>
      <c r="R100" s="2"/>
      <c r="S100" s="2"/>
      <c r="T100" s="2"/>
      <c r="U100" s="2"/>
      <c r="V100" s="2"/>
      <c r="W100" s="2"/>
    </row>
    <row r="101" spans="1:23" ht="75" customHeight="1" x14ac:dyDescent="0.15">
      <c r="A101" s="2">
        <v>106</v>
      </c>
      <c r="B101" s="2" t="s">
        <v>115</v>
      </c>
      <c r="C101" s="2" t="s">
        <v>116</v>
      </c>
      <c r="D101" s="2" t="s">
        <v>122</v>
      </c>
      <c r="E101" s="2">
        <v>13.47</v>
      </c>
      <c r="F101" s="2">
        <v>13.47</v>
      </c>
      <c r="G101" s="2"/>
      <c r="H101" s="2"/>
      <c r="I101" s="2" t="b">
        <f t="shared" si="0"/>
        <v>1</v>
      </c>
      <c r="J101" s="2"/>
      <c r="K101" s="2"/>
      <c r="L101" s="2"/>
      <c r="M101" s="2"/>
      <c r="N101" s="2"/>
      <c r="O101" s="2"/>
      <c r="P101" s="2"/>
      <c r="Q101" s="2"/>
      <c r="R101" s="2"/>
      <c r="S101" s="2"/>
      <c r="T101" s="2"/>
      <c r="U101" s="2"/>
      <c r="V101" s="2"/>
      <c r="W101" s="2"/>
    </row>
    <row r="102" spans="1:23" ht="75" customHeight="1" x14ac:dyDescent="0.15">
      <c r="A102" s="2">
        <v>107</v>
      </c>
      <c r="B102" s="2" t="s">
        <v>115</v>
      </c>
      <c r="C102" s="2" t="s">
        <v>116</v>
      </c>
      <c r="D102" s="2" t="s">
        <v>123</v>
      </c>
      <c r="E102" s="2">
        <v>8.94</v>
      </c>
      <c r="F102" s="2">
        <v>8.94</v>
      </c>
      <c r="G102" s="2"/>
      <c r="H102" s="2"/>
      <c r="I102" s="2" t="b">
        <f t="shared" si="0"/>
        <v>1</v>
      </c>
      <c r="J102" s="2"/>
      <c r="K102" s="2"/>
      <c r="L102" s="2"/>
      <c r="M102" s="2"/>
      <c r="N102" s="2"/>
      <c r="O102" s="2"/>
      <c r="P102" s="2"/>
      <c r="Q102" s="2"/>
      <c r="R102" s="2"/>
      <c r="S102" s="2"/>
      <c r="T102" s="2"/>
      <c r="U102" s="2"/>
      <c r="V102" s="2"/>
      <c r="W102" s="2"/>
    </row>
    <row r="103" spans="1:23" ht="75" customHeight="1" x14ac:dyDescent="0.15">
      <c r="A103" s="2">
        <v>108</v>
      </c>
      <c r="B103" s="2" t="s">
        <v>115</v>
      </c>
      <c r="C103" s="2" t="s">
        <v>116</v>
      </c>
      <c r="D103" s="2" t="s">
        <v>124</v>
      </c>
      <c r="E103" s="2">
        <v>7.84</v>
      </c>
      <c r="F103" s="2">
        <v>7.84</v>
      </c>
      <c r="G103" s="2"/>
      <c r="H103" s="2"/>
      <c r="I103" s="2" t="b">
        <f t="shared" si="0"/>
        <v>1</v>
      </c>
      <c r="J103" s="2"/>
      <c r="K103" s="2"/>
      <c r="L103" s="2"/>
      <c r="M103" s="2"/>
      <c r="N103" s="2"/>
      <c r="O103" s="2"/>
      <c r="P103" s="2"/>
      <c r="Q103" s="2"/>
      <c r="R103" s="2"/>
      <c r="S103" s="2"/>
      <c r="T103" s="2"/>
      <c r="U103" s="2"/>
      <c r="V103" s="2"/>
      <c r="W103" s="2"/>
    </row>
    <row r="104" spans="1:23" ht="75" customHeight="1" x14ac:dyDescent="0.15">
      <c r="A104" s="2">
        <v>109</v>
      </c>
      <c r="B104" s="2" t="s">
        <v>115</v>
      </c>
      <c r="C104" s="2" t="s">
        <v>116</v>
      </c>
      <c r="D104" s="2" t="s">
        <v>125</v>
      </c>
      <c r="E104" s="2">
        <v>8.34</v>
      </c>
      <c r="F104" s="2">
        <v>8.34</v>
      </c>
      <c r="G104" s="2"/>
      <c r="H104" s="2"/>
      <c r="I104" s="2" t="b">
        <f t="shared" si="0"/>
        <v>1</v>
      </c>
      <c r="J104" s="2"/>
      <c r="K104" s="2"/>
      <c r="L104" s="2"/>
      <c r="M104" s="2"/>
      <c r="N104" s="2"/>
      <c r="O104" s="2"/>
      <c r="P104" s="2"/>
      <c r="Q104" s="2"/>
      <c r="R104" s="2"/>
      <c r="S104" s="2"/>
      <c r="T104" s="2"/>
      <c r="U104" s="2"/>
      <c r="V104" s="2"/>
      <c r="W104" s="2"/>
    </row>
    <row r="105" spans="1:23" ht="75" customHeight="1" x14ac:dyDescent="0.15">
      <c r="A105" s="2">
        <v>110</v>
      </c>
      <c r="B105" s="2" t="s">
        <v>115</v>
      </c>
      <c r="C105" s="2" t="s">
        <v>116</v>
      </c>
      <c r="D105" s="2" t="s">
        <v>126</v>
      </c>
      <c r="E105" s="2">
        <v>11.66</v>
      </c>
      <c r="F105" s="2">
        <v>11.66</v>
      </c>
      <c r="G105" s="2"/>
      <c r="H105" s="2"/>
      <c r="I105" s="2" t="b">
        <f t="shared" si="0"/>
        <v>1</v>
      </c>
      <c r="J105" s="2"/>
      <c r="K105" s="2"/>
      <c r="L105" s="2"/>
      <c r="M105" s="2"/>
      <c r="N105" s="2"/>
      <c r="O105" s="2"/>
      <c r="P105" s="2"/>
      <c r="Q105" s="2"/>
      <c r="R105" s="2"/>
      <c r="S105" s="2"/>
      <c r="T105" s="2"/>
      <c r="U105" s="2"/>
      <c r="V105" s="2"/>
      <c r="W105" s="2"/>
    </row>
    <row r="106" spans="1:23" ht="75" customHeight="1" x14ac:dyDescent="0.15">
      <c r="A106" s="2">
        <v>111</v>
      </c>
      <c r="B106" s="2" t="s">
        <v>115</v>
      </c>
      <c r="C106" s="2" t="s">
        <v>116</v>
      </c>
      <c r="D106" s="2" t="s">
        <v>127</v>
      </c>
      <c r="E106" s="2">
        <v>8.76</v>
      </c>
      <c r="F106" s="2">
        <v>8.76</v>
      </c>
      <c r="G106" s="2"/>
      <c r="H106" s="2"/>
      <c r="I106" s="2" t="b">
        <f t="shared" si="0"/>
        <v>1</v>
      </c>
      <c r="J106" s="2"/>
      <c r="K106" s="2"/>
      <c r="L106" s="2"/>
      <c r="M106" s="2"/>
      <c r="N106" s="2"/>
      <c r="O106" s="2"/>
      <c r="P106" s="2"/>
      <c r="Q106" s="2"/>
      <c r="R106" s="2"/>
      <c r="S106" s="2"/>
      <c r="T106" s="2"/>
      <c r="U106" s="2"/>
      <c r="V106" s="2"/>
      <c r="W106" s="2"/>
    </row>
    <row r="107" spans="1:23" ht="75" customHeight="1" x14ac:dyDescent="0.15">
      <c r="A107" s="2">
        <v>112</v>
      </c>
      <c r="B107" s="2" t="s">
        <v>115</v>
      </c>
      <c r="C107" s="2" t="s">
        <v>116</v>
      </c>
      <c r="D107" s="2" t="s">
        <v>128</v>
      </c>
      <c r="E107" s="2">
        <v>7.68</v>
      </c>
      <c r="F107" s="2">
        <v>7.68</v>
      </c>
      <c r="G107" s="2"/>
      <c r="H107" s="2"/>
      <c r="I107" s="2" t="b">
        <f t="shared" si="0"/>
        <v>1</v>
      </c>
      <c r="J107" s="2"/>
      <c r="K107" s="2"/>
      <c r="L107" s="2"/>
      <c r="M107" s="2"/>
      <c r="N107" s="2"/>
      <c r="O107" s="2"/>
      <c r="P107" s="2"/>
      <c r="Q107" s="2"/>
      <c r="R107" s="2"/>
      <c r="S107" s="2"/>
      <c r="T107" s="2"/>
      <c r="U107" s="2"/>
      <c r="V107" s="2"/>
      <c r="W107" s="2"/>
    </row>
    <row r="108" spans="1:23" ht="75" customHeight="1" x14ac:dyDescent="0.15">
      <c r="A108" s="2">
        <v>113</v>
      </c>
      <c r="B108" s="2" t="s">
        <v>115</v>
      </c>
      <c r="C108" s="2" t="s">
        <v>116</v>
      </c>
      <c r="D108" s="2" t="s">
        <v>129</v>
      </c>
      <c r="E108" s="2">
        <v>10.6</v>
      </c>
      <c r="F108" s="2">
        <v>10.6</v>
      </c>
      <c r="G108" s="2"/>
      <c r="H108" s="2"/>
      <c r="I108" s="2" t="b">
        <f t="shared" si="0"/>
        <v>1</v>
      </c>
      <c r="J108" s="2"/>
      <c r="K108" s="2"/>
      <c r="L108" s="2"/>
      <c r="M108" s="2"/>
      <c r="N108" s="2"/>
      <c r="O108" s="2"/>
      <c r="P108" s="2"/>
      <c r="Q108" s="2"/>
      <c r="R108" s="2"/>
      <c r="S108" s="2"/>
      <c r="T108" s="2"/>
      <c r="U108" s="2"/>
      <c r="V108" s="2"/>
      <c r="W108" s="2"/>
    </row>
    <row r="109" spans="1:23" ht="75" customHeight="1" x14ac:dyDescent="0.15">
      <c r="A109" s="2">
        <v>114</v>
      </c>
      <c r="B109" s="2" t="s">
        <v>115</v>
      </c>
      <c r="C109" s="2" t="s">
        <v>116</v>
      </c>
      <c r="D109" s="2" t="s">
        <v>130</v>
      </c>
      <c r="E109" s="2">
        <v>10.02</v>
      </c>
      <c r="F109" s="2">
        <v>10.02</v>
      </c>
      <c r="G109" s="3">
        <v>10</v>
      </c>
      <c r="H109" s="4" t="s">
        <v>131</v>
      </c>
      <c r="I109" s="2" t="b">
        <f t="shared" si="0"/>
        <v>1</v>
      </c>
      <c r="J109" s="2"/>
      <c r="K109" s="2"/>
      <c r="L109" s="2"/>
      <c r="M109" s="2"/>
      <c r="N109" s="2"/>
      <c r="O109" s="2"/>
      <c r="P109" s="2"/>
      <c r="Q109" s="2"/>
      <c r="R109" s="2"/>
      <c r="S109" s="2"/>
      <c r="T109" s="2"/>
      <c r="U109" s="2"/>
      <c r="V109" s="2"/>
      <c r="W109" s="2"/>
    </row>
    <row r="110" spans="1:23" ht="75" customHeight="1" x14ac:dyDescent="0.15">
      <c r="A110" s="2">
        <v>115</v>
      </c>
      <c r="B110" s="2" t="s">
        <v>115</v>
      </c>
      <c r="C110" s="2" t="s">
        <v>116</v>
      </c>
      <c r="D110" s="2" t="s">
        <v>132</v>
      </c>
      <c r="E110" s="2">
        <v>9.16</v>
      </c>
      <c r="F110" s="2">
        <v>9.16</v>
      </c>
      <c r="G110" s="2"/>
      <c r="H110" s="2"/>
      <c r="I110" s="2" t="b">
        <f t="shared" si="0"/>
        <v>1</v>
      </c>
      <c r="J110" s="2"/>
      <c r="K110" s="2"/>
      <c r="L110" s="2"/>
      <c r="M110" s="2"/>
      <c r="N110" s="2"/>
      <c r="O110" s="2"/>
      <c r="P110" s="2"/>
      <c r="Q110" s="2"/>
      <c r="R110" s="2"/>
      <c r="S110" s="2"/>
      <c r="T110" s="2"/>
      <c r="U110" s="2"/>
      <c r="V110" s="2"/>
      <c r="W110" s="2"/>
    </row>
    <row r="111" spans="1:23" ht="75" customHeight="1" x14ac:dyDescent="0.15">
      <c r="A111" s="2">
        <v>116</v>
      </c>
      <c r="B111" s="2" t="s">
        <v>115</v>
      </c>
      <c r="C111" s="2" t="s">
        <v>116</v>
      </c>
      <c r="D111" s="2" t="s">
        <v>133</v>
      </c>
      <c r="E111" s="2">
        <v>15.6</v>
      </c>
      <c r="F111" s="2">
        <v>15.6</v>
      </c>
      <c r="G111" s="2"/>
      <c r="H111" s="2"/>
      <c r="I111" s="2" t="b">
        <f t="shared" si="0"/>
        <v>1</v>
      </c>
      <c r="J111" s="2"/>
      <c r="K111" s="2"/>
      <c r="L111" s="2"/>
      <c r="M111" s="2"/>
      <c r="N111" s="2"/>
      <c r="O111" s="2"/>
      <c r="P111" s="2"/>
      <c r="Q111" s="2"/>
      <c r="R111" s="2"/>
      <c r="S111" s="2"/>
      <c r="T111" s="2"/>
      <c r="U111" s="2"/>
      <c r="V111" s="2"/>
      <c r="W111" s="2"/>
    </row>
    <row r="112" spans="1:23" ht="75" customHeight="1" x14ac:dyDescent="0.15">
      <c r="A112" s="2">
        <v>117</v>
      </c>
      <c r="B112" s="2" t="s">
        <v>115</v>
      </c>
      <c r="C112" s="2" t="s">
        <v>116</v>
      </c>
      <c r="D112" s="2" t="s">
        <v>134</v>
      </c>
      <c r="E112" s="2">
        <v>11.12</v>
      </c>
      <c r="F112" s="2">
        <v>11.12</v>
      </c>
      <c r="G112" s="3">
        <v>11.1</v>
      </c>
      <c r="H112" s="4" t="s">
        <v>131</v>
      </c>
      <c r="I112" s="2" t="b">
        <f t="shared" si="0"/>
        <v>1</v>
      </c>
      <c r="J112" s="2"/>
      <c r="K112" s="2"/>
      <c r="L112" s="2"/>
      <c r="M112" s="2"/>
      <c r="N112" s="2"/>
      <c r="O112" s="2"/>
      <c r="P112" s="2"/>
      <c r="Q112" s="2"/>
      <c r="R112" s="2"/>
      <c r="S112" s="2"/>
      <c r="T112" s="2"/>
      <c r="U112" s="2"/>
      <c r="V112" s="2"/>
      <c r="W112" s="2"/>
    </row>
    <row r="113" spans="1:23" ht="75" customHeight="1" x14ac:dyDescent="0.15">
      <c r="A113" s="2">
        <v>118</v>
      </c>
      <c r="B113" s="2" t="s">
        <v>115</v>
      </c>
      <c r="C113" s="2" t="s">
        <v>116</v>
      </c>
      <c r="D113" s="2" t="s">
        <v>135</v>
      </c>
      <c r="E113" s="2">
        <v>10.94</v>
      </c>
      <c r="F113" s="2">
        <v>10.94</v>
      </c>
      <c r="G113" s="2"/>
      <c r="H113" s="2"/>
      <c r="I113" s="2" t="b">
        <f t="shared" si="0"/>
        <v>1</v>
      </c>
      <c r="J113" s="2"/>
      <c r="K113" s="2"/>
      <c r="L113" s="2"/>
      <c r="M113" s="2"/>
      <c r="N113" s="2"/>
      <c r="O113" s="2"/>
      <c r="P113" s="2"/>
      <c r="Q113" s="2"/>
      <c r="R113" s="2"/>
      <c r="S113" s="2"/>
      <c r="T113" s="2"/>
      <c r="U113" s="2"/>
      <c r="V113" s="2"/>
      <c r="W113" s="2"/>
    </row>
    <row r="114" spans="1:23" ht="75" customHeight="1" x14ac:dyDescent="0.15">
      <c r="A114" s="2">
        <v>119</v>
      </c>
      <c r="B114" s="2" t="s">
        <v>115</v>
      </c>
      <c r="C114" s="2" t="s">
        <v>116</v>
      </c>
      <c r="D114" s="2" t="s">
        <v>136</v>
      </c>
      <c r="E114" s="2">
        <v>9.66</v>
      </c>
      <c r="F114" s="2">
        <v>9.66</v>
      </c>
      <c r="G114" s="2"/>
      <c r="H114" s="2"/>
      <c r="I114" s="2" t="b">
        <f t="shared" si="0"/>
        <v>1</v>
      </c>
      <c r="J114" s="2"/>
      <c r="K114" s="2"/>
      <c r="L114" s="2"/>
      <c r="M114" s="2"/>
      <c r="N114" s="2"/>
      <c r="O114" s="2"/>
      <c r="P114" s="2"/>
      <c r="Q114" s="2"/>
      <c r="R114" s="2"/>
      <c r="S114" s="2"/>
      <c r="T114" s="2"/>
      <c r="U114" s="2"/>
      <c r="V114" s="2"/>
      <c r="W114" s="2"/>
    </row>
    <row r="115" spans="1:23" ht="75" customHeight="1" x14ac:dyDescent="0.15">
      <c r="A115" s="2">
        <v>120</v>
      </c>
      <c r="B115" s="2" t="s">
        <v>137</v>
      </c>
      <c r="C115" s="2" t="s">
        <v>138</v>
      </c>
      <c r="D115" s="2" t="s">
        <v>139</v>
      </c>
      <c r="E115" s="2">
        <v>3</v>
      </c>
      <c r="F115" s="2">
        <v>3</v>
      </c>
      <c r="G115" s="2"/>
      <c r="H115" s="2"/>
      <c r="I115" s="2" t="b">
        <f t="shared" si="0"/>
        <v>1</v>
      </c>
      <c r="J115" s="2"/>
      <c r="K115" s="2"/>
      <c r="L115" s="2"/>
      <c r="M115" s="2"/>
      <c r="N115" s="2"/>
      <c r="O115" s="2"/>
      <c r="P115" s="2"/>
      <c r="Q115" s="2"/>
      <c r="R115" s="2"/>
      <c r="S115" s="2"/>
      <c r="T115" s="2"/>
      <c r="U115" s="2"/>
      <c r="V115" s="2"/>
      <c r="W115" s="2"/>
    </row>
    <row r="116" spans="1:23" ht="75" customHeight="1" x14ac:dyDescent="0.15">
      <c r="A116" s="2">
        <v>121</v>
      </c>
      <c r="B116" s="2" t="s">
        <v>137</v>
      </c>
      <c r="C116" s="2" t="s">
        <v>138</v>
      </c>
      <c r="D116" s="2" t="s">
        <v>140</v>
      </c>
      <c r="E116" s="2">
        <v>4.5</v>
      </c>
      <c r="F116" s="2">
        <v>4.5</v>
      </c>
      <c r="G116" s="2"/>
      <c r="H116" s="2"/>
      <c r="I116" s="2" t="b">
        <f t="shared" si="0"/>
        <v>1</v>
      </c>
      <c r="J116" s="2"/>
      <c r="K116" s="2"/>
      <c r="L116" s="2"/>
      <c r="M116" s="2"/>
      <c r="N116" s="2"/>
      <c r="O116" s="2"/>
      <c r="P116" s="2"/>
      <c r="Q116" s="2"/>
      <c r="R116" s="2"/>
      <c r="S116" s="2"/>
      <c r="T116" s="2"/>
      <c r="U116" s="2"/>
      <c r="V116" s="2"/>
      <c r="W116" s="2"/>
    </row>
    <row r="117" spans="1:23" ht="75" customHeight="1" x14ac:dyDescent="0.15">
      <c r="A117" s="2">
        <v>123</v>
      </c>
      <c r="B117" s="2" t="s">
        <v>137</v>
      </c>
      <c r="C117" s="2" t="s">
        <v>138</v>
      </c>
      <c r="D117" s="2" t="s">
        <v>141</v>
      </c>
      <c r="E117" s="2">
        <v>4.5</v>
      </c>
      <c r="F117" s="2">
        <v>4.5</v>
      </c>
      <c r="G117" s="2"/>
      <c r="H117" s="2"/>
      <c r="I117" s="2" t="b">
        <f t="shared" si="0"/>
        <v>1</v>
      </c>
      <c r="J117" s="2"/>
      <c r="K117" s="2"/>
      <c r="L117" s="2"/>
      <c r="M117" s="2"/>
      <c r="N117" s="2"/>
      <c r="O117" s="2"/>
      <c r="P117" s="2"/>
      <c r="Q117" s="2"/>
      <c r="R117" s="2"/>
      <c r="S117" s="2"/>
      <c r="T117" s="2"/>
      <c r="U117" s="2"/>
      <c r="V117" s="2"/>
      <c r="W117" s="2"/>
    </row>
    <row r="118" spans="1:23" ht="75" customHeight="1" x14ac:dyDescent="0.15">
      <c r="A118" s="2">
        <v>124</v>
      </c>
      <c r="B118" s="2" t="s">
        <v>137</v>
      </c>
      <c r="C118" s="2" t="s">
        <v>138</v>
      </c>
      <c r="D118" s="2" t="s">
        <v>142</v>
      </c>
      <c r="E118" s="2">
        <v>1.5</v>
      </c>
      <c r="F118" s="2">
        <v>1.5</v>
      </c>
      <c r="G118" s="2"/>
      <c r="H118" s="2"/>
      <c r="I118" s="2" t="b">
        <f t="shared" si="0"/>
        <v>1</v>
      </c>
      <c r="J118" s="2"/>
      <c r="K118" s="2"/>
      <c r="L118" s="2"/>
      <c r="M118" s="2"/>
      <c r="N118" s="2"/>
      <c r="O118" s="2"/>
      <c r="P118" s="2"/>
      <c r="Q118" s="2"/>
      <c r="R118" s="2"/>
      <c r="S118" s="2"/>
      <c r="T118" s="2"/>
      <c r="U118" s="2"/>
      <c r="V118" s="2"/>
      <c r="W118" s="2"/>
    </row>
    <row r="119" spans="1:23" ht="75" customHeight="1" x14ac:dyDescent="0.15">
      <c r="A119" s="2">
        <v>126</v>
      </c>
      <c r="B119" s="2" t="s">
        <v>137</v>
      </c>
      <c r="C119" s="2" t="s">
        <v>138</v>
      </c>
      <c r="D119" s="2" t="s">
        <v>143</v>
      </c>
      <c r="E119" s="2">
        <v>0</v>
      </c>
      <c r="F119" s="2">
        <v>0</v>
      </c>
      <c r="G119" s="2"/>
      <c r="H119" s="2"/>
      <c r="I119" s="2" t="b">
        <f t="shared" si="0"/>
        <v>1</v>
      </c>
      <c r="J119" s="2"/>
      <c r="K119" s="2"/>
      <c r="L119" s="2"/>
      <c r="M119" s="2"/>
      <c r="N119" s="2"/>
      <c r="O119" s="2"/>
      <c r="P119" s="2"/>
      <c r="Q119" s="2"/>
      <c r="R119" s="2"/>
      <c r="S119" s="2"/>
      <c r="T119" s="2"/>
      <c r="U119" s="2"/>
      <c r="V119" s="2"/>
      <c r="W119" s="2"/>
    </row>
    <row r="120" spans="1:23" ht="75" customHeight="1" x14ac:dyDescent="0.15">
      <c r="A120" s="2">
        <v>127</v>
      </c>
      <c r="B120" s="2" t="s">
        <v>137</v>
      </c>
      <c r="C120" s="2" t="s">
        <v>138</v>
      </c>
      <c r="D120" s="2" t="s">
        <v>144</v>
      </c>
      <c r="E120" s="2">
        <v>1.5</v>
      </c>
      <c r="F120" s="2">
        <v>1.5</v>
      </c>
      <c r="G120" s="2"/>
      <c r="H120" s="2"/>
      <c r="I120" s="2" t="b">
        <f t="shared" si="0"/>
        <v>1</v>
      </c>
      <c r="J120" s="2"/>
      <c r="K120" s="2"/>
      <c r="L120" s="2"/>
      <c r="M120" s="2"/>
      <c r="N120" s="2"/>
      <c r="O120" s="2"/>
      <c r="P120" s="2"/>
      <c r="Q120" s="2"/>
      <c r="R120" s="2"/>
      <c r="S120" s="2"/>
      <c r="T120" s="2"/>
      <c r="U120" s="2"/>
      <c r="V120" s="2"/>
      <c r="W120" s="2"/>
    </row>
    <row r="121" spans="1:23" ht="75" customHeight="1" x14ac:dyDescent="0.15">
      <c r="A121" s="2">
        <v>128</v>
      </c>
      <c r="B121" s="2" t="s">
        <v>137</v>
      </c>
      <c r="C121" s="2" t="s">
        <v>138</v>
      </c>
      <c r="D121" s="2" t="s">
        <v>145</v>
      </c>
      <c r="E121" s="2">
        <v>0</v>
      </c>
      <c r="F121" s="2">
        <v>0</v>
      </c>
      <c r="G121" s="2"/>
      <c r="H121" s="2"/>
      <c r="I121" s="2" t="b">
        <f t="shared" si="0"/>
        <v>1</v>
      </c>
      <c r="J121" s="2"/>
      <c r="K121" s="2"/>
      <c r="L121" s="2"/>
      <c r="M121" s="2"/>
      <c r="N121" s="2"/>
      <c r="O121" s="2"/>
      <c r="P121" s="2"/>
      <c r="Q121" s="2"/>
      <c r="R121" s="2"/>
      <c r="S121" s="2"/>
      <c r="T121" s="2"/>
      <c r="U121" s="2"/>
      <c r="V121" s="2"/>
      <c r="W121" s="2"/>
    </row>
    <row r="122" spans="1:23" ht="75" customHeight="1" x14ac:dyDescent="0.15">
      <c r="A122" s="2">
        <v>129</v>
      </c>
      <c r="B122" s="2" t="s">
        <v>137</v>
      </c>
      <c r="C122" s="2" t="s">
        <v>138</v>
      </c>
      <c r="D122" s="2" t="s">
        <v>146</v>
      </c>
      <c r="E122" s="2">
        <v>2.5</v>
      </c>
      <c r="F122" s="2">
        <v>2.5</v>
      </c>
      <c r="G122" s="2"/>
      <c r="H122" s="2"/>
      <c r="I122" s="2" t="b">
        <f t="shared" si="0"/>
        <v>1</v>
      </c>
      <c r="J122" s="2"/>
      <c r="K122" s="2"/>
      <c r="L122" s="2"/>
      <c r="M122" s="2"/>
      <c r="N122" s="2"/>
      <c r="O122" s="2"/>
      <c r="P122" s="2"/>
      <c r="Q122" s="2"/>
      <c r="R122" s="2"/>
      <c r="S122" s="2"/>
      <c r="T122" s="2"/>
      <c r="U122" s="2"/>
      <c r="V122" s="2"/>
      <c r="W122" s="2"/>
    </row>
    <row r="123" spans="1:23" ht="75" customHeight="1" x14ac:dyDescent="0.15">
      <c r="A123" s="2">
        <v>132</v>
      </c>
      <c r="B123" s="2" t="s">
        <v>137</v>
      </c>
      <c r="C123" s="2" t="s">
        <v>138</v>
      </c>
      <c r="D123" s="2" t="s">
        <v>147</v>
      </c>
      <c r="E123" s="2">
        <v>1</v>
      </c>
      <c r="F123" s="2">
        <v>1</v>
      </c>
      <c r="G123" s="2"/>
      <c r="H123" s="2"/>
      <c r="I123" s="2" t="b">
        <f t="shared" si="0"/>
        <v>1</v>
      </c>
      <c r="J123" s="2"/>
      <c r="K123" s="2"/>
      <c r="L123" s="2"/>
      <c r="M123" s="2"/>
      <c r="N123" s="2"/>
      <c r="O123" s="2"/>
      <c r="P123" s="2"/>
      <c r="Q123" s="2"/>
      <c r="R123" s="2"/>
      <c r="S123" s="2"/>
      <c r="T123" s="2"/>
      <c r="U123" s="2"/>
      <c r="V123" s="2"/>
      <c r="W123" s="2"/>
    </row>
    <row r="124" spans="1:23" ht="75" customHeight="1" x14ac:dyDescent="0.15">
      <c r="A124" s="2">
        <v>133</v>
      </c>
      <c r="B124" s="2" t="s">
        <v>137</v>
      </c>
      <c r="C124" s="2" t="s">
        <v>138</v>
      </c>
      <c r="D124" s="2" t="s">
        <v>148</v>
      </c>
      <c r="E124" s="2">
        <v>0</v>
      </c>
      <c r="F124" s="2">
        <v>0</v>
      </c>
      <c r="G124" s="2"/>
      <c r="H124" s="2"/>
      <c r="I124" s="2" t="b">
        <f t="shared" si="0"/>
        <v>1</v>
      </c>
      <c r="J124" s="2"/>
      <c r="K124" s="2"/>
      <c r="L124" s="2"/>
      <c r="M124" s="2"/>
      <c r="N124" s="2"/>
      <c r="O124" s="2"/>
      <c r="P124" s="2"/>
      <c r="Q124" s="2"/>
      <c r="R124" s="2"/>
      <c r="S124" s="2"/>
      <c r="T124" s="2"/>
      <c r="U124" s="2"/>
      <c r="V124" s="2"/>
      <c r="W124" s="2"/>
    </row>
    <row r="125" spans="1:23" ht="75" customHeight="1" x14ac:dyDescent="0.15">
      <c r="A125" s="2">
        <v>134</v>
      </c>
      <c r="B125" s="2" t="s">
        <v>137</v>
      </c>
      <c r="C125" s="2" t="s">
        <v>138</v>
      </c>
      <c r="D125" s="2" t="s">
        <v>149</v>
      </c>
      <c r="E125" s="2">
        <v>1.5</v>
      </c>
      <c r="F125" s="2">
        <v>1.5</v>
      </c>
      <c r="G125" s="2"/>
      <c r="H125" s="2"/>
      <c r="I125" s="2" t="b">
        <f t="shared" si="0"/>
        <v>1</v>
      </c>
      <c r="J125" s="2"/>
      <c r="K125" s="2"/>
      <c r="L125" s="2"/>
      <c r="M125" s="2"/>
      <c r="N125" s="2"/>
      <c r="O125" s="2"/>
      <c r="P125" s="2"/>
      <c r="Q125" s="2"/>
      <c r="R125" s="2"/>
      <c r="S125" s="2"/>
      <c r="T125" s="2"/>
      <c r="U125" s="2"/>
      <c r="V125" s="2"/>
      <c r="W125" s="2"/>
    </row>
    <row r="126" spans="1:23" ht="75" customHeight="1" x14ac:dyDescent="0.15">
      <c r="A126" s="2">
        <v>135</v>
      </c>
      <c r="B126" s="2" t="s">
        <v>137</v>
      </c>
      <c r="C126" s="2" t="s">
        <v>138</v>
      </c>
      <c r="D126" s="2" t="s">
        <v>150</v>
      </c>
      <c r="E126" s="2">
        <v>1.5</v>
      </c>
      <c r="F126" s="2">
        <v>1.5</v>
      </c>
      <c r="G126" s="2"/>
      <c r="H126" s="2"/>
      <c r="I126" s="2" t="b">
        <f t="shared" si="0"/>
        <v>1</v>
      </c>
      <c r="J126" s="2"/>
      <c r="K126" s="2"/>
      <c r="L126" s="2"/>
      <c r="M126" s="2"/>
      <c r="N126" s="2"/>
      <c r="O126" s="2"/>
      <c r="P126" s="2"/>
      <c r="Q126" s="2"/>
      <c r="R126" s="2"/>
      <c r="S126" s="2"/>
      <c r="T126" s="2"/>
      <c r="U126" s="2"/>
      <c r="V126" s="2"/>
      <c r="W126" s="2"/>
    </row>
    <row r="127" spans="1:23" ht="75" customHeight="1" x14ac:dyDescent="0.15">
      <c r="A127" s="2">
        <v>136</v>
      </c>
      <c r="B127" s="2" t="s">
        <v>137</v>
      </c>
      <c r="C127" s="2" t="s">
        <v>138</v>
      </c>
      <c r="D127" s="2" t="s">
        <v>151</v>
      </c>
      <c r="E127" s="2">
        <v>1.5</v>
      </c>
      <c r="F127" s="2">
        <v>1.5</v>
      </c>
      <c r="G127" s="2"/>
      <c r="H127" s="2"/>
      <c r="I127" s="2" t="b">
        <f t="shared" si="0"/>
        <v>1</v>
      </c>
      <c r="J127" s="2"/>
      <c r="K127" s="2"/>
      <c r="L127" s="2"/>
      <c r="M127" s="2"/>
      <c r="N127" s="2"/>
      <c r="O127" s="2"/>
      <c r="P127" s="2"/>
      <c r="Q127" s="2"/>
      <c r="R127" s="2"/>
      <c r="S127" s="2"/>
      <c r="T127" s="2"/>
      <c r="U127" s="2"/>
      <c r="V127" s="2"/>
      <c r="W127" s="2"/>
    </row>
    <row r="128" spans="1:23" ht="75" customHeight="1" x14ac:dyDescent="0.15">
      <c r="A128" s="2">
        <v>138</v>
      </c>
      <c r="B128" s="2" t="s">
        <v>137</v>
      </c>
      <c r="C128" s="2" t="s">
        <v>138</v>
      </c>
      <c r="D128" s="2" t="s">
        <v>152</v>
      </c>
      <c r="E128" s="2">
        <v>0</v>
      </c>
      <c r="F128" s="2">
        <v>0</v>
      </c>
      <c r="G128" s="3">
        <v>0</v>
      </c>
      <c r="H128" s="4" t="s">
        <v>153</v>
      </c>
      <c r="I128" s="2" t="b">
        <f t="shared" si="0"/>
        <v>1</v>
      </c>
      <c r="J128" s="2"/>
      <c r="K128" s="2"/>
      <c r="L128" s="2"/>
      <c r="M128" s="2"/>
      <c r="N128" s="2"/>
      <c r="O128" s="2"/>
      <c r="P128" s="2"/>
      <c r="Q128" s="2"/>
      <c r="R128" s="2"/>
      <c r="S128" s="2"/>
      <c r="T128" s="2"/>
      <c r="U128" s="2"/>
      <c r="V128" s="2"/>
      <c r="W128" s="2"/>
    </row>
    <row r="129" spans="1:23" ht="75" customHeight="1" x14ac:dyDescent="0.15">
      <c r="A129" s="2">
        <v>139</v>
      </c>
      <c r="B129" s="2" t="s">
        <v>137</v>
      </c>
      <c r="C129" s="2" t="s">
        <v>138</v>
      </c>
      <c r="D129" s="2" t="s">
        <v>154</v>
      </c>
      <c r="E129" s="2">
        <v>0</v>
      </c>
      <c r="F129" s="2">
        <v>0</v>
      </c>
      <c r="G129" s="2"/>
      <c r="H129" s="2"/>
      <c r="I129" s="2" t="b">
        <f t="shared" si="0"/>
        <v>1</v>
      </c>
      <c r="J129" s="2"/>
      <c r="K129" s="2"/>
      <c r="L129" s="2"/>
      <c r="M129" s="2"/>
      <c r="N129" s="2"/>
      <c r="O129" s="2"/>
      <c r="P129" s="2"/>
      <c r="Q129" s="2"/>
      <c r="R129" s="2"/>
      <c r="S129" s="2"/>
      <c r="T129" s="2"/>
      <c r="U129" s="2"/>
      <c r="V129" s="2"/>
      <c r="W129" s="2"/>
    </row>
    <row r="130" spans="1:23" ht="75" customHeight="1" x14ac:dyDescent="0.15">
      <c r="A130" s="2">
        <v>141</v>
      </c>
      <c r="B130" s="2" t="s">
        <v>155</v>
      </c>
      <c r="C130" s="2" t="s">
        <v>156</v>
      </c>
      <c r="D130" s="2" t="s">
        <v>157</v>
      </c>
      <c r="E130" s="2">
        <v>36.340000000000003</v>
      </c>
      <c r="F130" s="2">
        <v>36.340000000000003</v>
      </c>
      <c r="G130" s="2"/>
      <c r="H130" s="2"/>
      <c r="I130" s="2" t="b">
        <f t="shared" si="0"/>
        <v>1</v>
      </c>
      <c r="J130" s="2"/>
      <c r="K130" s="2"/>
      <c r="L130" s="2"/>
      <c r="M130" s="2"/>
      <c r="N130" s="2"/>
      <c r="O130" s="2"/>
      <c r="P130" s="2"/>
      <c r="Q130" s="2"/>
      <c r="R130" s="2"/>
      <c r="S130" s="2"/>
      <c r="T130" s="2"/>
      <c r="U130" s="2"/>
      <c r="V130" s="2"/>
      <c r="W130" s="2"/>
    </row>
    <row r="131" spans="1:23" ht="75" customHeight="1" x14ac:dyDescent="0.15">
      <c r="A131" s="2">
        <v>142</v>
      </c>
      <c r="B131" s="2" t="s">
        <v>155</v>
      </c>
      <c r="C131" s="2" t="s">
        <v>156</v>
      </c>
      <c r="D131" s="2" t="s">
        <v>158</v>
      </c>
      <c r="E131" s="2">
        <v>3.65</v>
      </c>
      <c r="F131" s="2">
        <v>3.65</v>
      </c>
      <c r="G131" s="2"/>
      <c r="H131" s="2"/>
      <c r="I131" s="2" t="b">
        <f t="shared" si="0"/>
        <v>1</v>
      </c>
      <c r="J131" s="2"/>
      <c r="K131" s="2"/>
      <c r="L131" s="2"/>
      <c r="M131" s="2"/>
      <c r="N131" s="2"/>
      <c r="O131" s="2"/>
      <c r="P131" s="2"/>
      <c r="Q131" s="2"/>
      <c r="R131" s="2"/>
      <c r="S131" s="2"/>
      <c r="T131" s="2"/>
      <c r="U131" s="2"/>
      <c r="V131" s="2"/>
      <c r="W131" s="2"/>
    </row>
    <row r="132" spans="1:23" ht="75" customHeight="1" x14ac:dyDescent="0.15">
      <c r="A132" s="2">
        <v>143</v>
      </c>
      <c r="B132" s="2" t="s">
        <v>155</v>
      </c>
      <c r="C132" s="2" t="s">
        <v>156</v>
      </c>
      <c r="D132" s="2" t="s">
        <v>159</v>
      </c>
      <c r="E132" s="2">
        <v>39.090000000000003</v>
      </c>
      <c r="F132" s="2">
        <v>39.090000000000003</v>
      </c>
      <c r="G132" s="2"/>
      <c r="H132" s="2"/>
      <c r="I132" s="2" t="b">
        <f t="shared" si="0"/>
        <v>1</v>
      </c>
      <c r="J132" s="2"/>
      <c r="K132" s="2"/>
      <c r="L132" s="2"/>
      <c r="M132" s="2"/>
      <c r="N132" s="2"/>
      <c r="O132" s="2"/>
      <c r="P132" s="2"/>
      <c r="Q132" s="2"/>
      <c r="R132" s="2"/>
      <c r="S132" s="2"/>
      <c r="T132" s="2"/>
      <c r="U132" s="2"/>
      <c r="V132" s="2"/>
      <c r="W132" s="2"/>
    </row>
    <row r="133" spans="1:23" ht="75" customHeight="1" x14ac:dyDescent="0.15">
      <c r="A133" s="2">
        <v>144</v>
      </c>
      <c r="B133" s="2" t="s">
        <v>155</v>
      </c>
      <c r="C133" s="2" t="s">
        <v>156</v>
      </c>
      <c r="D133" s="2" t="s">
        <v>160</v>
      </c>
      <c r="E133" s="2">
        <v>44.38</v>
      </c>
      <c r="F133" s="2">
        <v>44.38</v>
      </c>
      <c r="G133" s="2"/>
      <c r="H133" s="2"/>
      <c r="I133" s="2" t="b">
        <f t="shared" si="0"/>
        <v>1</v>
      </c>
      <c r="J133" s="2"/>
      <c r="K133" s="2"/>
      <c r="L133" s="2"/>
      <c r="M133" s="2"/>
      <c r="N133" s="2"/>
      <c r="O133" s="2"/>
      <c r="P133" s="2"/>
      <c r="Q133" s="2"/>
      <c r="R133" s="2"/>
      <c r="S133" s="2"/>
      <c r="T133" s="2"/>
      <c r="U133" s="2"/>
      <c r="V133" s="2"/>
      <c r="W133" s="2"/>
    </row>
    <row r="134" spans="1:23" ht="75" customHeight="1" x14ac:dyDescent="0.15">
      <c r="A134" s="2">
        <v>145</v>
      </c>
      <c r="B134" s="2" t="s">
        <v>155</v>
      </c>
      <c r="C134" s="2" t="s">
        <v>156</v>
      </c>
      <c r="D134" s="2" t="s">
        <v>161</v>
      </c>
      <c r="E134" s="2" t="s">
        <v>162</v>
      </c>
      <c r="F134" s="2" t="s">
        <v>163</v>
      </c>
      <c r="G134" s="3">
        <v>6.3</v>
      </c>
      <c r="H134" s="4" t="s">
        <v>164</v>
      </c>
      <c r="I134" s="2" t="b">
        <f t="shared" si="0"/>
        <v>0</v>
      </c>
      <c r="J134" s="2"/>
      <c r="K134" s="2"/>
      <c r="L134" s="2"/>
      <c r="M134" s="2"/>
      <c r="N134" s="2"/>
      <c r="O134" s="2"/>
      <c r="P134" s="2"/>
      <c r="Q134" s="2"/>
      <c r="R134" s="2"/>
      <c r="S134" s="2"/>
      <c r="T134" s="2"/>
      <c r="U134" s="2"/>
      <c r="V134" s="2"/>
      <c r="W134" s="2"/>
    </row>
    <row r="135" spans="1:23" ht="75" customHeight="1" x14ac:dyDescent="0.15">
      <c r="A135" s="2">
        <v>146</v>
      </c>
      <c r="B135" s="2" t="s">
        <v>155</v>
      </c>
      <c r="C135" s="2" t="s">
        <v>156</v>
      </c>
      <c r="D135" s="2" t="s">
        <v>165</v>
      </c>
      <c r="E135" s="2" t="s">
        <v>162</v>
      </c>
      <c r="F135" s="2" t="s">
        <v>162</v>
      </c>
      <c r="G135" s="2"/>
      <c r="H135" s="2"/>
      <c r="I135" s="2" t="b">
        <f t="shared" si="0"/>
        <v>1</v>
      </c>
      <c r="J135" s="2"/>
      <c r="K135" s="2"/>
      <c r="L135" s="2"/>
      <c r="M135" s="2"/>
      <c r="N135" s="2"/>
      <c r="O135" s="2"/>
      <c r="P135" s="2"/>
      <c r="Q135" s="2"/>
      <c r="R135" s="2"/>
      <c r="S135" s="2"/>
      <c r="T135" s="2"/>
      <c r="U135" s="2"/>
      <c r="V135" s="2"/>
      <c r="W135" s="2"/>
    </row>
    <row r="136" spans="1:23" ht="75" customHeight="1" x14ac:dyDescent="0.15">
      <c r="A136" s="2">
        <v>147</v>
      </c>
      <c r="B136" s="2" t="s">
        <v>155</v>
      </c>
      <c r="C136" s="2" t="s">
        <v>156</v>
      </c>
      <c r="D136" s="2" t="s">
        <v>166</v>
      </c>
      <c r="E136" s="2" t="s">
        <v>162</v>
      </c>
      <c r="F136" s="2" t="s">
        <v>162</v>
      </c>
      <c r="G136" s="2"/>
      <c r="H136" s="2"/>
      <c r="I136" s="2" t="b">
        <f t="shared" si="0"/>
        <v>1</v>
      </c>
      <c r="J136" s="2"/>
      <c r="K136" s="2"/>
      <c r="L136" s="2"/>
      <c r="M136" s="2"/>
      <c r="N136" s="2"/>
      <c r="O136" s="2"/>
      <c r="P136" s="2"/>
      <c r="Q136" s="2"/>
      <c r="R136" s="2"/>
      <c r="S136" s="2"/>
      <c r="T136" s="2"/>
      <c r="U136" s="2"/>
      <c r="V136" s="2"/>
      <c r="W136" s="2"/>
    </row>
    <row r="137" spans="1:23" ht="75" customHeight="1" x14ac:dyDescent="0.15">
      <c r="A137" s="2">
        <v>148</v>
      </c>
      <c r="B137" s="2" t="s">
        <v>155</v>
      </c>
      <c r="C137" s="2" t="s">
        <v>156</v>
      </c>
      <c r="D137" s="2" t="s">
        <v>167</v>
      </c>
      <c r="E137" s="2" t="s">
        <v>162</v>
      </c>
      <c r="F137" s="2" t="s">
        <v>162</v>
      </c>
      <c r="G137" s="2"/>
      <c r="H137" s="2"/>
      <c r="I137" s="2" t="b">
        <f t="shared" si="0"/>
        <v>1</v>
      </c>
      <c r="J137" s="2"/>
      <c r="K137" s="2"/>
      <c r="L137" s="2"/>
      <c r="M137" s="2"/>
      <c r="N137" s="2"/>
      <c r="O137" s="2"/>
      <c r="P137" s="2"/>
      <c r="Q137" s="2"/>
      <c r="R137" s="2"/>
      <c r="S137" s="2"/>
      <c r="T137" s="2"/>
      <c r="U137" s="2"/>
      <c r="V137" s="2"/>
      <c r="W137" s="2"/>
    </row>
    <row r="138" spans="1:23" ht="75" customHeight="1" x14ac:dyDescent="0.15">
      <c r="A138" s="2">
        <v>151</v>
      </c>
      <c r="B138" s="2" t="s">
        <v>155</v>
      </c>
      <c r="C138" s="2" t="s">
        <v>156</v>
      </c>
      <c r="D138" s="2" t="s">
        <v>168</v>
      </c>
      <c r="E138" s="2">
        <v>56.78</v>
      </c>
      <c r="F138" s="2">
        <v>56.78</v>
      </c>
      <c r="G138" s="2"/>
      <c r="H138" s="2"/>
      <c r="I138" s="2" t="b">
        <f t="shared" si="0"/>
        <v>1</v>
      </c>
      <c r="J138" s="2"/>
      <c r="K138" s="2"/>
      <c r="L138" s="2"/>
      <c r="M138" s="2"/>
      <c r="N138" s="2"/>
      <c r="O138" s="2"/>
      <c r="P138" s="2"/>
      <c r="Q138" s="2"/>
      <c r="R138" s="2"/>
      <c r="S138" s="2"/>
      <c r="T138" s="2"/>
      <c r="U138" s="2"/>
      <c r="V138" s="2"/>
      <c r="W138" s="2"/>
    </row>
    <row r="139" spans="1:23" ht="75" customHeight="1" x14ac:dyDescent="0.15">
      <c r="A139" s="2">
        <v>152</v>
      </c>
      <c r="B139" s="2" t="s">
        <v>155</v>
      </c>
      <c r="C139" s="2" t="s">
        <v>156</v>
      </c>
      <c r="D139" s="2" t="s">
        <v>169</v>
      </c>
      <c r="E139" s="2" t="s">
        <v>162</v>
      </c>
      <c r="F139" s="2" t="s">
        <v>162</v>
      </c>
      <c r="G139" s="2"/>
      <c r="H139" s="2"/>
      <c r="I139" s="2" t="b">
        <f t="shared" si="0"/>
        <v>1</v>
      </c>
      <c r="J139" s="2"/>
      <c r="K139" s="2"/>
      <c r="L139" s="2"/>
      <c r="M139" s="2"/>
      <c r="N139" s="2"/>
      <c r="O139" s="2"/>
      <c r="P139" s="2"/>
      <c r="Q139" s="2"/>
      <c r="R139" s="2"/>
      <c r="S139" s="2"/>
      <c r="T139" s="2"/>
      <c r="U139" s="2"/>
      <c r="V139" s="2"/>
      <c r="W139" s="2"/>
    </row>
    <row r="140" spans="1:23" ht="75" customHeight="1" x14ac:dyDescent="0.15">
      <c r="A140" s="2">
        <v>153</v>
      </c>
      <c r="B140" s="2" t="s">
        <v>155</v>
      </c>
      <c r="C140" s="2" t="s">
        <v>156</v>
      </c>
      <c r="D140" s="2" t="s">
        <v>170</v>
      </c>
      <c r="E140" s="2">
        <v>37.08</v>
      </c>
      <c r="F140" s="2">
        <v>37.08</v>
      </c>
      <c r="G140" s="2"/>
      <c r="H140" s="2"/>
      <c r="I140" s="2" t="b">
        <f t="shared" si="0"/>
        <v>1</v>
      </c>
      <c r="J140" s="2"/>
      <c r="K140" s="2"/>
      <c r="L140" s="2"/>
      <c r="M140" s="2"/>
      <c r="N140" s="2"/>
      <c r="O140" s="2"/>
      <c r="P140" s="2"/>
      <c r="Q140" s="2"/>
      <c r="R140" s="2"/>
      <c r="S140" s="2"/>
      <c r="T140" s="2"/>
      <c r="U140" s="2"/>
      <c r="V140" s="2"/>
      <c r="W140" s="2"/>
    </row>
    <row r="141" spans="1:23" ht="75" customHeight="1" x14ac:dyDescent="0.15">
      <c r="A141" s="2">
        <v>155</v>
      </c>
      <c r="B141" s="2" t="s">
        <v>155</v>
      </c>
      <c r="C141" s="2" t="s">
        <v>156</v>
      </c>
      <c r="D141" s="2" t="s">
        <v>171</v>
      </c>
      <c r="E141" s="2" t="s">
        <v>162</v>
      </c>
      <c r="F141" s="2" t="s">
        <v>162</v>
      </c>
      <c r="G141" s="2"/>
      <c r="H141" s="2"/>
      <c r="I141" s="2" t="b">
        <f t="shared" si="0"/>
        <v>1</v>
      </c>
      <c r="J141" s="2"/>
      <c r="K141" s="2"/>
      <c r="L141" s="2"/>
      <c r="M141" s="2"/>
      <c r="N141" s="2"/>
      <c r="O141" s="2"/>
      <c r="P141" s="2"/>
      <c r="Q141" s="2"/>
      <c r="R141" s="2"/>
      <c r="S141" s="2"/>
      <c r="T141" s="2"/>
      <c r="U141" s="2"/>
      <c r="V141" s="2"/>
      <c r="W141" s="2"/>
    </row>
    <row r="142" spans="1:23" ht="75" customHeight="1" x14ac:dyDescent="0.15">
      <c r="A142" s="2">
        <v>156</v>
      </c>
      <c r="B142" s="2" t="s">
        <v>155</v>
      </c>
      <c r="C142" s="2" t="s">
        <v>156</v>
      </c>
      <c r="D142" s="2" t="s">
        <v>172</v>
      </c>
      <c r="E142" s="2">
        <v>5.31</v>
      </c>
      <c r="F142" s="2">
        <v>5.31</v>
      </c>
      <c r="G142" s="2"/>
      <c r="H142" s="2"/>
      <c r="I142" s="2" t="b">
        <f t="shared" si="0"/>
        <v>1</v>
      </c>
      <c r="J142" s="2"/>
      <c r="K142" s="2"/>
      <c r="L142" s="2"/>
      <c r="M142" s="2"/>
      <c r="N142" s="2"/>
      <c r="O142" s="2"/>
      <c r="P142" s="2"/>
      <c r="Q142" s="2"/>
      <c r="R142" s="2"/>
      <c r="S142" s="2"/>
      <c r="T142" s="2"/>
      <c r="U142" s="2"/>
      <c r="V142" s="2"/>
      <c r="W142" s="2"/>
    </row>
    <row r="143" spans="1:23" ht="75" customHeight="1" x14ac:dyDescent="0.15">
      <c r="A143" s="2">
        <v>159</v>
      </c>
      <c r="B143" s="2" t="s">
        <v>155</v>
      </c>
      <c r="C143" s="2" t="s">
        <v>156</v>
      </c>
      <c r="D143" s="2" t="s">
        <v>173</v>
      </c>
      <c r="E143" s="2">
        <v>5.98</v>
      </c>
      <c r="F143" s="2">
        <v>5.98</v>
      </c>
      <c r="G143" s="2"/>
      <c r="H143" s="2"/>
      <c r="I143" s="2" t="b">
        <f t="shared" si="0"/>
        <v>1</v>
      </c>
      <c r="J143" s="2"/>
      <c r="K143" s="2"/>
      <c r="L143" s="2"/>
      <c r="M143" s="2"/>
      <c r="N143" s="2"/>
      <c r="O143" s="2"/>
      <c r="P143" s="2"/>
      <c r="Q143" s="2"/>
      <c r="R143" s="2"/>
      <c r="S143" s="2"/>
      <c r="T143" s="2"/>
      <c r="U143" s="2"/>
      <c r="V143" s="2"/>
      <c r="W143" s="2"/>
    </row>
    <row r="144" spans="1:23" ht="75" customHeight="1" x14ac:dyDescent="0.15">
      <c r="A144" s="2">
        <v>160</v>
      </c>
      <c r="B144" s="2" t="s">
        <v>174</v>
      </c>
      <c r="C144" s="2" t="s">
        <v>175</v>
      </c>
      <c r="D144" s="2" t="s">
        <v>176</v>
      </c>
      <c r="E144" s="2">
        <v>55.07</v>
      </c>
      <c r="F144" s="2">
        <v>55.07</v>
      </c>
      <c r="G144" s="2"/>
      <c r="H144" s="2"/>
      <c r="I144" s="2" t="b">
        <f t="shared" si="0"/>
        <v>1</v>
      </c>
      <c r="J144" s="2"/>
      <c r="K144" s="2"/>
      <c r="L144" s="2"/>
      <c r="M144" s="2"/>
      <c r="N144" s="2"/>
      <c r="O144" s="2"/>
      <c r="P144" s="2"/>
      <c r="Q144" s="2"/>
      <c r="R144" s="2"/>
      <c r="S144" s="2"/>
      <c r="T144" s="2"/>
      <c r="U144" s="2"/>
      <c r="V144" s="2"/>
      <c r="W144" s="2"/>
    </row>
    <row r="145" spans="1:23" ht="75" customHeight="1" x14ac:dyDescent="0.15">
      <c r="A145" s="2">
        <v>161</v>
      </c>
      <c r="B145" s="2" t="s">
        <v>174</v>
      </c>
      <c r="C145" s="2" t="s">
        <v>175</v>
      </c>
      <c r="D145" s="2" t="s">
        <v>177</v>
      </c>
      <c r="E145" s="2">
        <v>72.28</v>
      </c>
      <c r="F145" s="2">
        <v>72.28</v>
      </c>
      <c r="G145" s="2"/>
      <c r="H145" s="2"/>
      <c r="I145" s="2" t="b">
        <f t="shared" si="0"/>
        <v>1</v>
      </c>
      <c r="J145" s="2"/>
      <c r="K145" s="2"/>
      <c r="L145" s="2"/>
      <c r="M145" s="2"/>
      <c r="N145" s="2"/>
      <c r="O145" s="2"/>
      <c r="P145" s="2"/>
      <c r="Q145" s="2"/>
      <c r="R145" s="2"/>
      <c r="S145" s="2"/>
      <c r="T145" s="2"/>
      <c r="U145" s="2"/>
      <c r="V145" s="2"/>
      <c r="W145" s="2"/>
    </row>
    <row r="146" spans="1:23" ht="75" customHeight="1" x14ac:dyDescent="0.15">
      <c r="A146" s="2">
        <v>162</v>
      </c>
      <c r="B146" s="2" t="s">
        <v>174</v>
      </c>
      <c r="C146" s="2" t="s">
        <v>175</v>
      </c>
      <c r="D146" s="2" t="s">
        <v>178</v>
      </c>
      <c r="E146" s="2">
        <v>66.84</v>
      </c>
      <c r="F146" s="2">
        <v>66.84</v>
      </c>
      <c r="G146" s="2"/>
      <c r="H146" s="2"/>
      <c r="I146" s="2" t="b">
        <f t="shared" si="0"/>
        <v>1</v>
      </c>
      <c r="J146" s="2"/>
      <c r="K146" s="2"/>
      <c r="L146" s="2"/>
      <c r="M146" s="2"/>
      <c r="N146" s="2"/>
      <c r="O146" s="2"/>
      <c r="P146" s="2"/>
      <c r="Q146" s="2"/>
      <c r="R146" s="2"/>
      <c r="S146" s="2"/>
      <c r="T146" s="2"/>
      <c r="U146" s="2"/>
      <c r="V146" s="2"/>
      <c r="W146" s="2"/>
    </row>
    <row r="147" spans="1:23" ht="75" customHeight="1" x14ac:dyDescent="0.15">
      <c r="A147" s="2">
        <v>163</v>
      </c>
      <c r="B147" s="2" t="s">
        <v>174</v>
      </c>
      <c r="C147" s="2" t="s">
        <v>175</v>
      </c>
      <c r="D147" s="2" t="s">
        <v>179</v>
      </c>
      <c r="E147" s="2">
        <v>57.79</v>
      </c>
      <c r="F147" s="2">
        <v>57.79</v>
      </c>
      <c r="G147" s="2"/>
      <c r="H147" s="2"/>
      <c r="I147" s="2" t="b">
        <f t="shared" si="0"/>
        <v>1</v>
      </c>
      <c r="J147" s="2"/>
      <c r="K147" s="2"/>
      <c r="L147" s="2"/>
      <c r="M147" s="2"/>
      <c r="N147" s="2"/>
      <c r="O147" s="2"/>
      <c r="P147" s="2"/>
      <c r="Q147" s="2"/>
      <c r="R147" s="2"/>
      <c r="S147" s="2"/>
      <c r="T147" s="2"/>
      <c r="U147" s="2"/>
      <c r="V147" s="2"/>
      <c r="W147" s="2"/>
    </row>
    <row r="148" spans="1:23" ht="75" customHeight="1" x14ac:dyDescent="0.15">
      <c r="A148" s="2">
        <v>164</v>
      </c>
      <c r="B148" s="2" t="s">
        <v>174</v>
      </c>
      <c r="C148" s="2" t="s">
        <v>175</v>
      </c>
      <c r="D148" s="2" t="s">
        <v>180</v>
      </c>
      <c r="E148" s="2">
        <v>60.5</v>
      </c>
      <c r="F148" s="2">
        <v>60.5</v>
      </c>
      <c r="G148" s="2"/>
      <c r="H148" s="2"/>
      <c r="I148" s="2" t="b">
        <f t="shared" si="0"/>
        <v>1</v>
      </c>
      <c r="J148" s="2"/>
      <c r="K148" s="2"/>
      <c r="L148" s="2"/>
      <c r="M148" s="2"/>
      <c r="N148" s="2"/>
      <c r="O148" s="2"/>
      <c r="P148" s="2"/>
      <c r="Q148" s="2"/>
      <c r="R148" s="2"/>
      <c r="S148" s="2"/>
      <c r="T148" s="2"/>
      <c r="U148" s="2"/>
      <c r="V148" s="2"/>
      <c r="W148" s="2"/>
    </row>
    <row r="149" spans="1:23" ht="75" customHeight="1" x14ac:dyDescent="0.15">
      <c r="A149" s="2">
        <v>165</v>
      </c>
      <c r="B149" s="2" t="s">
        <v>174</v>
      </c>
      <c r="C149" s="2" t="s">
        <v>175</v>
      </c>
      <c r="D149" s="2" t="s">
        <v>181</v>
      </c>
      <c r="E149" s="2">
        <v>55.1</v>
      </c>
      <c r="F149" s="2">
        <v>55.1</v>
      </c>
      <c r="G149" s="2"/>
      <c r="H149" s="2"/>
      <c r="I149" s="2" t="b">
        <f t="shared" si="0"/>
        <v>1</v>
      </c>
      <c r="J149" s="2"/>
      <c r="K149" s="2"/>
      <c r="L149" s="2"/>
      <c r="M149" s="2"/>
      <c r="N149" s="2"/>
      <c r="O149" s="2"/>
      <c r="P149" s="2"/>
      <c r="Q149" s="2"/>
      <c r="R149" s="2"/>
      <c r="S149" s="2"/>
      <c r="T149" s="2"/>
      <c r="U149" s="2"/>
      <c r="V149" s="2"/>
      <c r="W149" s="2"/>
    </row>
    <row r="150" spans="1:23" ht="75" customHeight="1" x14ac:dyDescent="0.15">
      <c r="A150" s="2">
        <v>166</v>
      </c>
      <c r="B150" s="2" t="s">
        <v>174</v>
      </c>
      <c r="C150" s="2" t="s">
        <v>175</v>
      </c>
      <c r="D150" s="2" t="s">
        <v>182</v>
      </c>
      <c r="E150" s="2">
        <v>50.1</v>
      </c>
      <c r="F150" s="2">
        <v>50.1</v>
      </c>
      <c r="G150" s="2"/>
      <c r="H150" s="2"/>
      <c r="I150" s="2" t="b">
        <f t="shared" si="0"/>
        <v>1</v>
      </c>
      <c r="J150" s="2"/>
      <c r="K150" s="2"/>
      <c r="L150" s="2"/>
      <c r="M150" s="2"/>
      <c r="N150" s="2"/>
      <c r="O150" s="2"/>
      <c r="P150" s="2"/>
      <c r="Q150" s="2"/>
      <c r="R150" s="2"/>
      <c r="S150" s="2"/>
      <c r="T150" s="2"/>
      <c r="U150" s="2"/>
      <c r="V150" s="2"/>
      <c r="W150" s="2"/>
    </row>
    <row r="151" spans="1:23" ht="75" customHeight="1" x14ac:dyDescent="0.15">
      <c r="A151" s="2">
        <v>168</v>
      </c>
      <c r="B151" s="2" t="s">
        <v>174</v>
      </c>
      <c r="C151" s="2" t="s">
        <v>175</v>
      </c>
      <c r="D151" s="2" t="s">
        <v>183</v>
      </c>
      <c r="E151" s="2">
        <v>79.900000000000006</v>
      </c>
      <c r="F151" s="2">
        <v>79.900000000000006</v>
      </c>
      <c r="G151" s="2"/>
      <c r="H151" s="2"/>
      <c r="I151" s="2" t="b">
        <f t="shared" si="0"/>
        <v>1</v>
      </c>
      <c r="J151" s="2"/>
      <c r="K151" s="2"/>
      <c r="L151" s="2"/>
      <c r="M151" s="2"/>
      <c r="N151" s="2"/>
      <c r="O151" s="2"/>
      <c r="P151" s="2"/>
      <c r="Q151" s="2"/>
      <c r="R151" s="2"/>
      <c r="S151" s="2"/>
      <c r="T151" s="2"/>
      <c r="U151" s="2"/>
      <c r="V151" s="2"/>
      <c r="W151" s="2"/>
    </row>
    <row r="152" spans="1:23" ht="75" customHeight="1" x14ac:dyDescent="0.15">
      <c r="A152" s="2">
        <v>170</v>
      </c>
      <c r="B152" s="2" t="s">
        <v>174</v>
      </c>
      <c r="C152" s="2" t="s">
        <v>175</v>
      </c>
      <c r="D152" s="2" t="s">
        <v>184</v>
      </c>
      <c r="E152" s="2">
        <v>61.41</v>
      </c>
      <c r="F152" s="2">
        <v>61.41</v>
      </c>
      <c r="G152" s="2"/>
      <c r="H152" s="2"/>
      <c r="I152" s="2" t="b">
        <f t="shared" si="0"/>
        <v>1</v>
      </c>
      <c r="J152" s="2"/>
      <c r="K152" s="2"/>
      <c r="L152" s="2"/>
      <c r="M152" s="2"/>
      <c r="N152" s="2"/>
      <c r="O152" s="2"/>
      <c r="P152" s="2"/>
      <c r="Q152" s="2"/>
      <c r="R152" s="2"/>
      <c r="S152" s="2"/>
      <c r="T152" s="2"/>
      <c r="U152" s="2"/>
      <c r="V152" s="2"/>
      <c r="W152" s="2"/>
    </row>
    <row r="153" spans="1:23" ht="75" customHeight="1" x14ac:dyDescent="0.15">
      <c r="A153" s="2">
        <v>171</v>
      </c>
      <c r="B153" s="2" t="s">
        <v>174</v>
      </c>
      <c r="C153" s="2" t="s">
        <v>175</v>
      </c>
      <c r="D153" s="2" t="s">
        <v>185</v>
      </c>
      <c r="E153" s="2">
        <v>50.12</v>
      </c>
      <c r="F153" s="2">
        <v>50.12</v>
      </c>
      <c r="G153" s="2"/>
      <c r="H153" s="2"/>
      <c r="I153" s="2" t="b">
        <f t="shared" si="0"/>
        <v>1</v>
      </c>
      <c r="J153" s="2"/>
      <c r="K153" s="2"/>
      <c r="L153" s="2"/>
      <c r="M153" s="2"/>
      <c r="N153" s="2"/>
      <c r="O153" s="2"/>
      <c r="P153" s="2"/>
      <c r="Q153" s="2"/>
      <c r="R153" s="2"/>
      <c r="S153" s="2"/>
      <c r="T153" s="2"/>
      <c r="U153" s="2"/>
      <c r="V153" s="2"/>
      <c r="W153" s="2"/>
    </row>
    <row r="154" spans="1:23" ht="75" customHeight="1" x14ac:dyDescent="0.15">
      <c r="A154" s="2">
        <v>172</v>
      </c>
      <c r="B154" s="2" t="s">
        <v>174</v>
      </c>
      <c r="C154" s="2" t="s">
        <v>175</v>
      </c>
      <c r="D154" s="2" t="s">
        <v>186</v>
      </c>
      <c r="E154" s="2">
        <v>56.91</v>
      </c>
      <c r="F154" s="2">
        <v>56.91</v>
      </c>
      <c r="G154" s="2"/>
      <c r="H154" s="2"/>
      <c r="I154" s="2" t="b">
        <f t="shared" si="0"/>
        <v>1</v>
      </c>
      <c r="J154" s="2"/>
      <c r="K154" s="2"/>
      <c r="L154" s="2"/>
      <c r="M154" s="2"/>
      <c r="N154" s="2"/>
      <c r="O154" s="2"/>
      <c r="P154" s="2"/>
      <c r="Q154" s="2"/>
      <c r="R154" s="2"/>
      <c r="S154" s="2"/>
      <c r="T154" s="2"/>
      <c r="U154" s="2"/>
      <c r="V154" s="2"/>
      <c r="W154" s="2"/>
    </row>
    <row r="155" spans="1:23" ht="75" customHeight="1" x14ac:dyDescent="0.15">
      <c r="A155" s="2">
        <v>173</v>
      </c>
      <c r="B155" s="2" t="s">
        <v>174</v>
      </c>
      <c r="C155" s="2" t="s">
        <v>175</v>
      </c>
      <c r="D155" s="2" t="s">
        <v>187</v>
      </c>
      <c r="E155" s="2">
        <v>73.180000000000007</v>
      </c>
      <c r="F155" s="2">
        <v>73.180000000000007</v>
      </c>
      <c r="G155" s="2"/>
      <c r="H155" s="2"/>
      <c r="I155" s="2" t="b">
        <f t="shared" si="0"/>
        <v>1</v>
      </c>
      <c r="J155" s="2"/>
      <c r="K155" s="2"/>
      <c r="L155" s="2"/>
      <c r="M155" s="2"/>
      <c r="N155" s="2"/>
      <c r="O155" s="2"/>
      <c r="P155" s="2"/>
      <c r="Q155" s="2"/>
      <c r="R155" s="2"/>
      <c r="S155" s="2"/>
      <c r="T155" s="2"/>
      <c r="U155" s="2"/>
      <c r="V155" s="2"/>
      <c r="W155" s="2"/>
    </row>
    <row r="156" spans="1:23" ht="75" customHeight="1" x14ac:dyDescent="0.15">
      <c r="A156" s="2">
        <v>174</v>
      </c>
      <c r="B156" s="2" t="s">
        <v>174</v>
      </c>
      <c r="C156" s="2" t="s">
        <v>175</v>
      </c>
      <c r="D156" s="2" t="s">
        <v>188</v>
      </c>
      <c r="E156" s="2">
        <v>55.98</v>
      </c>
      <c r="F156" s="2">
        <v>55.98</v>
      </c>
      <c r="G156" s="2"/>
      <c r="H156" s="2"/>
      <c r="I156" s="2" t="b">
        <f t="shared" si="0"/>
        <v>1</v>
      </c>
      <c r="J156" s="2"/>
      <c r="K156" s="2"/>
      <c r="L156" s="2"/>
      <c r="M156" s="2"/>
      <c r="N156" s="2"/>
      <c r="O156" s="2"/>
      <c r="P156" s="2"/>
      <c r="Q156" s="2"/>
      <c r="R156" s="2"/>
      <c r="S156" s="2"/>
      <c r="T156" s="2"/>
      <c r="U156" s="2"/>
      <c r="V156" s="2"/>
      <c r="W156" s="2"/>
    </row>
    <row r="157" spans="1:23" ht="75" customHeight="1" x14ac:dyDescent="0.15">
      <c r="A157" s="2">
        <v>175</v>
      </c>
      <c r="B157" s="2" t="s">
        <v>174</v>
      </c>
      <c r="C157" s="2" t="s">
        <v>175</v>
      </c>
      <c r="D157" s="2" t="s">
        <v>189</v>
      </c>
      <c r="E157" s="2">
        <v>50.57</v>
      </c>
      <c r="F157" s="2">
        <v>50.57</v>
      </c>
      <c r="G157" s="2"/>
      <c r="H157" s="2"/>
      <c r="I157" s="2" t="b">
        <f t="shared" si="0"/>
        <v>1</v>
      </c>
      <c r="J157" s="2"/>
      <c r="K157" s="2"/>
      <c r="L157" s="2"/>
      <c r="M157" s="2"/>
      <c r="N157" s="2"/>
      <c r="O157" s="2"/>
      <c r="P157" s="2"/>
      <c r="Q157" s="2"/>
      <c r="R157" s="2"/>
      <c r="S157" s="2"/>
      <c r="T157" s="2"/>
      <c r="U157" s="2"/>
      <c r="V157" s="2"/>
      <c r="W157" s="2"/>
    </row>
    <row r="158" spans="1:23" ht="75" customHeight="1" x14ac:dyDescent="0.15">
      <c r="A158" s="2">
        <v>176</v>
      </c>
      <c r="B158" s="2" t="s">
        <v>174</v>
      </c>
      <c r="C158" s="2" t="s">
        <v>175</v>
      </c>
      <c r="D158" s="2" t="s">
        <v>190</v>
      </c>
      <c r="E158" s="2">
        <v>56.91</v>
      </c>
      <c r="F158" s="2">
        <v>56.91</v>
      </c>
      <c r="G158" s="2"/>
      <c r="H158" s="2"/>
      <c r="I158" s="2" t="b">
        <f t="shared" si="0"/>
        <v>1</v>
      </c>
      <c r="J158" s="2"/>
      <c r="K158" s="2"/>
      <c r="L158" s="2"/>
      <c r="M158" s="2"/>
      <c r="N158" s="2"/>
      <c r="O158" s="2"/>
      <c r="P158" s="2"/>
      <c r="Q158" s="2"/>
      <c r="R158" s="2"/>
      <c r="S158" s="2"/>
      <c r="T158" s="2"/>
      <c r="U158" s="2"/>
      <c r="V158" s="2"/>
      <c r="W158" s="2"/>
    </row>
    <row r="159" spans="1:23" ht="75" customHeight="1" x14ac:dyDescent="0.15">
      <c r="A159" s="2">
        <v>178</v>
      </c>
      <c r="B159" s="2" t="s">
        <v>174</v>
      </c>
      <c r="C159" s="2" t="s">
        <v>175</v>
      </c>
      <c r="D159" s="2" t="s">
        <v>191</v>
      </c>
      <c r="E159" s="2">
        <v>56.91</v>
      </c>
      <c r="F159" s="2">
        <v>56.91</v>
      </c>
      <c r="G159" s="2"/>
      <c r="H159" s="2"/>
      <c r="I159" s="2" t="b">
        <f t="shared" si="0"/>
        <v>1</v>
      </c>
      <c r="J159" s="2"/>
      <c r="K159" s="2"/>
      <c r="L159" s="2"/>
      <c r="M159" s="2"/>
      <c r="N159" s="2"/>
      <c r="O159" s="2"/>
      <c r="P159" s="2"/>
      <c r="Q159" s="2"/>
      <c r="R159" s="2"/>
      <c r="S159" s="2"/>
      <c r="T159" s="2"/>
      <c r="U159" s="2"/>
      <c r="V159" s="2"/>
      <c r="W159" s="2"/>
    </row>
    <row r="160" spans="1:23" ht="75" customHeight="1" x14ac:dyDescent="0.15">
      <c r="A160" s="2">
        <v>179</v>
      </c>
      <c r="B160" s="2" t="s">
        <v>174</v>
      </c>
      <c r="C160" s="2" t="s">
        <v>175</v>
      </c>
      <c r="D160" s="2" t="s">
        <v>192</v>
      </c>
      <c r="E160" s="2">
        <v>56.88</v>
      </c>
      <c r="F160" s="2">
        <v>56.88</v>
      </c>
      <c r="G160" s="2"/>
      <c r="H160" s="2"/>
      <c r="I160" s="2" t="b">
        <f t="shared" si="0"/>
        <v>1</v>
      </c>
      <c r="J160" s="2"/>
      <c r="K160" s="2"/>
      <c r="L160" s="2"/>
      <c r="M160" s="2"/>
      <c r="N160" s="2"/>
      <c r="O160" s="2"/>
      <c r="P160" s="2"/>
      <c r="Q160" s="2"/>
      <c r="R160" s="2"/>
      <c r="S160" s="2"/>
      <c r="T160" s="2"/>
      <c r="U160" s="2"/>
      <c r="V160" s="2"/>
      <c r="W160" s="2"/>
    </row>
    <row r="161" spans="1:23" ht="75" customHeight="1" x14ac:dyDescent="0.15">
      <c r="A161" s="2">
        <v>180</v>
      </c>
      <c r="B161" s="2" t="s">
        <v>193</v>
      </c>
      <c r="C161" s="2" t="s">
        <v>194</v>
      </c>
      <c r="D161" s="2" t="s">
        <v>195</v>
      </c>
      <c r="E161" s="2">
        <v>487.61</v>
      </c>
      <c r="F161" s="2">
        <v>487.61</v>
      </c>
      <c r="G161" s="2"/>
      <c r="H161" s="2"/>
      <c r="I161" s="2" t="b">
        <f t="shared" si="0"/>
        <v>1</v>
      </c>
      <c r="J161" s="2"/>
      <c r="K161" s="2"/>
      <c r="L161" s="2"/>
      <c r="M161" s="2"/>
      <c r="N161" s="2"/>
      <c r="O161" s="2"/>
      <c r="P161" s="2"/>
      <c r="Q161" s="2"/>
      <c r="R161" s="2"/>
      <c r="S161" s="2"/>
      <c r="T161" s="2"/>
      <c r="U161" s="2"/>
      <c r="V161" s="2"/>
      <c r="W161" s="2"/>
    </row>
    <row r="162" spans="1:23" ht="75" customHeight="1" x14ac:dyDescent="0.15">
      <c r="A162" s="2">
        <v>181</v>
      </c>
      <c r="B162" s="2" t="s">
        <v>193</v>
      </c>
      <c r="C162" s="2" t="s">
        <v>194</v>
      </c>
      <c r="D162" s="2" t="s">
        <v>196</v>
      </c>
      <c r="E162" s="2">
        <v>295.16000000000003</v>
      </c>
      <c r="F162" s="2">
        <v>295.16000000000003</v>
      </c>
      <c r="G162" s="2"/>
      <c r="H162" s="2"/>
      <c r="I162" s="2" t="b">
        <f t="shared" si="0"/>
        <v>1</v>
      </c>
      <c r="J162" s="2"/>
      <c r="K162" s="2"/>
      <c r="L162" s="2"/>
      <c r="M162" s="2"/>
      <c r="N162" s="2"/>
      <c r="O162" s="2"/>
      <c r="P162" s="2"/>
      <c r="Q162" s="2"/>
      <c r="R162" s="2"/>
      <c r="S162" s="2"/>
      <c r="T162" s="2"/>
      <c r="U162" s="2"/>
      <c r="V162" s="2"/>
      <c r="W162" s="2"/>
    </row>
    <row r="163" spans="1:23" ht="75" customHeight="1" x14ac:dyDescent="0.15">
      <c r="A163" s="2">
        <v>182</v>
      </c>
      <c r="B163" s="2" t="s">
        <v>193</v>
      </c>
      <c r="C163" s="2" t="s">
        <v>194</v>
      </c>
      <c r="D163" s="2" t="s">
        <v>197</v>
      </c>
      <c r="E163" s="2">
        <v>385.78</v>
      </c>
      <c r="F163" s="2">
        <v>385.78</v>
      </c>
      <c r="G163" s="2"/>
      <c r="H163" s="2"/>
      <c r="I163" s="2" t="b">
        <f t="shared" si="0"/>
        <v>1</v>
      </c>
      <c r="J163" s="2"/>
      <c r="K163" s="2"/>
      <c r="L163" s="2"/>
      <c r="M163" s="2"/>
      <c r="N163" s="2"/>
      <c r="O163" s="2"/>
      <c r="P163" s="2"/>
      <c r="Q163" s="2"/>
      <c r="R163" s="2"/>
      <c r="S163" s="2"/>
      <c r="T163" s="2"/>
      <c r="U163" s="2"/>
      <c r="V163" s="2"/>
      <c r="W163" s="2"/>
    </row>
    <row r="164" spans="1:23" ht="75" customHeight="1" x14ac:dyDescent="0.15">
      <c r="A164" s="2">
        <v>183</v>
      </c>
      <c r="B164" s="2" t="s">
        <v>193</v>
      </c>
      <c r="C164" s="2" t="s">
        <v>194</v>
      </c>
      <c r="D164" s="2" t="s">
        <v>198</v>
      </c>
      <c r="E164" s="2">
        <v>368.95</v>
      </c>
      <c r="F164" s="2">
        <v>368.95</v>
      </c>
      <c r="G164" s="2"/>
      <c r="H164" s="2"/>
      <c r="I164" s="2" t="b">
        <f t="shared" si="0"/>
        <v>1</v>
      </c>
      <c r="J164" s="2"/>
      <c r="K164" s="2"/>
      <c r="L164" s="2"/>
      <c r="M164" s="2"/>
      <c r="N164" s="2"/>
      <c r="O164" s="2"/>
      <c r="P164" s="2"/>
      <c r="Q164" s="2"/>
      <c r="R164" s="2"/>
      <c r="S164" s="2"/>
      <c r="T164" s="2"/>
      <c r="U164" s="2"/>
      <c r="V164" s="2"/>
      <c r="W164" s="2"/>
    </row>
    <row r="165" spans="1:23" ht="75" customHeight="1" x14ac:dyDescent="0.15">
      <c r="A165" s="2">
        <v>184</v>
      </c>
      <c r="B165" s="2" t="s">
        <v>193</v>
      </c>
      <c r="C165" s="2" t="s">
        <v>194</v>
      </c>
      <c r="D165" s="2" t="s">
        <v>199</v>
      </c>
      <c r="E165" s="2">
        <v>511.23</v>
      </c>
      <c r="F165" s="2">
        <v>511.23</v>
      </c>
      <c r="G165" s="2"/>
      <c r="H165" s="2"/>
      <c r="I165" s="2" t="b">
        <f t="shared" si="0"/>
        <v>1</v>
      </c>
      <c r="J165" s="2"/>
      <c r="K165" s="2"/>
      <c r="L165" s="2"/>
      <c r="M165" s="2"/>
      <c r="N165" s="2"/>
      <c r="O165" s="2"/>
      <c r="P165" s="2"/>
      <c r="Q165" s="2"/>
      <c r="R165" s="2"/>
      <c r="S165" s="2"/>
      <c r="T165" s="2"/>
      <c r="U165" s="2"/>
      <c r="V165" s="2"/>
      <c r="W165" s="2"/>
    </row>
    <row r="166" spans="1:23" ht="75" customHeight="1" x14ac:dyDescent="0.15">
      <c r="A166" s="2">
        <v>185</v>
      </c>
      <c r="B166" s="2" t="s">
        <v>193</v>
      </c>
      <c r="C166" s="2" t="s">
        <v>194</v>
      </c>
      <c r="D166" s="2" t="s">
        <v>200</v>
      </c>
      <c r="E166" s="2">
        <v>496.83</v>
      </c>
      <c r="F166" s="2">
        <v>496.83</v>
      </c>
      <c r="G166" s="2"/>
      <c r="H166" s="2"/>
      <c r="I166" s="2" t="b">
        <f t="shared" si="0"/>
        <v>1</v>
      </c>
      <c r="J166" s="2"/>
      <c r="K166" s="2"/>
      <c r="L166" s="2"/>
      <c r="M166" s="2"/>
      <c r="N166" s="2"/>
      <c r="O166" s="2"/>
      <c r="P166" s="2"/>
      <c r="Q166" s="2"/>
      <c r="R166" s="2"/>
      <c r="S166" s="2"/>
      <c r="T166" s="2"/>
      <c r="U166" s="2"/>
      <c r="V166" s="2"/>
      <c r="W166" s="2"/>
    </row>
    <row r="167" spans="1:23" ht="75" customHeight="1" x14ac:dyDescent="0.15">
      <c r="A167" s="2">
        <v>186</v>
      </c>
      <c r="B167" s="2" t="s">
        <v>193</v>
      </c>
      <c r="C167" s="2" t="s">
        <v>194</v>
      </c>
      <c r="D167" s="2" t="s">
        <v>201</v>
      </c>
      <c r="E167" s="2">
        <v>547.24</v>
      </c>
      <c r="F167" s="2">
        <v>547.24</v>
      </c>
      <c r="G167" s="2"/>
      <c r="H167" s="2"/>
      <c r="I167" s="2" t="b">
        <f t="shared" si="0"/>
        <v>1</v>
      </c>
      <c r="J167" s="2"/>
      <c r="K167" s="2"/>
      <c r="L167" s="2"/>
      <c r="M167" s="2"/>
      <c r="N167" s="2"/>
      <c r="O167" s="2"/>
      <c r="P167" s="2"/>
      <c r="Q167" s="2"/>
      <c r="R167" s="2"/>
      <c r="S167" s="2"/>
      <c r="T167" s="2"/>
      <c r="U167" s="2"/>
      <c r="V167" s="2"/>
      <c r="W167" s="2"/>
    </row>
    <row r="168" spans="1:23" ht="75" customHeight="1" x14ac:dyDescent="0.15">
      <c r="A168" s="2">
        <v>187</v>
      </c>
      <c r="B168" s="2" t="s">
        <v>193</v>
      </c>
      <c r="C168" s="2" t="s">
        <v>194</v>
      </c>
      <c r="D168" s="2" t="s">
        <v>202</v>
      </c>
      <c r="E168" s="2">
        <v>321.64</v>
      </c>
      <c r="F168" s="2">
        <v>321.64</v>
      </c>
      <c r="G168" s="2"/>
      <c r="H168" s="2"/>
      <c r="I168" s="2" t="b">
        <f t="shared" si="0"/>
        <v>1</v>
      </c>
      <c r="J168" s="2"/>
      <c r="K168" s="2"/>
      <c r="L168" s="2"/>
      <c r="M168" s="2"/>
      <c r="N168" s="2"/>
      <c r="O168" s="2"/>
      <c r="P168" s="2"/>
      <c r="Q168" s="2"/>
      <c r="R168" s="2"/>
      <c r="S168" s="2"/>
      <c r="T168" s="2"/>
      <c r="U168" s="2"/>
      <c r="V168" s="2"/>
      <c r="W168" s="2"/>
    </row>
    <row r="169" spans="1:23" ht="75" customHeight="1" x14ac:dyDescent="0.15">
      <c r="A169" s="2">
        <v>188</v>
      </c>
      <c r="B169" s="2" t="s">
        <v>193</v>
      </c>
      <c r="C169" s="2" t="s">
        <v>194</v>
      </c>
      <c r="D169" s="2" t="s">
        <v>203</v>
      </c>
      <c r="E169" s="2">
        <v>430.27</v>
      </c>
      <c r="F169" s="2">
        <v>430.27</v>
      </c>
      <c r="G169" s="2"/>
      <c r="H169" s="2"/>
      <c r="I169" s="2" t="b">
        <f t="shared" si="0"/>
        <v>1</v>
      </c>
      <c r="J169" s="2"/>
      <c r="K169" s="2"/>
      <c r="L169" s="2"/>
      <c r="M169" s="2"/>
      <c r="N169" s="2"/>
      <c r="O169" s="2"/>
      <c r="P169" s="2"/>
      <c r="Q169" s="2"/>
      <c r="R169" s="2"/>
      <c r="S169" s="2"/>
      <c r="T169" s="2"/>
      <c r="U169" s="2"/>
      <c r="V169" s="2"/>
      <c r="W169" s="2"/>
    </row>
    <row r="170" spans="1:23" ht="75" customHeight="1" x14ac:dyDescent="0.15">
      <c r="A170" s="2">
        <v>189</v>
      </c>
      <c r="B170" s="2" t="s">
        <v>193</v>
      </c>
      <c r="C170" s="2" t="s">
        <v>194</v>
      </c>
      <c r="D170" s="2" t="s">
        <v>204</v>
      </c>
      <c r="E170" s="2">
        <v>298.22000000000003</v>
      </c>
      <c r="F170" s="2">
        <v>298.22000000000003</v>
      </c>
      <c r="G170" s="2"/>
      <c r="H170" s="2"/>
      <c r="I170" s="2" t="b">
        <f t="shared" si="0"/>
        <v>1</v>
      </c>
      <c r="J170" s="2"/>
      <c r="K170" s="2"/>
      <c r="L170" s="2"/>
      <c r="M170" s="2"/>
      <c r="N170" s="2"/>
      <c r="O170" s="2"/>
      <c r="P170" s="2"/>
      <c r="Q170" s="2"/>
      <c r="R170" s="2"/>
      <c r="S170" s="2"/>
      <c r="T170" s="2"/>
      <c r="U170" s="2"/>
      <c r="V170" s="2"/>
      <c r="W170" s="2"/>
    </row>
    <row r="171" spans="1:23" ht="75" customHeight="1" x14ac:dyDescent="0.15">
      <c r="A171" s="2">
        <v>190</v>
      </c>
      <c r="B171" s="2" t="s">
        <v>193</v>
      </c>
      <c r="C171" s="2" t="s">
        <v>194</v>
      </c>
      <c r="D171" s="2" t="s">
        <v>198</v>
      </c>
      <c r="E171" s="2">
        <v>368.95</v>
      </c>
      <c r="F171" s="2">
        <v>368.95</v>
      </c>
      <c r="G171" s="2"/>
      <c r="H171" s="2"/>
      <c r="I171" s="2" t="b">
        <f t="shared" si="0"/>
        <v>1</v>
      </c>
      <c r="J171" s="2"/>
      <c r="K171" s="2"/>
      <c r="L171" s="2"/>
      <c r="M171" s="2"/>
      <c r="N171" s="2"/>
      <c r="O171" s="2"/>
      <c r="P171" s="2"/>
      <c r="Q171" s="2"/>
      <c r="R171" s="2"/>
      <c r="S171" s="2"/>
      <c r="T171" s="2"/>
      <c r="U171" s="2"/>
      <c r="V171" s="2"/>
      <c r="W171" s="2"/>
    </row>
    <row r="172" spans="1:23" ht="75" customHeight="1" x14ac:dyDescent="0.15">
      <c r="A172" s="2">
        <v>191</v>
      </c>
      <c r="B172" s="2" t="s">
        <v>193</v>
      </c>
      <c r="C172" s="2" t="s">
        <v>194</v>
      </c>
      <c r="D172" s="2" t="s">
        <v>205</v>
      </c>
      <c r="E172" s="2">
        <v>452.87</v>
      </c>
      <c r="F172" s="2">
        <v>452.87</v>
      </c>
      <c r="G172" s="2"/>
      <c r="H172" s="2"/>
      <c r="I172" s="2" t="b">
        <f t="shared" si="0"/>
        <v>1</v>
      </c>
      <c r="J172" s="2"/>
      <c r="K172" s="2"/>
      <c r="L172" s="2"/>
      <c r="M172" s="2"/>
      <c r="N172" s="2"/>
      <c r="O172" s="2"/>
      <c r="P172" s="2"/>
      <c r="Q172" s="2"/>
      <c r="R172" s="2"/>
      <c r="S172" s="2"/>
      <c r="T172" s="2"/>
      <c r="U172" s="2"/>
      <c r="V172" s="2"/>
      <c r="W172" s="2"/>
    </row>
    <row r="173" spans="1:23" ht="75" customHeight="1" x14ac:dyDescent="0.15">
      <c r="A173" s="2">
        <v>192</v>
      </c>
      <c r="B173" s="2" t="s">
        <v>193</v>
      </c>
      <c r="C173" s="2" t="s">
        <v>194</v>
      </c>
      <c r="D173" s="2" t="s">
        <v>204</v>
      </c>
      <c r="E173" s="2">
        <v>298.22000000000003</v>
      </c>
      <c r="F173" s="2">
        <v>298.22000000000003</v>
      </c>
      <c r="G173" s="2"/>
      <c r="H173" s="2"/>
      <c r="I173" s="2" t="b">
        <f t="shared" si="0"/>
        <v>1</v>
      </c>
      <c r="J173" s="2"/>
      <c r="K173" s="2"/>
      <c r="L173" s="2"/>
      <c r="M173" s="2"/>
      <c r="N173" s="2"/>
      <c r="O173" s="2"/>
      <c r="P173" s="2"/>
      <c r="Q173" s="2"/>
      <c r="R173" s="2"/>
      <c r="S173" s="2"/>
      <c r="T173" s="2"/>
      <c r="U173" s="2"/>
      <c r="V173" s="2"/>
      <c r="W173" s="2"/>
    </row>
    <row r="174" spans="1:23" ht="75" customHeight="1" x14ac:dyDescent="0.15">
      <c r="A174" s="2">
        <v>193</v>
      </c>
      <c r="B174" s="2" t="s">
        <v>193</v>
      </c>
      <c r="C174" s="2" t="s">
        <v>194</v>
      </c>
      <c r="D174" s="2" t="s">
        <v>206</v>
      </c>
      <c r="E174" s="2">
        <v>361.5</v>
      </c>
      <c r="F174" s="2">
        <v>361.5</v>
      </c>
      <c r="G174" s="2"/>
      <c r="H174" s="2"/>
      <c r="I174" s="2" t="b">
        <f t="shared" si="0"/>
        <v>1</v>
      </c>
      <c r="J174" s="2"/>
      <c r="K174" s="2"/>
      <c r="L174" s="2"/>
      <c r="M174" s="2"/>
      <c r="N174" s="2"/>
      <c r="O174" s="2"/>
      <c r="P174" s="2"/>
      <c r="Q174" s="2"/>
      <c r="R174" s="2"/>
      <c r="S174" s="2"/>
      <c r="T174" s="2"/>
      <c r="U174" s="2"/>
      <c r="V174" s="2"/>
      <c r="W174" s="2"/>
    </row>
    <row r="175" spans="1:23" ht="75" customHeight="1" x14ac:dyDescent="0.15">
      <c r="A175" s="2">
        <v>194</v>
      </c>
      <c r="B175" s="2" t="s">
        <v>193</v>
      </c>
      <c r="C175" s="2" t="s">
        <v>194</v>
      </c>
      <c r="D175" s="2" t="s">
        <v>207</v>
      </c>
      <c r="E175" s="2">
        <v>491.32</v>
      </c>
      <c r="F175" s="2">
        <v>491.32</v>
      </c>
      <c r="G175" s="2"/>
      <c r="H175" s="2"/>
      <c r="I175" s="2" t="b">
        <f t="shared" si="0"/>
        <v>1</v>
      </c>
      <c r="J175" s="2"/>
      <c r="K175" s="2"/>
      <c r="L175" s="2"/>
      <c r="M175" s="2"/>
      <c r="N175" s="2"/>
      <c r="O175" s="2"/>
      <c r="P175" s="2"/>
      <c r="Q175" s="2"/>
      <c r="R175" s="2"/>
      <c r="S175" s="2"/>
      <c r="T175" s="2"/>
      <c r="U175" s="2"/>
      <c r="V175" s="2"/>
      <c r="W175" s="2"/>
    </row>
    <row r="176" spans="1:23" ht="75" customHeight="1" x14ac:dyDescent="0.15">
      <c r="A176" s="2">
        <v>195</v>
      </c>
      <c r="B176" s="2" t="s">
        <v>193</v>
      </c>
      <c r="C176" s="2" t="s">
        <v>194</v>
      </c>
      <c r="D176" s="2" t="s">
        <v>208</v>
      </c>
      <c r="E176" s="2">
        <v>464.74</v>
      </c>
      <c r="F176" s="2">
        <v>464.74</v>
      </c>
      <c r="G176" s="2"/>
      <c r="H176" s="2"/>
      <c r="I176" s="2" t="b">
        <f t="shared" si="0"/>
        <v>1</v>
      </c>
      <c r="J176" s="2"/>
      <c r="K176" s="2"/>
      <c r="L176" s="2"/>
      <c r="M176" s="2"/>
      <c r="N176" s="2"/>
      <c r="O176" s="2"/>
      <c r="P176" s="2"/>
      <c r="Q176" s="2"/>
      <c r="R176" s="2"/>
      <c r="S176" s="2"/>
      <c r="T176" s="2"/>
      <c r="U176" s="2"/>
      <c r="V176" s="2"/>
      <c r="W176" s="2"/>
    </row>
    <row r="177" spans="1:23" ht="75" customHeight="1" x14ac:dyDescent="0.15">
      <c r="A177" s="2">
        <v>196</v>
      </c>
      <c r="B177" s="2" t="s">
        <v>193</v>
      </c>
      <c r="C177" s="2" t="s">
        <v>194</v>
      </c>
      <c r="D177" s="2" t="s">
        <v>198</v>
      </c>
      <c r="E177" s="2">
        <v>368.95</v>
      </c>
      <c r="F177" s="2">
        <v>368.95</v>
      </c>
      <c r="G177" s="2"/>
      <c r="H177" s="2"/>
      <c r="I177" s="2" t="b">
        <f t="shared" si="0"/>
        <v>1</v>
      </c>
      <c r="J177" s="2"/>
      <c r="K177" s="2"/>
      <c r="L177" s="2"/>
      <c r="M177" s="2"/>
      <c r="N177" s="2"/>
      <c r="O177" s="2"/>
      <c r="P177" s="2"/>
      <c r="Q177" s="2"/>
      <c r="R177" s="2"/>
      <c r="S177" s="2"/>
      <c r="T177" s="2"/>
      <c r="U177" s="2"/>
      <c r="V177" s="2"/>
      <c r="W177" s="2"/>
    </row>
    <row r="178" spans="1:23" ht="75" customHeight="1" x14ac:dyDescent="0.15">
      <c r="A178" s="2">
        <v>197</v>
      </c>
      <c r="B178" s="2" t="s">
        <v>193</v>
      </c>
      <c r="C178" s="2" t="s">
        <v>194</v>
      </c>
      <c r="D178" s="2" t="s">
        <v>209</v>
      </c>
      <c r="E178" s="2">
        <v>476.31</v>
      </c>
      <c r="F178" s="2">
        <v>476.31</v>
      </c>
      <c r="G178" s="2"/>
      <c r="H178" s="2"/>
      <c r="I178" s="2" t="b">
        <f t="shared" si="0"/>
        <v>1</v>
      </c>
      <c r="J178" s="2"/>
      <c r="K178" s="2"/>
      <c r="L178" s="2"/>
      <c r="M178" s="2"/>
      <c r="N178" s="2"/>
      <c r="O178" s="2"/>
      <c r="P178" s="2"/>
      <c r="Q178" s="2"/>
      <c r="R178" s="2"/>
      <c r="S178" s="2"/>
      <c r="T178" s="2"/>
      <c r="U178" s="2"/>
      <c r="V178" s="2"/>
      <c r="W178" s="2"/>
    </row>
    <row r="179" spans="1:23" ht="75" customHeight="1" x14ac:dyDescent="0.15">
      <c r="A179" s="2">
        <v>198</v>
      </c>
      <c r="B179" s="2" t="s">
        <v>193</v>
      </c>
      <c r="C179" s="2" t="s">
        <v>194</v>
      </c>
      <c r="D179" s="2" t="s">
        <v>210</v>
      </c>
      <c r="E179" s="2">
        <v>528.69000000000005</v>
      </c>
      <c r="F179" s="2">
        <v>528.69000000000005</v>
      </c>
      <c r="G179" s="2"/>
      <c r="H179" s="2"/>
      <c r="I179" s="2" t="b">
        <f t="shared" si="0"/>
        <v>1</v>
      </c>
      <c r="J179" s="2"/>
      <c r="K179" s="2"/>
      <c r="L179" s="2"/>
      <c r="M179" s="2"/>
      <c r="N179" s="2"/>
      <c r="O179" s="2"/>
      <c r="P179" s="2"/>
      <c r="Q179" s="2"/>
      <c r="R179" s="2"/>
      <c r="S179" s="2"/>
      <c r="T179" s="2"/>
      <c r="U179" s="2"/>
      <c r="V179" s="2"/>
      <c r="W179" s="2"/>
    </row>
    <row r="180" spans="1:23" ht="75" customHeight="1" x14ac:dyDescent="0.15">
      <c r="A180" s="2">
        <v>199</v>
      </c>
      <c r="B180" s="2" t="s">
        <v>193</v>
      </c>
      <c r="C180" s="2" t="s">
        <v>194</v>
      </c>
      <c r="D180" s="2" t="s">
        <v>211</v>
      </c>
      <c r="E180" s="2">
        <v>288.95</v>
      </c>
      <c r="F180" s="2">
        <v>288.95</v>
      </c>
      <c r="G180" s="2"/>
      <c r="H180" s="2"/>
      <c r="I180" s="2" t="b">
        <f t="shared" si="0"/>
        <v>1</v>
      </c>
      <c r="J180" s="2"/>
      <c r="K180" s="2"/>
      <c r="L180" s="2"/>
      <c r="M180" s="2"/>
      <c r="N180" s="2"/>
      <c r="O180" s="2"/>
      <c r="P180" s="2"/>
      <c r="Q180" s="2"/>
      <c r="R180" s="2"/>
      <c r="S180" s="2"/>
      <c r="T180" s="2"/>
      <c r="U180" s="2"/>
      <c r="V180" s="2"/>
      <c r="W180" s="2"/>
    </row>
    <row r="181" spans="1:23" ht="75" customHeight="1" x14ac:dyDescent="0.15">
      <c r="A181" s="2">
        <v>200</v>
      </c>
      <c r="B181" s="2" t="s">
        <v>212</v>
      </c>
      <c r="C181" s="2" t="s">
        <v>213</v>
      </c>
      <c r="D181" s="2" t="s">
        <v>214</v>
      </c>
      <c r="E181" s="2">
        <v>10</v>
      </c>
      <c r="F181" s="2">
        <v>10</v>
      </c>
      <c r="G181" s="2"/>
      <c r="H181" s="2"/>
      <c r="I181" s="2" t="b">
        <f t="shared" si="0"/>
        <v>1</v>
      </c>
      <c r="J181" s="2"/>
      <c r="K181" s="2"/>
      <c r="L181" s="2"/>
      <c r="M181" s="2"/>
      <c r="N181" s="2"/>
      <c r="O181" s="2"/>
      <c r="P181" s="2"/>
      <c r="Q181" s="2"/>
      <c r="R181" s="2"/>
      <c r="S181" s="2"/>
      <c r="T181" s="2"/>
      <c r="U181" s="2"/>
      <c r="V181" s="2"/>
      <c r="W181" s="2"/>
    </row>
    <row r="182" spans="1:23" ht="75" customHeight="1" x14ac:dyDescent="0.15">
      <c r="A182" s="2">
        <v>201</v>
      </c>
      <c r="B182" s="2" t="s">
        <v>212</v>
      </c>
      <c r="C182" s="2" t="s">
        <v>213</v>
      </c>
      <c r="D182" s="2" t="s">
        <v>215</v>
      </c>
      <c r="E182" s="2">
        <v>12</v>
      </c>
      <c r="F182" s="2">
        <v>12</v>
      </c>
      <c r="G182" s="2"/>
      <c r="H182" s="2"/>
      <c r="I182" s="2" t="b">
        <f t="shared" si="0"/>
        <v>1</v>
      </c>
      <c r="J182" s="2"/>
      <c r="K182" s="2"/>
      <c r="L182" s="2"/>
      <c r="M182" s="2"/>
      <c r="N182" s="2"/>
      <c r="O182" s="2"/>
      <c r="P182" s="2"/>
      <c r="Q182" s="2"/>
      <c r="R182" s="2"/>
      <c r="S182" s="2"/>
      <c r="T182" s="2"/>
      <c r="U182" s="2"/>
      <c r="V182" s="2"/>
      <c r="W182" s="2"/>
    </row>
    <row r="183" spans="1:23" ht="75" customHeight="1" x14ac:dyDescent="0.15">
      <c r="A183" s="2">
        <v>202</v>
      </c>
      <c r="B183" s="2" t="s">
        <v>212</v>
      </c>
      <c r="C183" s="2" t="s">
        <v>213</v>
      </c>
      <c r="D183" s="2" t="s">
        <v>216</v>
      </c>
      <c r="E183" s="2">
        <v>10</v>
      </c>
      <c r="F183" s="2">
        <v>10</v>
      </c>
      <c r="G183" s="2"/>
      <c r="H183" s="2"/>
      <c r="I183" s="2" t="b">
        <f t="shared" si="0"/>
        <v>1</v>
      </c>
      <c r="J183" s="2"/>
      <c r="K183" s="2"/>
      <c r="L183" s="2"/>
      <c r="M183" s="2"/>
      <c r="N183" s="2"/>
      <c r="O183" s="2"/>
      <c r="P183" s="2"/>
      <c r="Q183" s="2"/>
      <c r="R183" s="2"/>
      <c r="S183" s="2"/>
      <c r="T183" s="2"/>
      <c r="U183" s="2"/>
      <c r="V183" s="2"/>
      <c r="W183" s="2"/>
    </row>
    <row r="184" spans="1:23" ht="75" customHeight="1" x14ac:dyDescent="0.15">
      <c r="A184" s="2">
        <v>203</v>
      </c>
      <c r="B184" s="2" t="s">
        <v>212</v>
      </c>
      <c r="C184" s="2" t="s">
        <v>213</v>
      </c>
      <c r="D184" s="2" t="s">
        <v>217</v>
      </c>
      <c r="E184" s="2">
        <v>10</v>
      </c>
      <c r="F184" s="2">
        <v>10</v>
      </c>
      <c r="G184" s="2"/>
      <c r="H184" s="2"/>
      <c r="I184" s="2" t="b">
        <f t="shared" si="0"/>
        <v>1</v>
      </c>
      <c r="J184" s="2"/>
      <c r="K184" s="2"/>
      <c r="L184" s="2"/>
      <c r="M184" s="2"/>
      <c r="N184" s="2"/>
      <c r="O184" s="2"/>
      <c r="P184" s="2"/>
      <c r="Q184" s="2"/>
      <c r="R184" s="2"/>
      <c r="S184" s="2"/>
      <c r="T184" s="2"/>
      <c r="U184" s="2"/>
      <c r="V184" s="2"/>
      <c r="W184" s="2"/>
    </row>
    <row r="185" spans="1:23" ht="75" customHeight="1" x14ac:dyDescent="0.15">
      <c r="A185" s="2">
        <v>204</v>
      </c>
      <c r="B185" s="2" t="s">
        <v>212</v>
      </c>
      <c r="C185" s="2" t="s">
        <v>213</v>
      </c>
      <c r="D185" s="2" t="s">
        <v>218</v>
      </c>
      <c r="E185" s="2">
        <v>10</v>
      </c>
      <c r="F185" s="2">
        <v>10</v>
      </c>
      <c r="G185" s="2"/>
      <c r="H185" s="2"/>
      <c r="I185" s="2" t="b">
        <f t="shared" si="0"/>
        <v>1</v>
      </c>
      <c r="J185" s="2"/>
      <c r="K185" s="2"/>
      <c r="L185" s="2"/>
      <c r="M185" s="2"/>
      <c r="N185" s="2"/>
      <c r="O185" s="2"/>
      <c r="P185" s="2"/>
      <c r="Q185" s="2"/>
      <c r="R185" s="2"/>
      <c r="S185" s="2"/>
      <c r="T185" s="2"/>
      <c r="U185" s="2"/>
      <c r="V185" s="2"/>
      <c r="W185" s="2"/>
    </row>
    <row r="186" spans="1:23" ht="75" customHeight="1" x14ac:dyDescent="0.15">
      <c r="A186" s="2">
        <v>205</v>
      </c>
      <c r="B186" s="2" t="s">
        <v>212</v>
      </c>
      <c r="C186" s="2" t="s">
        <v>213</v>
      </c>
      <c r="D186" s="2" t="s">
        <v>219</v>
      </c>
      <c r="E186" s="2">
        <v>8</v>
      </c>
      <c r="F186" s="2">
        <v>8</v>
      </c>
      <c r="G186" s="2"/>
      <c r="H186" s="2"/>
      <c r="I186" s="2" t="b">
        <f t="shared" si="0"/>
        <v>1</v>
      </c>
      <c r="J186" s="2"/>
      <c r="K186" s="2"/>
      <c r="L186" s="2"/>
      <c r="M186" s="2"/>
      <c r="N186" s="2"/>
      <c r="O186" s="2"/>
      <c r="P186" s="2"/>
      <c r="Q186" s="2"/>
      <c r="R186" s="2"/>
      <c r="S186" s="2"/>
      <c r="T186" s="2"/>
      <c r="U186" s="2"/>
      <c r="V186" s="2"/>
      <c r="W186" s="2"/>
    </row>
    <row r="187" spans="1:23" ht="75" customHeight="1" x14ac:dyDescent="0.15">
      <c r="A187" s="2">
        <v>206</v>
      </c>
      <c r="B187" s="2" t="s">
        <v>212</v>
      </c>
      <c r="C187" s="2" t="s">
        <v>213</v>
      </c>
      <c r="D187" s="2" t="s">
        <v>220</v>
      </c>
      <c r="E187" s="2">
        <v>7</v>
      </c>
      <c r="F187" s="2">
        <v>7</v>
      </c>
      <c r="G187" s="2"/>
      <c r="H187" s="2"/>
      <c r="I187" s="2" t="b">
        <f t="shared" si="0"/>
        <v>1</v>
      </c>
      <c r="J187" s="2"/>
      <c r="K187" s="2"/>
      <c r="L187" s="2"/>
      <c r="M187" s="2"/>
      <c r="N187" s="2"/>
      <c r="O187" s="2"/>
      <c r="P187" s="2"/>
      <c r="Q187" s="2"/>
      <c r="R187" s="2"/>
      <c r="S187" s="2"/>
      <c r="T187" s="2"/>
      <c r="U187" s="2"/>
      <c r="V187" s="2"/>
      <c r="W187" s="2"/>
    </row>
    <row r="188" spans="1:23" ht="75" customHeight="1" x14ac:dyDescent="0.15">
      <c r="A188" s="2">
        <v>207</v>
      </c>
      <c r="B188" s="2" t="s">
        <v>212</v>
      </c>
      <c r="C188" s="2" t="s">
        <v>213</v>
      </c>
      <c r="D188" s="2" t="s">
        <v>221</v>
      </c>
      <c r="E188" s="2">
        <v>10</v>
      </c>
      <c r="F188" s="2">
        <v>10</v>
      </c>
      <c r="G188" s="2"/>
      <c r="H188" s="2"/>
      <c r="I188" s="2" t="b">
        <f t="shared" si="0"/>
        <v>1</v>
      </c>
      <c r="J188" s="2"/>
      <c r="K188" s="2"/>
      <c r="L188" s="2"/>
      <c r="M188" s="2"/>
      <c r="N188" s="2"/>
      <c r="O188" s="2"/>
      <c r="P188" s="2"/>
      <c r="Q188" s="2"/>
      <c r="R188" s="2"/>
      <c r="S188" s="2"/>
      <c r="T188" s="2"/>
      <c r="U188" s="2"/>
      <c r="V188" s="2"/>
      <c r="W188" s="2"/>
    </row>
    <row r="189" spans="1:23" ht="75" customHeight="1" x14ac:dyDescent="0.15">
      <c r="A189" s="2">
        <v>208</v>
      </c>
      <c r="B189" s="2" t="s">
        <v>212</v>
      </c>
      <c r="C189" s="2" t="s">
        <v>213</v>
      </c>
      <c r="D189" s="2" t="s">
        <v>222</v>
      </c>
      <c r="E189" s="2">
        <v>8</v>
      </c>
      <c r="F189" s="2">
        <v>8</v>
      </c>
      <c r="G189" s="2"/>
      <c r="H189" s="2"/>
      <c r="I189" s="2" t="b">
        <f t="shared" si="0"/>
        <v>1</v>
      </c>
      <c r="J189" s="2"/>
      <c r="K189" s="2"/>
      <c r="L189" s="2"/>
      <c r="M189" s="2"/>
      <c r="N189" s="2"/>
      <c r="O189" s="2"/>
      <c r="P189" s="2"/>
      <c r="Q189" s="2"/>
      <c r="R189" s="2"/>
      <c r="S189" s="2"/>
      <c r="T189" s="2"/>
      <c r="U189" s="2"/>
      <c r="V189" s="2"/>
      <c r="W189" s="2"/>
    </row>
    <row r="190" spans="1:23" ht="75" customHeight="1" x14ac:dyDescent="0.15">
      <c r="A190" s="2">
        <v>209</v>
      </c>
      <c r="B190" s="2" t="s">
        <v>212</v>
      </c>
      <c r="C190" s="2" t="s">
        <v>213</v>
      </c>
      <c r="D190" s="2" t="s">
        <v>223</v>
      </c>
      <c r="E190" s="2">
        <v>11</v>
      </c>
      <c r="F190" s="2">
        <v>11</v>
      </c>
      <c r="G190" s="2"/>
      <c r="H190" s="2"/>
      <c r="I190" s="2" t="b">
        <f t="shared" si="0"/>
        <v>1</v>
      </c>
      <c r="J190" s="2"/>
      <c r="K190" s="2"/>
      <c r="L190" s="2"/>
      <c r="M190" s="2"/>
      <c r="N190" s="2"/>
      <c r="O190" s="2"/>
      <c r="P190" s="2"/>
      <c r="Q190" s="2"/>
      <c r="R190" s="2"/>
      <c r="S190" s="2"/>
      <c r="T190" s="2"/>
      <c r="U190" s="2"/>
      <c r="V190" s="2"/>
      <c r="W190" s="2"/>
    </row>
    <row r="191" spans="1:23" ht="75" customHeight="1" x14ac:dyDescent="0.15">
      <c r="A191" s="2">
        <v>210</v>
      </c>
      <c r="B191" s="2" t="s">
        <v>212</v>
      </c>
      <c r="C191" s="2" t="s">
        <v>213</v>
      </c>
      <c r="D191" s="2" t="s">
        <v>224</v>
      </c>
      <c r="E191" s="2">
        <v>7</v>
      </c>
      <c r="F191" s="2">
        <v>7</v>
      </c>
      <c r="G191" s="2"/>
      <c r="H191" s="2"/>
      <c r="I191" s="2" t="b">
        <f t="shared" si="0"/>
        <v>1</v>
      </c>
      <c r="J191" s="2"/>
      <c r="K191" s="2"/>
      <c r="L191" s="2"/>
      <c r="M191" s="2"/>
      <c r="N191" s="2"/>
      <c r="O191" s="2"/>
      <c r="P191" s="2"/>
      <c r="Q191" s="2"/>
      <c r="R191" s="2"/>
      <c r="S191" s="2"/>
      <c r="T191" s="2"/>
      <c r="U191" s="2"/>
      <c r="V191" s="2"/>
      <c r="W191" s="2"/>
    </row>
    <row r="192" spans="1:23" ht="75" customHeight="1" x14ac:dyDescent="0.15">
      <c r="A192" s="2">
        <v>211</v>
      </c>
      <c r="B192" s="2" t="s">
        <v>212</v>
      </c>
      <c r="C192" s="2" t="s">
        <v>213</v>
      </c>
      <c r="D192" s="2" t="s">
        <v>225</v>
      </c>
      <c r="E192" s="2" t="s">
        <v>162</v>
      </c>
      <c r="F192" s="2" t="s">
        <v>162</v>
      </c>
      <c r="G192" s="2"/>
      <c r="H192" s="2"/>
      <c r="I192" s="2" t="b">
        <f t="shared" si="0"/>
        <v>1</v>
      </c>
      <c r="J192" s="2"/>
      <c r="K192" s="2"/>
      <c r="L192" s="2"/>
      <c r="M192" s="2"/>
      <c r="N192" s="2"/>
      <c r="O192" s="2"/>
      <c r="P192" s="2"/>
      <c r="Q192" s="2"/>
      <c r="R192" s="2"/>
      <c r="S192" s="2"/>
      <c r="T192" s="2"/>
      <c r="U192" s="2"/>
      <c r="V192" s="2"/>
      <c r="W192" s="2"/>
    </row>
    <row r="193" spans="1:23" ht="75" customHeight="1" x14ac:dyDescent="0.15">
      <c r="A193" s="2">
        <v>212</v>
      </c>
      <c r="B193" s="2" t="s">
        <v>212</v>
      </c>
      <c r="C193" s="2" t="s">
        <v>213</v>
      </c>
      <c r="D193" s="2" t="s">
        <v>226</v>
      </c>
      <c r="E193" s="2">
        <v>8</v>
      </c>
      <c r="F193" s="2">
        <v>8</v>
      </c>
      <c r="G193" s="2"/>
      <c r="H193" s="2"/>
      <c r="I193" s="2" t="b">
        <f t="shared" si="0"/>
        <v>1</v>
      </c>
      <c r="J193" s="2"/>
      <c r="K193" s="2"/>
      <c r="L193" s="2"/>
      <c r="M193" s="2"/>
      <c r="N193" s="2"/>
      <c r="O193" s="2"/>
      <c r="P193" s="2"/>
      <c r="Q193" s="2"/>
      <c r="R193" s="2"/>
      <c r="S193" s="2"/>
      <c r="T193" s="2"/>
      <c r="U193" s="2"/>
      <c r="V193" s="2"/>
      <c r="W193" s="2"/>
    </row>
    <row r="194" spans="1:23" ht="75" customHeight="1" x14ac:dyDescent="0.15">
      <c r="A194" s="2">
        <v>213</v>
      </c>
      <c r="B194" s="2" t="s">
        <v>212</v>
      </c>
      <c r="C194" s="2" t="s">
        <v>213</v>
      </c>
      <c r="D194" s="2" t="s">
        <v>227</v>
      </c>
      <c r="E194" s="2">
        <v>10</v>
      </c>
      <c r="F194" s="2">
        <v>10</v>
      </c>
      <c r="G194" s="2"/>
      <c r="H194" s="2"/>
      <c r="I194" s="2" t="b">
        <f t="shared" si="0"/>
        <v>1</v>
      </c>
      <c r="J194" s="2"/>
      <c r="K194" s="2"/>
      <c r="L194" s="2"/>
      <c r="M194" s="2"/>
      <c r="N194" s="2"/>
      <c r="O194" s="2"/>
      <c r="P194" s="2"/>
      <c r="Q194" s="2"/>
      <c r="R194" s="2"/>
      <c r="S194" s="2"/>
      <c r="T194" s="2"/>
      <c r="U194" s="2"/>
      <c r="V194" s="2"/>
      <c r="W194" s="2"/>
    </row>
    <row r="195" spans="1:23" ht="75" customHeight="1" x14ac:dyDescent="0.15">
      <c r="A195" s="2">
        <v>214</v>
      </c>
      <c r="B195" s="2" t="s">
        <v>212</v>
      </c>
      <c r="C195" s="2" t="s">
        <v>213</v>
      </c>
      <c r="D195" s="2" t="s">
        <v>228</v>
      </c>
      <c r="E195" s="2">
        <v>9</v>
      </c>
      <c r="F195" s="2">
        <v>9</v>
      </c>
      <c r="G195" s="2"/>
      <c r="H195" s="2"/>
      <c r="I195" s="2" t="b">
        <f t="shared" si="0"/>
        <v>1</v>
      </c>
      <c r="J195" s="2"/>
      <c r="K195" s="2"/>
      <c r="L195" s="2"/>
      <c r="M195" s="2"/>
      <c r="N195" s="2"/>
      <c r="O195" s="2"/>
      <c r="P195" s="2"/>
      <c r="Q195" s="2"/>
      <c r="R195" s="2"/>
      <c r="S195" s="2"/>
      <c r="T195" s="2"/>
      <c r="U195" s="2"/>
      <c r="V195" s="2"/>
      <c r="W195" s="2"/>
    </row>
    <row r="196" spans="1:23" ht="75" customHeight="1" x14ac:dyDescent="0.15">
      <c r="A196" s="2">
        <v>215</v>
      </c>
      <c r="B196" s="2" t="s">
        <v>212</v>
      </c>
      <c r="C196" s="2" t="s">
        <v>213</v>
      </c>
      <c r="D196" s="2" t="s">
        <v>229</v>
      </c>
      <c r="E196" s="2" t="s">
        <v>162</v>
      </c>
      <c r="F196" s="2" t="s">
        <v>162</v>
      </c>
      <c r="G196" s="2"/>
      <c r="H196" s="2"/>
      <c r="I196" s="2" t="b">
        <f t="shared" si="0"/>
        <v>1</v>
      </c>
      <c r="J196" s="2"/>
      <c r="K196" s="2"/>
      <c r="L196" s="2"/>
      <c r="M196" s="2"/>
      <c r="N196" s="2"/>
      <c r="O196" s="2"/>
      <c r="P196" s="2"/>
      <c r="Q196" s="2"/>
      <c r="R196" s="2"/>
      <c r="S196" s="2"/>
      <c r="T196" s="2"/>
      <c r="U196" s="2"/>
      <c r="V196" s="2"/>
      <c r="W196" s="2"/>
    </row>
    <row r="197" spans="1:23" ht="75" customHeight="1" x14ac:dyDescent="0.15">
      <c r="A197" s="2">
        <v>216</v>
      </c>
      <c r="B197" s="2" t="s">
        <v>212</v>
      </c>
      <c r="C197" s="2" t="s">
        <v>213</v>
      </c>
      <c r="D197" s="2" t="s">
        <v>230</v>
      </c>
      <c r="E197" s="2">
        <v>8</v>
      </c>
      <c r="F197" s="2">
        <v>8</v>
      </c>
      <c r="G197" s="2"/>
      <c r="H197" s="2"/>
      <c r="I197" s="2" t="b">
        <f t="shared" si="0"/>
        <v>1</v>
      </c>
      <c r="J197" s="2"/>
      <c r="K197" s="2"/>
      <c r="L197" s="2"/>
      <c r="M197" s="2"/>
      <c r="N197" s="2"/>
      <c r="O197" s="2"/>
      <c r="P197" s="2"/>
      <c r="Q197" s="2"/>
      <c r="R197" s="2"/>
      <c r="S197" s="2"/>
      <c r="T197" s="2"/>
      <c r="U197" s="2"/>
      <c r="V197" s="2"/>
      <c r="W197" s="2"/>
    </row>
    <row r="198" spans="1:23" ht="75" customHeight="1" x14ac:dyDescent="0.15">
      <c r="A198" s="2">
        <v>217</v>
      </c>
      <c r="B198" s="2" t="s">
        <v>212</v>
      </c>
      <c r="C198" s="2" t="s">
        <v>213</v>
      </c>
      <c r="D198" s="2" t="s">
        <v>231</v>
      </c>
      <c r="E198" s="2">
        <v>12</v>
      </c>
      <c r="F198" s="2">
        <v>12</v>
      </c>
      <c r="G198" s="2"/>
      <c r="H198" s="2"/>
      <c r="I198" s="2" t="b">
        <f t="shared" si="0"/>
        <v>1</v>
      </c>
      <c r="J198" s="2"/>
      <c r="K198" s="2"/>
      <c r="L198" s="2"/>
      <c r="M198" s="2"/>
      <c r="N198" s="2"/>
      <c r="O198" s="2"/>
      <c r="P198" s="2"/>
      <c r="Q198" s="2"/>
      <c r="R198" s="2"/>
      <c r="S198" s="2"/>
      <c r="T198" s="2"/>
      <c r="U198" s="2"/>
      <c r="V198" s="2"/>
      <c r="W198" s="2"/>
    </row>
    <row r="199" spans="1:23" ht="75" customHeight="1" x14ac:dyDescent="0.15">
      <c r="A199" s="2">
        <v>218</v>
      </c>
      <c r="B199" s="2" t="s">
        <v>212</v>
      </c>
      <c r="C199" s="2" t="s">
        <v>213</v>
      </c>
      <c r="D199" s="2" t="s">
        <v>232</v>
      </c>
      <c r="E199" s="2">
        <v>7</v>
      </c>
      <c r="F199" s="2">
        <v>7</v>
      </c>
      <c r="G199" s="2"/>
      <c r="H199" s="2"/>
      <c r="I199" s="2" t="b">
        <f t="shared" si="0"/>
        <v>1</v>
      </c>
      <c r="J199" s="2"/>
      <c r="K199" s="2"/>
      <c r="L199" s="2"/>
      <c r="M199" s="2"/>
      <c r="N199" s="2"/>
      <c r="O199" s="2"/>
      <c r="P199" s="2"/>
      <c r="Q199" s="2"/>
      <c r="R199" s="2"/>
      <c r="S199" s="2"/>
      <c r="T199" s="2"/>
      <c r="U199" s="2"/>
      <c r="V199" s="2"/>
      <c r="W199" s="2"/>
    </row>
    <row r="200" spans="1:23" ht="75" customHeight="1" x14ac:dyDescent="0.15">
      <c r="A200" s="2">
        <v>219</v>
      </c>
      <c r="B200" s="2" t="s">
        <v>212</v>
      </c>
      <c r="C200" s="2" t="s">
        <v>213</v>
      </c>
      <c r="D200" s="2" t="s">
        <v>233</v>
      </c>
      <c r="E200" s="2">
        <v>8</v>
      </c>
      <c r="F200" s="2">
        <v>8</v>
      </c>
      <c r="G200" s="2"/>
      <c r="H200" s="2"/>
      <c r="I200" s="2" t="b">
        <f t="shared" si="0"/>
        <v>1</v>
      </c>
      <c r="J200" s="2"/>
      <c r="K200" s="2"/>
      <c r="L200" s="2"/>
      <c r="M200" s="2"/>
      <c r="N200" s="2"/>
      <c r="O200" s="2"/>
      <c r="P200" s="2"/>
      <c r="Q200" s="2"/>
      <c r="R200" s="2"/>
      <c r="S200" s="2"/>
      <c r="T200" s="2"/>
      <c r="U200" s="2"/>
      <c r="V200" s="2"/>
      <c r="W200" s="2"/>
    </row>
    <row r="201" spans="1:23" ht="75" customHeight="1" x14ac:dyDescent="0.15">
      <c r="A201" s="2">
        <v>221</v>
      </c>
      <c r="B201" s="2" t="s">
        <v>234</v>
      </c>
      <c r="C201" s="2" t="s">
        <v>235</v>
      </c>
      <c r="D201" s="2" t="s">
        <v>236</v>
      </c>
      <c r="E201" s="2">
        <v>0</v>
      </c>
      <c r="F201" s="2">
        <v>0</v>
      </c>
      <c r="G201" s="3">
        <v>0</v>
      </c>
      <c r="H201" s="4" t="s">
        <v>237</v>
      </c>
      <c r="I201" s="2" t="b">
        <f t="shared" si="0"/>
        <v>1</v>
      </c>
      <c r="J201" s="2"/>
      <c r="K201" s="2"/>
      <c r="L201" s="2"/>
      <c r="M201" s="2"/>
      <c r="N201" s="2"/>
      <c r="O201" s="2"/>
      <c r="P201" s="2"/>
      <c r="Q201" s="2"/>
      <c r="R201" s="2"/>
      <c r="S201" s="2"/>
      <c r="T201" s="2"/>
      <c r="U201" s="2"/>
      <c r="V201" s="2"/>
      <c r="W201" s="2"/>
    </row>
    <row r="202" spans="1:23" ht="75" customHeight="1" x14ac:dyDescent="0.15">
      <c r="A202" s="2">
        <v>222</v>
      </c>
      <c r="B202" s="2" t="s">
        <v>234</v>
      </c>
      <c r="C202" s="2" t="s">
        <v>235</v>
      </c>
      <c r="D202" s="2" t="s">
        <v>238</v>
      </c>
      <c r="E202" s="2">
        <v>-2</v>
      </c>
      <c r="F202" s="2">
        <v>-2</v>
      </c>
      <c r="G202" s="2"/>
      <c r="H202" s="2"/>
      <c r="I202" s="2" t="b">
        <f t="shared" si="0"/>
        <v>1</v>
      </c>
      <c r="J202" s="2"/>
      <c r="K202" s="2"/>
      <c r="L202" s="2"/>
      <c r="M202" s="2"/>
      <c r="N202" s="2"/>
      <c r="O202" s="2"/>
      <c r="P202" s="2"/>
      <c r="Q202" s="2"/>
      <c r="R202" s="2"/>
      <c r="S202" s="2"/>
      <c r="T202" s="2"/>
      <c r="U202" s="2"/>
      <c r="V202" s="2"/>
      <c r="W202" s="2"/>
    </row>
    <row r="203" spans="1:23" ht="75" customHeight="1" x14ac:dyDescent="0.15">
      <c r="A203" s="2">
        <v>226</v>
      </c>
      <c r="B203" s="2" t="s">
        <v>234</v>
      </c>
      <c r="C203" s="2" t="s">
        <v>235</v>
      </c>
      <c r="D203" s="2" t="s">
        <v>239</v>
      </c>
      <c r="E203" s="2">
        <v>-2</v>
      </c>
      <c r="F203" s="2">
        <v>-2</v>
      </c>
      <c r="G203" s="2"/>
      <c r="H203" s="2"/>
      <c r="I203" s="2" t="b">
        <f t="shared" si="0"/>
        <v>1</v>
      </c>
      <c r="J203" s="2"/>
      <c r="K203" s="2"/>
      <c r="L203" s="2"/>
      <c r="M203" s="2"/>
      <c r="N203" s="2"/>
      <c r="O203" s="2"/>
      <c r="P203" s="2"/>
      <c r="Q203" s="2"/>
      <c r="R203" s="2"/>
      <c r="S203" s="2"/>
      <c r="T203" s="2"/>
      <c r="U203" s="2"/>
      <c r="V203" s="2"/>
      <c r="W203" s="2"/>
    </row>
    <row r="204" spans="1:23" ht="75" customHeight="1" x14ac:dyDescent="0.15">
      <c r="A204" s="2">
        <v>229</v>
      </c>
      <c r="B204" s="2" t="s">
        <v>234</v>
      </c>
      <c r="C204" s="2" t="s">
        <v>235</v>
      </c>
      <c r="D204" s="2" t="s">
        <v>240</v>
      </c>
      <c r="E204" s="2">
        <v>-2</v>
      </c>
      <c r="F204" s="2">
        <v>-2</v>
      </c>
      <c r="G204" s="2"/>
      <c r="H204" s="2"/>
      <c r="I204" s="2" t="b">
        <f t="shared" si="0"/>
        <v>1</v>
      </c>
      <c r="J204" s="2"/>
      <c r="K204" s="2"/>
      <c r="L204" s="2"/>
      <c r="M204" s="2"/>
      <c r="N204" s="2"/>
      <c r="O204" s="2"/>
      <c r="P204" s="2"/>
      <c r="Q204" s="2"/>
      <c r="R204" s="2"/>
      <c r="S204" s="2"/>
      <c r="T204" s="2"/>
      <c r="U204" s="2"/>
      <c r="V204" s="2"/>
      <c r="W204" s="2"/>
    </row>
    <row r="205" spans="1:23" ht="75" customHeight="1" x14ac:dyDescent="0.15">
      <c r="A205" s="2">
        <v>231</v>
      </c>
      <c r="B205" s="2" t="s">
        <v>234</v>
      </c>
      <c r="C205" s="2" t="s">
        <v>235</v>
      </c>
      <c r="D205" s="2" t="s">
        <v>241</v>
      </c>
      <c r="E205" s="2" t="s">
        <v>162</v>
      </c>
      <c r="F205" s="2" t="s">
        <v>162</v>
      </c>
      <c r="G205" s="2"/>
      <c r="H205" s="2"/>
      <c r="I205" s="2" t="b">
        <f t="shared" si="0"/>
        <v>1</v>
      </c>
      <c r="J205" s="2"/>
      <c r="K205" s="2"/>
      <c r="L205" s="2"/>
      <c r="M205" s="2"/>
      <c r="N205" s="2"/>
      <c r="O205" s="2"/>
      <c r="P205" s="2"/>
      <c r="Q205" s="2"/>
      <c r="R205" s="2"/>
      <c r="S205" s="2"/>
      <c r="T205" s="2"/>
      <c r="U205" s="2"/>
      <c r="V205" s="2"/>
      <c r="W205" s="2"/>
    </row>
    <row r="206" spans="1:23" ht="75" customHeight="1" x14ac:dyDescent="0.15">
      <c r="A206" s="2">
        <v>232</v>
      </c>
      <c r="B206" s="2" t="s">
        <v>234</v>
      </c>
      <c r="C206" s="2" t="s">
        <v>235</v>
      </c>
      <c r="D206" s="2" t="s">
        <v>242</v>
      </c>
      <c r="E206" s="2">
        <v>-1</v>
      </c>
      <c r="F206" s="2">
        <v>-1</v>
      </c>
      <c r="G206" s="2"/>
      <c r="H206" s="2"/>
      <c r="I206" s="2" t="b">
        <f t="shared" si="0"/>
        <v>1</v>
      </c>
      <c r="J206" s="2"/>
      <c r="K206" s="2"/>
      <c r="L206" s="2"/>
      <c r="M206" s="2"/>
      <c r="N206" s="2"/>
      <c r="O206" s="2"/>
      <c r="P206" s="2"/>
      <c r="Q206" s="2"/>
      <c r="R206" s="2"/>
      <c r="S206" s="2"/>
      <c r="T206" s="2"/>
      <c r="U206" s="2"/>
      <c r="V206" s="2"/>
      <c r="W206" s="2"/>
    </row>
    <row r="207" spans="1:23" ht="75" customHeight="1" x14ac:dyDescent="0.15">
      <c r="A207" s="2">
        <v>234</v>
      </c>
      <c r="B207" s="2" t="s">
        <v>234</v>
      </c>
      <c r="C207" s="2" t="s">
        <v>235</v>
      </c>
      <c r="D207" s="2" t="s">
        <v>243</v>
      </c>
      <c r="E207" s="2">
        <v>-2</v>
      </c>
      <c r="F207" s="2">
        <v>-2</v>
      </c>
      <c r="G207" s="2"/>
      <c r="H207" s="2"/>
      <c r="I207" s="2" t="b">
        <f t="shared" si="0"/>
        <v>1</v>
      </c>
      <c r="J207" s="2"/>
      <c r="K207" s="2"/>
      <c r="L207" s="2"/>
      <c r="M207" s="2"/>
      <c r="N207" s="2"/>
      <c r="O207" s="2"/>
      <c r="P207" s="2"/>
      <c r="Q207" s="2"/>
      <c r="R207" s="2"/>
      <c r="S207" s="2"/>
      <c r="T207" s="2"/>
      <c r="U207" s="2"/>
      <c r="V207" s="2"/>
      <c r="W207" s="2"/>
    </row>
    <row r="208" spans="1:23" ht="75" customHeight="1" x14ac:dyDescent="0.15">
      <c r="A208" s="2">
        <v>239</v>
      </c>
      <c r="B208" s="2" t="s">
        <v>234</v>
      </c>
      <c r="C208" s="2" t="s">
        <v>235</v>
      </c>
      <c r="D208" s="2" t="s">
        <v>244</v>
      </c>
      <c r="E208" s="2" t="s">
        <v>162</v>
      </c>
      <c r="F208" s="2" t="s">
        <v>162</v>
      </c>
      <c r="G208" s="2"/>
      <c r="H208" s="2"/>
      <c r="I208" s="2" t="b">
        <f t="shared" si="0"/>
        <v>1</v>
      </c>
      <c r="J208" s="2"/>
      <c r="K208" s="2"/>
      <c r="L208" s="2"/>
      <c r="M208" s="2"/>
      <c r="N208" s="2"/>
      <c r="O208" s="2"/>
      <c r="P208" s="2"/>
      <c r="Q208" s="2"/>
      <c r="R208" s="2"/>
      <c r="S208" s="2"/>
      <c r="T208" s="2"/>
      <c r="U208" s="2"/>
      <c r="V208" s="2"/>
      <c r="W208" s="2"/>
    </row>
    <row r="209" spans="1:23" ht="75" customHeight="1" x14ac:dyDescent="0.15">
      <c r="A209" s="2">
        <v>240</v>
      </c>
      <c r="B209" s="2" t="s">
        <v>245</v>
      </c>
      <c r="C209" s="2" t="s">
        <v>246</v>
      </c>
      <c r="D209" s="2" t="s">
        <v>247</v>
      </c>
      <c r="E209" s="2">
        <v>3</v>
      </c>
      <c r="F209" s="2">
        <v>3</v>
      </c>
      <c r="G209" s="2"/>
      <c r="H209" s="2"/>
      <c r="I209" s="2" t="b">
        <f t="shared" si="0"/>
        <v>1</v>
      </c>
      <c r="J209" s="2"/>
      <c r="K209" s="2"/>
      <c r="L209" s="2"/>
      <c r="M209" s="2"/>
      <c r="N209" s="2"/>
      <c r="O209" s="2"/>
      <c r="P209" s="2"/>
      <c r="Q209" s="2"/>
      <c r="R209" s="2"/>
      <c r="S209" s="2"/>
      <c r="T209" s="2"/>
      <c r="U209" s="2"/>
      <c r="V209" s="2"/>
      <c r="W209" s="2"/>
    </row>
    <row r="210" spans="1:23" ht="75" customHeight="1" x14ac:dyDescent="0.15">
      <c r="A210" s="2">
        <v>241</v>
      </c>
      <c r="B210" s="2" t="s">
        <v>245</v>
      </c>
      <c r="C210" s="2" t="s">
        <v>246</v>
      </c>
      <c r="D210" s="2" t="s">
        <v>248</v>
      </c>
      <c r="E210" s="2">
        <v>3</v>
      </c>
      <c r="F210" s="2">
        <v>3</v>
      </c>
      <c r="G210" s="2"/>
      <c r="H210" s="2"/>
      <c r="I210" s="2" t="b">
        <f t="shared" si="0"/>
        <v>1</v>
      </c>
      <c r="J210" s="2"/>
      <c r="K210" s="2"/>
      <c r="L210" s="2"/>
      <c r="M210" s="2"/>
      <c r="N210" s="2"/>
      <c r="O210" s="2"/>
      <c r="P210" s="2"/>
      <c r="Q210" s="2"/>
      <c r="R210" s="2"/>
      <c r="S210" s="2"/>
      <c r="T210" s="2"/>
      <c r="U210" s="2"/>
      <c r="V210" s="2"/>
      <c r="W210" s="2"/>
    </row>
    <row r="211" spans="1:23" ht="75" customHeight="1" x14ac:dyDescent="0.15">
      <c r="A211" s="2">
        <v>242</v>
      </c>
      <c r="B211" s="2" t="s">
        <v>245</v>
      </c>
      <c r="C211" s="2" t="s">
        <v>246</v>
      </c>
      <c r="D211" s="2" t="s">
        <v>249</v>
      </c>
      <c r="E211" s="2">
        <v>3</v>
      </c>
      <c r="F211" s="2">
        <v>3</v>
      </c>
      <c r="G211" s="2"/>
      <c r="H211" s="2"/>
      <c r="I211" s="2" t="b">
        <f t="shared" si="0"/>
        <v>1</v>
      </c>
      <c r="J211" s="2"/>
      <c r="K211" s="2"/>
      <c r="L211" s="2"/>
      <c r="M211" s="2"/>
      <c r="N211" s="2"/>
      <c r="O211" s="2"/>
      <c r="P211" s="2"/>
      <c r="Q211" s="2"/>
      <c r="R211" s="2"/>
      <c r="S211" s="2"/>
      <c r="T211" s="2"/>
      <c r="U211" s="2"/>
      <c r="V211" s="2"/>
      <c r="W211" s="2"/>
    </row>
    <row r="212" spans="1:23" ht="75" customHeight="1" x14ac:dyDescent="0.15">
      <c r="A212" s="2">
        <v>243</v>
      </c>
      <c r="B212" s="2" t="s">
        <v>245</v>
      </c>
      <c r="C212" s="2" t="s">
        <v>246</v>
      </c>
      <c r="D212" s="2" t="s">
        <v>250</v>
      </c>
      <c r="E212" s="2">
        <v>3</v>
      </c>
      <c r="F212" s="2">
        <v>3</v>
      </c>
      <c r="G212" s="2"/>
      <c r="H212" s="2"/>
      <c r="I212" s="2" t="b">
        <f t="shared" si="0"/>
        <v>1</v>
      </c>
      <c r="J212" s="2"/>
      <c r="K212" s="2"/>
      <c r="L212" s="2"/>
      <c r="M212" s="2"/>
      <c r="N212" s="2"/>
      <c r="O212" s="2"/>
      <c r="P212" s="2"/>
      <c r="Q212" s="2"/>
      <c r="R212" s="2"/>
      <c r="S212" s="2"/>
      <c r="T212" s="2"/>
      <c r="U212" s="2"/>
      <c r="V212" s="2"/>
      <c r="W212" s="2"/>
    </row>
    <row r="213" spans="1:23" ht="75" customHeight="1" x14ac:dyDescent="0.15">
      <c r="A213" s="2">
        <v>244</v>
      </c>
      <c r="B213" s="2" t="s">
        <v>245</v>
      </c>
      <c r="C213" s="2" t="s">
        <v>246</v>
      </c>
      <c r="D213" s="2" t="s">
        <v>251</v>
      </c>
      <c r="E213" s="2">
        <v>2</v>
      </c>
      <c r="F213" s="2">
        <v>2</v>
      </c>
      <c r="G213" s="2"/>
      <c r="H213" s="2"/>
      <c r="I213" s="2" t="b">
        <f t="shared" si="0"/>
        <v>1</v>
      </c>
      <c r="J213" s="2"/>
      <c r="K213" s="2"/>
      <c r="L213" s="2"/>
      <c r="M213" s="2"/>
      <c r="N213" s="2"/>
      <c r="O213" s="2"/>
      <c r="P213" s="2"/>
      <c r="Q213" s="2"/>
      <c r="R213" s="2"/>
      <c r="S213" s="2"/>
      <c r="T213" s="2"/>
      <c r="U213" s="2"/>
      <c r="V213" s="2"/>
      <c r="W213" s="2"/>
    </row>
    <row r="214" spans="1:23" ht="75" customHeight="1" x14ac:dyDescent="0.15">
      <c r="A214" s="2">
        <v>245</v>
      </c>
      <c r="B214" s="2" t="s">
        <v>245</v>
      </c>
      <c r="C214" s="2" t="s">
        <v>246</v>
      </c>
      <c r="D214" s="2" t="s">
        <v>252</v>
      </c>
      <c r="E214" s="2">
        <v>3</v>
      </c>
      <c r="F214" s="2">
        <v>3</v>
      </c>
      <c r="G214" s="2"/>
      <c r="H214" s="2"/>
      <c r="I214" s="2" t="b">
        <f t="shared" si="0"/>
        <v>1</v>
      </c>
      <c r="J214" s="2"/>
      <c r="K214" s="2"/>
      <c r="L214" s="2"/>
      <c r="M214" s="2"/>
      <c r="N214" s="2"/>
      <c r="O214" s="2"/>
      <c r="P214" s="2"/>
      <c r="Q214" s="2"/>
      <c r="R214" s="2"/>
      <c r="S214" s="2"/>
      <c r="T214" s="2"/>
      <c r="U214" s="2"/>
      <c r="V214" s="2"/>
      <c r="W214" s="2"/>
    </row>
    <row r="215" spans="1:23" ht="75" customHeight="1" x14ac:dyDescent="0.15">
      <c r="A215" s="2">
        <v>246</v>
      </c>
      <c r="B215" s="2" t="s">
        <v>245</v>
      </c>
      <c r="C215" s="2" t="s">
        <v>246</v>
      </c>
      <c r="D215" s="2" t="s">
        <v>253</v>
      </c>
      <c r="E215" s="2">
        <v>2</v>
      </c>
      <c r="F215" s="2">
        <v>2</v>
      </c>
      <c r="G215" s="2"/>
      <c r="H215" s="2"/>
      <c r="I215" s="2" t="b">
        <f t="shared" si="0"/>
        <v>1</v>
      </c>
      <c r="J215" s="2"/>
      <c r="K215" s="2"/>
      <c r="L215" s="2"/>
      <c r="M215" s="2"/>
      <c r="N215" s="2"/>
      <c r="O215" s="2"/>
      <c r="P215" s="2"/>
      <c r="Q215" s="2"/>
      <c r="R215" s="2"/>
      <c r="S215" s="2"/>
      <c r="T215" s="2"/>
      <c r="U215" s="2"/>
      <c r="V215" s="2"/>
      <c r="W215" s="2"/>
    </row>
    <row r="216" spans="1:23" ht="75" customHeight="1" x14ac:dyDescent="0.15">
      <c r="A216" s="2">
        <v>247</v>
      </c>
      <c r="B216" s="2" t="s">
        <v>245</v>
      </c>
      <c r="C216" s="2" t="s">
        <v>246</v>
      </c>
      <c r="D216" s="2" t="s">
        <v>254</v>
      </c>
      <c r="E216" s="2" t="s">
        <v>162</v>
      </c>
      <c r="F216" s="2" t="s">
        <v>162</v>
      </c>
      <c r="G216" s="2"/>
      <c r="H216" s="2"/>
      <c r="I216" s="2" t="b">
        <f t="shared" si="0"/>
        <v>1</v>
      </c>
      <c r="J216" s="2"/>
      <c r="K216" s="2"/>
      <c r="L216" s="2"/>
      <c r="M216" s="2"/>
      <c r="N216" s="2"/>
      <c r="O216" s="2"/>
      <c r="P216" s="2"/>
      <c r="Q216" s="2"/>
      <c r="R216" s="2"/>
      <c r="S216" s="2"/>
      <c r="T216" s="2"/>
      <c r="U216" s="2"/>
      <c r="V216" s="2"/>
      <c r="W216" s="2"/>
    </row>
    <row r="217" spans="1:23" ht="75" customHeight="1" x14ac:dyDescent="0.15">
      <c r="A217" s="2">
        <v>248</v>
      </c>
      <c r="B217" s="2" t="s">
        <v>245</v>
      </c>
      <c r="C217" s="2" t="s">
        <v>246</v>
      </c>
      <c r="D217" s="2" t="s">
        <v>255</v>
      </c>
      <c r="E217" s="2">
        <v>2</v>
      </c>
      <c r="F217" s="2">
        <v>2</v>
      </c>
      <c r="G217" s="2"/>
      <c r="H217" s="2"/>
      <c r="I217" s="2" t="b">
        <f t="shared" si="0"/>
        <v>1</v>
      </c>
      <c r="J217" s="2"/>
      <c r="K217" s="2"/>
      <c r="L217" s="2"/>
      <c r="M217" s="2"/>
      <c r="N217" s="2"/>
      <c r="O217" s="2"/>
      <c r="P217" s="2"/>
      <c r="Q217" s="2"/>
      <c r="R217" s="2"/>
      <c r="S217" s="2"/>
      <c r="T217" s="2"/>
      <c r="U217" s="2"/>
      <c r="V217" s="2"/>
      <c r="W217" s="2"/>
    </row>
    <row r="218" spans="1:23" ht="75" customHeight="1" x14ac:dyDescent="0.15">
      <c r="A218" s="2">
        <v>249</v>
      </c>
      <c r="B218" s="2" t="s">
        <v>245</v>
      </c>
      <c r="C218" s="2" t="s">
        <v>246</v>
      </c>
      <c r="D218" s="2" t="s">
        <v>256</v>
      </c>
      <c r="E218" s="2" t="s">
        <v>162</v>
      </c>
      <c r="F218" s="2" t="s">
        <v>162</v>
      </c>
      <c r="G218" s="3" t="s">
        <v>162</v>
      </c>
      <c r="H218" s="4" t="s">
        <v>257</v>
      </c>
      <c r="I218" s="2" t="b">
        <f t="shared" si="0"/>
        <v>1</v>
      </c>
      <c r="J218" s="2"/>
      <c r="K218" s="2"/>
      <c r="L218" s="2"/>
      <c r="M218" s="2"/>
      <c r="N218" s="2"/>
      <c r="O218" s="2"/>
      <c r="P218" s="2"/>
      <c r="Q218" s="2"/>
      <c r="R218" s="2"/>
      <c r="S218" s="2"/>
      <c r="T218" s="2"/>
      <c r="U218" s="2"/>
      <c r="V218" s="2"/>
      <c r="W218" s="2"/>
    </row>
    <row r="219" spans="1:23" ht="75" customHeight="1" x14ac:dyDescent="0.15">
      <c r="A219" s="2">
        <v>250</v>
      </c>
      <c r="B219" s="2" t="s">
        <v>245</v>
      </c>
      <c r="C219" s="2" t="s">
        <v>246</v>
      </c>
      <c r="D219" s="2" t="s">
        <v>258</v>
      </c>
      <c r="E219" s="2">
        <v>3</v>
      </c>
      <c r="F219" s="2">
        <v>3</v>
      </c>
      <c r="G219" s="2"/>
      <c r="H219" s="2"/>
      <c r="I219" s="2" t="b">
        <f t="shared" si="0"/>
        <v>1</v>
      </c>
      <c r="J219" s="2"/>
      <c r="K219" s="2"/>
      <c r="L219" s="2"/>
      <c r="M219" s="2"/>
      <c r="N219" s="2"/>
      <c r="O219" s="2"/>
      <c r="P219" s="2"/>
      <c r="Q219" s="2"/>
      <c r="R219" s="2"/>
      <c r="S219" s="2"/>
      <c r="T219" s="2"/>
      <c r="U219" s="2"/>
      <c r="V219" s="2"/>
      <c r="W219" s="2"/>
    </row>
    <row r="220" spans="1:23" ht="75" customHeight="1" x14ac:dyDescent="0.15">
      <c r="A220" s="2">
        <v>252</v>
      </c>
      <c r="B220" s="2" t="s">
        <v>245</v>
      </c>
      <c r="C220" s="2" t="s">
        <v>246</v>
      </c>
      <c r="D220" s="2" t="s">
        <v>259</v>
      </c>
      <c r="E220" s="2">
        <v>2</v>
      </c>
      <c r="F220" s="2">
        <v>2</v>
      </c>
      <c r="G220" s="2"/>
      <c r="H220" s="2"/>
      <c r="I220" s="2" t="b">
        <f t="shared" si="0"/>
        <v>1</v>
      </c>
      <c r="J220" s="2"/>
      <c r="K220" s="2"/>
      <c r="L220" s="2"/>
      <c r="M220" s="2"/>
      <c r="N220" s="2"/>
      <c r="O220" s="2"/>
      <c r="P220" s="2"/>
      <c r="Q220" s="2"/>
      <c r="R220" s="2"/>
      <c r="S220" s="2"/>
      <c r="T220" s="2"/>
      <c r="U220" s="2"/>
      <c r="V220" s="2"/>
      <c r="W220" s="2"/>
    </row>
    <row r="221" spans="1:23" ht="75" customHeight="1" x14ac:dyDescent="0.15">
      <c r="A221" s="2">
        <v>253</v>
      </c>
      <c r="B221" s="2" t="s">
        <v>245</v>
      </c>
      <c r="C221" s="2" t="s">
        <v>246</v>
      </c>
      <c r="D221" s="2" t="s">
        <v>260</v>
      </c>
      <c r="E221" s="2">
        <v>2</v>
      </c>
      <c r="F221" s="2">
        <v>2</v>
      </c>
      <c r="G221" s="2"/>
      <c r="H221" s="2"/>
      <c r="I221" s="2" t="b">
        <f t="shared" si="0"/>
        <v>1</v>
      </c>
      <c r="J221" s="2"/>
      <c r="K221" s="2"/>
      <c r="L221" s="2"/>
      <c r="M221" s="2"/>
      <c r="N221" s="2"/>
      <c r="O221" s="2"/>
      <c r="P221" s="2"/>
      <c r="Q221" s="2"/>
      <c r="R221" s="2"/>
      <c r="S221" s="2"/>
      <c r="T221" s="2"/>
      <c r="U221" s="2"/>
      <c r="V221" s="2"/>
      <c r="W221" s="2"/>
    </row>
    <row r="222" spans="1:23" ht="75" customHeight="1" x14ac:dyDescent="0.15">
      <c r="A222" s="2">
        <v>254</v>
      </c>
      <c r="B222" s="2" t="s">
        <v>245</v>
      </c>
      <c r="C222" s="2" t="s">
        <v>246</v>
      </c>
      <c r="D222" s="2" t="s">
        <v>261</v>
      </c>
      <c r="E222" s="2">
        <v>3</v>
      </c>
      <c r="F222" s="2">
        <v>3</v>
      </c>
      <c r="G222" s="2"/>
      <c r="H222" s="2"/>
      <c r="I222" s="2" t="b">
        <f t="shared" si="0"/>
        <v>1</v>
      </c>
      <c r="J222" s="2"/>
      <c r="K222" s="2"/>
      <c r="L222" s="2"/>
      <c r="M222" s="2"/>
      <c r="N222" s="2"/>
      <c r="O222" s="2"/>
      <c r="P222" s="2"/>
      <c r="Q222" s="2"/>
      <c r="R222" s="2"/>
      <c r="S222" s="2"/>
      <c r="T222" s="2"/>
      <c r="U222" s="2"/>
      <c r="V222" s="2"/>
      <c r="W222" s="2"/>
    </row>
    <row r="223" spans="1:23" ht="75" customHeight="1" x14ac:dyDescent="0.15">
      <c r="A223" s="2">
        <v>255</v>
      </c>
      <c r="B223" s="2" t="s">
        <v>245</v>
      </c>
      <c r="C223" s="2" t="s">
        <v>246</v>
      </c>
      <c r="D223" s="2" t="s">
        <v>262</v>
      </c>
      <c r="E223" s="2">
        <v>3</v>
      </c>
      <c r="F223" s="2">
        <v>3</v>
      </c>
      <c r="G223" s="2"/>
      <c r="H223" s="2"/>
      <c r="I223" s="2" t="b">
        <f t="shared" si="0"/>
        <v>1</v>
      </c>
      <c r="J223" s="2"/>
      <c r="K223" s="2"/>
      <c r="L223" s="2"/>
      <c r="M223" s="2"/>
      <c r="N223" s="2"/>
      <c r="O223" s="2"/>
      <c r="P223" s="2"/>
      <c r="Q223" s="2"/>
      <c r="R223" s="2"/>
      <c r="S223" s="2"/>
      <c r="T223" s="2"/>
      <c r="U223" s="2"/>
      <c r="V223" s="2"/>
      <c r="W223" s="2"/>
    </row>
    <row r="224" spans="1:23" ht="75" customHeight="1" x14ac:dyDescent="0.15">
      <c r="A224" s="2">
        <v>256</v>
      </c>
      <c r="B224" s="2" t="s">
        <v>245</v>
      </c>
      <c r="C224" s="2" t="s">
        <v>246</v>
      </c>
      <c r="D224" s="2" t="s">
        <v>263</v>
      </c>
      <c r="E224" s="2">
        <v>2</v>
      </c>
      <c r="F224" s="2">
        <v>2</v>
      </c>
      <c r="G224" s="2"/>
      <c r="H224" s="2"/>
      <c r="I224" s="2" t="b">
        <f t="shared" si="0"/>
        <v>1</v>
      </c>
      <c r="J224" s="2"/>
      <c r="K224" s="2"/>
      <c r="L224" s="2"/>
      <c r="M224" s="2"/>
      <c r="N224" s="2"/>
      <c r="O224" s="2"/>
      <c r="P224" s="2"/>
      <c r="Q224" s="2"/>
      <c r="R224" s="2"/>
      <c r="S224" s="2"/>
      <c r="T224" s="2"/>
      <c r="U224" s="2"/>
      <c r="V224" s="2"/>
      <c r="W224" s="2"/>
    </row>
    <row r="225" spans="1:23" ht="75" customHeight="1" x14ac:dyDescent="0.15">
      <c r="A225" s="2">
        <v>257</v>
      </c>
      <c r="B225" s="2" t="s">
        <v>245</v>
      </c>
      <c r="C225" s="2" t="s">
        <v>246</v>
      </c>
      <c r="D225" s="2" t="s">
        <v>264</v>
      </c>
      <c r="E225" s="2">
        <v>3</v>
      </c>
      <c r="F225" s="2">
        <v>3</v>
      </c>
      <c r="G225" s="2"/>
      <c r="H225" s="2"/>
      <c r="I225" s="2" t="b">
        <f t="shared" si="0"/>
        <v>1</v>
      </c>
      <c r="J225" s="2"/>
      <c r="K225" s="2"/>
      <c r="L225" s="2"/>
      <c r="M225" s="2"/>
      <c r="N225" s="2"/>
      <c r="O225" s="2"/>
      <c r="P225" s="2"/>
      <c r="Q225" s="2"/>
      <c r="R225" s="2"/>
      <c r="S225" s="2"/>
      <c r="T225" s="2"/>
      <c r="U225" s="2"/>
      <c r="V225" s="2"/>
      <c r="W225" s="2"/>
    </row>
    <row r="226" spans="1:23" ht="75" customHeight="1" x14ac:dyDescent="0.15">
      <c r="A226" s="2">
        <v>258</v>
      </c>
      <c r="B226" s="2" t="s">
        <v>245</v>
      </c>
      <c r="C226" s="2" t="s">
        <v>246</v>
      </c>
      <c r="D226" s="2" t="s">
        <v>265</v>
      </c>
      <c r="E226" s="2">
        <v>2</v>
      </c>
      <c r="F226" s="2">
        <v>2</v>
      </c>
      <c r="G226" s="2"/>
      <c r="H226" s="2"/>
      <c r="I226" s="2" t="b">
        <f t="shared" si="0"/>
        <v>1</v>
      </c>
      <c r="J226" s="2"/>
      <c r="K226" s="2"/>
      <c r="L226" s="2"/>
      <c r="M226" s="2"/>
      <c r="N226" s="2"/>
      <c r="O226" s="2"/>
      <c r="P226" s="2"/>
      <c r="Q226" s="2"/>
      <c r="R226" s="2"/>
      <c r="S226" s="2"/>
      <c r="T226" s="2"/>
      <c r="U226" s="2"/>
      <c r="V226" s="2"/>
      <c r="W226" s="2"/>
    </row>
    <row r="227" spans="1:23" ht="75" customHeight="1" x14ac:dyDescent="0.15">
      <c r="A227" s="2">
        <v>259</v>
      </c>
      <c r="B227" s="2" t="s">
        <v>245</v>
      </c>
      <c r="C227" s="2" t="s">
        <v>246</v>
      </c>
      <c r="D227" s="2" t="s">
        <v>266</v>
      </c>
      <c r="E227" s="2">
        <v>5</v>
      </c>
      <c r="F227" s="2">
        <v>5</v>
      </c>
      <c r="G227" s="2"/>
      <c r="H227" s="2"/>
      <c r="I227" s="2" t="b">
        <f t="shared" si="0"/>
        <v>1</v>
      </c>
      <c r="J227" s="2"/>
      <c r="K227" s="2"/>
      <c r="L227" s="2"/>
      <c r="M227" s="2"/>
      <c r="N227" s="2"/>
      <c r="O227" s="2"/>
      <c r="P227" s="2"/>
      <c r="Q227" s="2"/>
      <c r="R227" s="2"/>
      <c r="S227" s="2"/>
      <c r="T227" s="2"/>
      <c r="U227" s="2"/>
      <c r="V227" s="2"/>
      <c r="W227" s="2"/>
    </row>
    <row r="228" spans="1:23" ht="75" customHeight="1" x14ac:dyDescent="0.15">
      <c r="A228" s="2">
        <v>260</v>
      </c>
      <c r="B228" s="2" t="s">
        <v>267</v>
      </c>
      <c r="C228" s="2" t="s">
        <v>268</v>
      </c>
      <c r="D228" s="2" t="s">
        <v>269</v>
      </c>
      <c r="E228" s="2" t="s">
        <v>162</v>
      </c>
      <c r="F228" s="2" t="s">
        <v>162</v>
      </c>
      <c r="G228" s="2"/>
      <c r="H228" s="2"/>
      <c r="I228" s="2" t="b">
        <f t="shared" si="0"/>
        <v>1</v>
      </c>
      <c r="J228" s="2"/>
      <c r="K228" s="2"/>
      <c r="L228" s="2"/>
      <c r="M228" s="2"/>
      <c r="N228" s="2"/>
      <c r="O228" s="2"/>
      <c r="P228" s="2"/>
      <c r="Q228" s="2"/>
      <c r="R228" s="2"/>
      <c r="S228" s="2"/>
      <c r="T228" s="2"/>
      <c r="U228" s="2"/>
      <c r="V228" s="2"/>
      <c r="W228" s="2"/>
    </row>
    <row r="229" spans="1:23" ht="75" customHeight="1" x14ac:dyDescent="0.15">
      <c r="A229" s="2">
        <v>262</v>
      </c>
      <c r="B229" s="2" t="s">
        <v>267</v>
      </c>
      <c r="C229" s="2" t="s">
        <v>268</v>
      </c>
      <c r="D229" s="2" t="s">
        <v>270</v>
      </c>
      <c r="E229" s="2" t="s">
        <v>162</v>
      </c>
      <c r="F229" s="2" t="s">
        <v>162</v>
      </c>
      <c r="G229" s="2"/>
      <c r="H229" s="2"/>
      <c r="I229" s="2" t="b">
        <f t="shared" si="0"/>
        <v>1</v>
      </c>
      <c r="J229" s="2"/>
      <c r="K229" s="2"/>
      <c r="L229" s="2"/>
      <c r="M229" s="2"/>
      <c r="N229" s="2"/>
      <c r="O229" s="2"/>
      <c r="P229" s="2"/>
      <c r="Q229" s="2"/>
      <c r="R229" s="2"/>
      <c r="S229" s="2"/>
      <c r="T229" s="2"/>
      <c r="U229" s="2"/>
      <c r="V229" s="2"/>
      <c r="W229" s="2"/>
    </row>
    <row r="230" spans="1:23" ht="75" customHeight="1" x14ac:dyDescent="0.15">
      <c r="A230" s="2">
        <v>264</v>
      </c>
      <c r="B230" s="2" t="s">
        <v>267</v>
      </c>
      <c r="C230" s="2" t="s">
        <v>268</v>
      </c>
      <c r="D230" s="2" t="s">
        <v>271</v>
      </c>
      <c r="E230" s="2" t="s">
        <v>162</v>
      </c>
      <c r="F230" s="2" t="s">
        <v>162</v>
      </c>
      <c r="G230" s="3" t="s">
        <v>162</v>
      </c>
      <c r="H230" s="4" t="s">
        <v>272</v>
      </c>
      <c r="I230" s="2" t="b">
        <f t="shared" si="0"/>
        <v>1</v>
      </c>
      <c r="J230" s="2"/>
      <c r="K230" s="2"/>
      <c r="L230" s="2"/>
      <c r="M230" s="2"/>
      <c r="N230" s="2"/>
      <c r="O230" s="2"/>
      <c r="P230" s="2"/>
      <c r="Q230" s="2"/>
      <c r="R230" s="2"/>
      <c r="S230" s="2"/>
      <c r="T230" s="2"/>
      <c r="U230" s="2"/>
      <c r="V230" s="2"/>
      <c r="W230" s="2"/>
    </row>
    <row r="231" spans="1:23" ht="75" customHeight="1" x14ac:dyDescent="0.15">
      <c r="A231" s="2">
        <v>265</v>
      </c>
      <c r="B231" s="2" t="s">
        <v>267</v>
      </c>
      <c r="C231" s="2" t="s">
        <v>268</v>
      </c>
      <c r="D231" s="2" t="s">
        <v>273</v>
      </c>
      <c r="E231" s="2">
        <v>9</v>
      </c>
      <c r="F231" s="2">
        <v>9</v>
      </c>
      <c r="G231" s="2"/>
      <c r="H231" s="2"/>
      <c r="I231" s="2" t="b">
        <f t="shared" si="0"/>
        <v>1</v>
      </c>
      <c r="J231" s="2"/>
      <c r="K231" s="2"/>
      <c r="L231" s="2"/>
      <c r="M231" s="2"/>
      <c r="N231" s="2"/>
      <c r="O231" s="2"/>
      <c r="P231" s="2"/>
      <c r="Q231" s="2"/>
      <c r="R231" s="2"/>
      <c r="S231" s="2"/>
      <c r="T231" s="2"/>
      <c r="U231" s="2"/>
      <c r="V231" s="2"/>
      <c r="W231" s="2"/>
    </row>
    <row r="232" spans="1:23" ht="75" customHeight="1" x14ac:dyDescent="0.15">
      <c r="A232" s="2">
        <v>266</v>
      </c>
      <c r="B232" s="2" t="s">
        <v>267</v>
      </c>
      <c r="C232" s="2" t="s">
        <v>268</v>
      </c>
      <c r="D232" s="2" t="s">
        <v>274</v>
      </c>
      <c r="E232" s="2" t="s">
        <v>162</v>
      </c>
      <c r="F232" s="2" t="s">
        <v>162</v>
      </c>
      <c r="G232" s="2"/>
      <c r="H232" s="2"/>
      <c r="I232" s="2" t="b">
        <f t="shared" si="0"/>
        <v>1</v>
      </c>
      <c r="J232" s="2"/>
      <c r="K232" s="2"/>
      <c r="L232" s="2"/>
      <c r="M232" s="2"/>
      <c r="N232" s="2"/>
      <c r="O232" s="2"/>
      <c r="P232" s="2"/>
      <c r="Q232" s="2"/>
      <c r="R232" s="2"/>
      <c r="S232" s="2"/>
      <c r="T232" s="2"/>
      <c r="U232" s="2"/>
      <c r="V232" s="2"/>
      <c r="W232" s="2"/>
    </row>
    <row r="233" spans="1:23" ht="75" customHeight="1" x14ac:dyDescent="0.15">
      <c r="A233" s="2">
        <v>267</v>
      </c>
      <c r="B233" s="2" t="s">
        <v>267</v>
      </c>
      <c r="C233" s="2" t="s">
        <v>268</v>
      </c>
      <c r="D233" s="2" t="s">
        <v>275</v>
      </c>
      <c r="E233" s="2" t="s">
        <v>162</v>
      </c>
      <c r="F233" s="2" t="s">
        <v>162</v>
      </c>
      <c r="G233" s="2"/>
      <c r="H233" s="2"/>
      <c r="I233" s="2" t="b">
        <f t="shared" si="0"/>
        <v>1</v>
      </c>
      <c r="J233" s="2"/>
      <c r="K233" s="2"/>
      <c r="L233" s="2"/>
      <c r="M233" s="2"/>
      <c r="N233" s="2"/>
      <c r="O233" s="2"/>
      <c r="P233" s="2"/>
      <c r="Q233" s="2"/>
      <c r="R233" s="2"/>
      <c r="S233" s="2"/>
      <c r="T233" s="2"/>
      <c r="U233" s="2"/>
      <c r="V233" s="2"/>
      <c r="W233" s="2"/>
    </row>
    <row r="234" spans="1:23" ht="75" customHeight="1" x14ac:dyDescent="0.15">
      <c r="A234" s="2">
        <v>268</v>
      </c>
      <c r="B234" s="2" t="s">
        <v>267</v>
      </c>
      <c r="C234" s="2" t="s">
        <v>268</v>
      </c>
      <c r="D234" s="2" t="s">
        <v>276</v>
      </c>
      <c r="E234" s="2" t="s">
        <v>162</v>
      </c>
      <c r="F234" s="2" t="s">
        <v>162</v>
      </c>
      <c r="G234" s="3" t="s">
        <v>162</v>
      </c>
      <c r="H234" s="4" t="s">
        <v>277</v>
      </c>
      <c r="I234" s="2" t="b">
        <f t="shared" si="0"/>
        <v>1</v>
      </c>
      <c r="J234" s="2"/>
      <c r="K234" s="2"/>
      <c r="L234" s="2"/>
      <c r="M234" s="2"/>
      <c r="N234" s="2"/>
      <c r="O234" s="2"/>
      <c r="P234" s="2"/>
      <c r="Q234" s="2"/>
      <c r="R234" s="2"/>
      <c r="S234" s="2"/>
      <c r="T234" s="2"/>
      <c r="U234" s="2"/>
      <c r="V234" s="2"/>
      <c r="W234" s="2"/>
    </row>
    <row r="235" spans="1:23" ht="75" customHeight="1" x14ac:dyDescent="0.15">
      <c r="A235" s="2">
        <v>269</v>
      </c>
      <c r="B235" s="2" t="s">
        <v>267</v>
      </c>
      <c r="C235" s="2" t="s">
        <v>268</v>
      </c>
      <c r="D235" s="2" t="s">
        <v>278</v>
      </c>
      <c r="E235" s="2" t="s">
        <v>162</v>
      </c>
      <c r="F235" s="2" t="s">
        <v>162</v>
      </c>
      <c r="G235" s="2"/>
      <c r="H235" s="2"/>
      <c r="I235" s="2" t="b">
        <f t="shared" si="0"/>
        <v>1</v>
      </c>
      <c r="J235" s="2"/>
      <c r="K235" s="2"/>
      <c r="L235" s="2"/>
      <c r="M235" s="2"/>
      <c r="N235" s="2"/>
      <c r="O235" s="2"/>
      <c r="P235" s="2"/>
      <c r="Q235" s="2"/>
      <c r="R235" s="2"/>
      <c r="S235" s="2"/>
      <c r="T235" s="2"/>
      <c r="U235" s="2"/>
      <c r="V235" s="2"/>
      <c r="W235" s="2"/>
    </row>
    <row r="236" spans="1:23" ht="75" customHeight="1" x14ac:dyDescent="0.15">
      <c r="A236" s="2">
        <v>270</v>
      </c>
      <c r="B236" s="2" t="s">
        <v>267</v>
      </c>
      <c r="C236" s="2" t="s">
        <v>268</v>
      </c>
      <c r="D236" s="2" t="s">
        <v>279</v>
      </c>
      <c r="E236" s="2" t="s">
        <v>162</v>
      </c>
      <c r="F236" s="2" t="s">
        <v>162</v>
      </c>
      <c r="G236" s="2"/>
      <c r="H236" s="2"/>
      <c r="I236" s="2" t="b">
        <f t="shared" si="0"/>
        <v>1</v>
      </c>
      <c r="J236" s="2"/>
      <c r="K236" s="2"/>
      <c r="L236" s="2"/>
      <c r="M236" s="2"/>
      <c r="N236" s="2"/>
      <c r="O236" s="2"/>
      <c r="P236" s="2"/>
      <c r="Q236" s="2"/>
      <c r="R236" s="2"/>
      <c r="S236" s="2"/>
      <c r="T236" s="2"/>
      <c r="U236" s="2"/>
      <c r="V236" s="2"/>
      <c r="W236" s="2"/>
    </row>
    <row r="237" spans="1:23" ht="75" customHeight="1" x14ac:dyDescent="0.15">
      <c r="A237" s="2">
        <v>272</v>
      </c>
      <c r="B237" s="2" t="s">
        <v>267</v>
      </c>
      <c r="C237" s="2" t="s">
        <v>268</v>
      </c>
      <c r="D237" s="2" t="s">
        <v>280</v>
      </c>
      <c r="E237" s="2" t="s">
        <v>162</v>
      </c>
      <c r="F237" s="2" t="s">
        <v>162</v>
      </c>
      <c r="G237" s="2"/>
      <c r="H237" s="2"/>
      <c r="I237" s="2" t="b">
        <f t="shared" si="0"/>
        <v>1</v>
      </c>
      <c r="J237" s="2"/>
      <c r="K237" s="2"/>
      <c r="L237" s="2"/>
      <c r="M237" s="2"/>
      <c r="N237" s="2"/>
      <c r="O237" s="2"/>
      <c r="P237" s="2"/>
      <c r="Q237" s="2"/>
      <c r="R237" s="2"/>
      <c r="S237" s="2"/>
      <c r="T237" s="2"/>
      <c r="U237" s="2"/>
      <c r="V237" s="2"/>
      <c r="W237" s="2"/>
    </row>
    <row r="238" spans="1:23" ht="75" customHeight="1" x14ac:dyDescent="0.15">
      <c r="A238" s="2">
        <v>273</v>
      </c>
      <c r="B238" s="2" t="s">
        <v>267</v>
      </c>
      <c r="C238" s="2" t="s">
        <v>268</v>
      </c>
      <c r="D238" s="2" t="s">
        <v>281</v>
      </c>
      <c r="E238" s="2">
        <v>3</v>
      </c>
      <c r="F238" s="2">
        <v>3</v>
      </c>
      <c r="G238" s="2"/>
      <c r="H238" s="2"/>
      <c r="I238" s="2" t="b">
        <f t="shared" si="0"/>
        <v>1</v>
      </c>
      <c r="J238" s="2"/>
      <c r="K238" s="2"/>
      <c r="L238" s="2"/>
      <c r="M238" s="2"/>
      <c r="N238" s="2"/>
      <c r="O238" s="2"/>
      <c r="P238" s="2"/>
      <c r="Q238" s="2"/>
      <c r="R238" s="2"/>
      <c r="S238" s="2"/>
      <c r="T238" s="2"/>
      <c r="U238" s="2"/>
      <c r="V238" s="2"/>
      <c r="W238" s="2"/>
    </row>
    <row r="239" spans="1:23" ht="75" customHeight="1" x14ac:dyDescent="0.15">
      <c r="A239" s="2">
        <v>274</v>
      </c>
      <c r="B239" s="2" t="s">
        <v>267</v>
      </c>
      <c r="C239" s="2" t="s">
        <v>268</v>
      </c>
      <c r="D239" s="2" t="s">
        <v>282</v>
      </c>
      <c r="E239" s="2">
        <v>4</v>
      </c>
      <c r="F239" s="2">
        <v>4</v>
      </c>
      <c r="G239" s="2"/>
      <c r="H239" s="2"/>
      <c r="I239" s="2" t="b">
        <f t="shared" si="0"/>
        <v>1</v>
      </c>
      <c r="J239" s="2"/>
      <c r="K239" s="2"/>
      <c r="L239" s="2"/>
      <c r="M239" s="2"/>
      <c r="N239" s="2"/>
      <c r="O239" s="2"/>
      <c r="P239" s="2"/>
      <c r="Q239" s="2"/>
      <c r="R239" s="2"/>
      <c r="S239" s="2"/>
      <c r="T239" s="2"/>
      <c r="U239" s="2"/>
      <c r="V239" s="2"/>
      <c r="W239" s="2"/>
    </row>
    <row r="240" spans="1:23" ht="75" customHeight="1" x14ac:dyDescent="0.15">
      <c r="A240" s="2">
        <v>275</v>
      </c>
      <c r="B240" s="2" t="s">
        <v>267</v>
      </c>
      <c r="C240" s="2" t="s">
        <v>268</v>
      </c>
      <c r="D240" s="2" t="s">
        <v>283</v>
      </c>
      <c r="E240" s="2">
        <v>7</v>
      </c>
      <c r="F240" s="2">
        <v>7</v>
      </c>
      <c r="G240" s="2"/>
      <c r="H240" s="2"/>
      <c r="I240" s="2" t="b">
        <f t="shared" si="0"/>
        <v>1</v>
      </c>
      <c r="J240" s="2"/>
      <c r="K240" s="2"/>
      <c r="L240" s="2"/>
      <c r="M240" s="2"/>
      <c r="N240" s="2"/>
      <c r="O240" s="2"/>
      <c r="P240" s="2"/>
      <c r="Q240" s="2"/>
      <c r="R240" s="2"/>
      <c r="S240" s="2"/>
      <c r="T240" s="2"/>
      <c r="U240" s="2"/>
      <c r="V240" s="2"/>
      <c r="W240" s="2"/>
    </row>
    <row r="241" spans="1:23" ht="75" customHeight="1" x14ac:dyDescent="0.15">
      <c r="A241" s="2">
        <v>276</v>
      </c>
      <c r="B241" s="2" t="s">
        <v>267</v>
      </c>
      <c r="C241" s="2" t="s">
        <v>268</v>
      </c>
      <c r="D241" s="2" t="s">
        <v>284</v>
      </c>
      <c r="E241" s="2" t="s">
        <v>162</v>
      </c>
      <c r="F241" s="2" t="s">
        <v>162</v>
      </c>
      <c r="G241" s="2"/>
      <c r="H241" s="2"/>
      <c r="I241" s="2" t="b">
        <f t="shared" si="0"/>
        <v>1</v>
      </c>
      <c r="J241" s="2"/>
      <c r="K241" s="2"/>
      <c r="L241" s="2"/>
      <c r="M241" s="2"/>
      <c r="N241" s="2"/>
      <c r="O241" s="2"/>
      <c r="P241" s="2"/>
      <c r="Q241" s="2"/>
      <c r="R241" s="2"/>
      <c r="S241" s="2"/>
      <c r="T241" s="2"/>
      <c r="U241" s="2"/>
      <c r="V241" s="2"/>
      <c r="W241" s="2"/>
    </row>
    <row r="242" spans="1:23" ht="75" customHeight="1" x14ac:dyDescent="0.15">
      <c r="A242" s="2">
        <v>279</v>
      </c>
      <c r="B242" s="2" t="s">
        <v>267</v>
      </c>
      <c r="C242" s="2" t="s">
        <v>268</v>
      </c>
      <c r="D242" s="2" t="s">
        <v>285</v>
      </c>
      <c r="E242" s="2" t="s">
        <v>162</v>
      </c>
      <c r="F242" s="2" t="s">
        <v>162</v>
      </c>
      <c r="G242" s="2"/>
      <c r="H242" s="2"/>
      <c r="I242" s="2" t="b">
        <f t="shared" si="0"/>
        <v>1</v>
      </c>
      <c r="J242" s="2"/>
      <c r="K242" s="2"/>
      <c r="L242" s="2"/>
      <c r="M242" s="2"/>
      <c r="N242" s="2"/>
      <c r="O242" s="2"/>
      <c r="P242" s="2"/>
      <c r="Q242" s="2"/>
      <c r="R242" s="2"/>
      <c r="S242" s="2"/>
      <c r="T242" s="2"/>
      <c r="U242" s="2"/>
      <c r="V242" s="2"/>
      <c r="W242" s="2"/>
    </row>
    <row r="243" spans="1:23" ht="75" customHeight="1" x14ac:dyDescent="0.15">
      <c r="A243" s="2">
        <v>280</v>
      </c>
      <c r="B243" s="2" t="s">
        <v>286</v>
      </c>
      <c r="C243" s="2" t="s">
        <v>287</v>
      </c>
      <c r="D243" s="2" t="s">
        <v>288</v>
      </c>
      <c r="E243" s="2">
        <v>3.82</v>
      </c>
      <c r="F243" s="2">
        <v>3.82</v>
      </c>
      <c r="G243" s="2"/>
      <c r="H243" s="2"/>
      <c r="I243" s="2" t="b">
        <f t="shared" si="0"/>
        <v>1</v>
      </c>
      <c r="J243" s="2"/>
      <c r="K243" s="2"/>
      <c r="L243" s="2"/>
      <c r="M243" s="2"/>
      <c r="N243" s="2"/>
      <c r="O243" s="2"/>
      <c r="P243" s="2"/>
      <c r="Q243" s="2"/>
      <c r="R243" s="2"/>
      <c r="S243" s="2"/>
      <c r="T243" s="2"/>
      <c r="U243" s="2"/>
      <c r="V243" s="2"/>
      <c r="W243" s="2"/>
    </row>
    <row r="244" spans="1:23" ht="75" customHeight="1" x14ac:dyDescent="0.15">
      <c r="A244" s="2">
        <v>281</v>
      </c>
      <c r="B244" s="2" t="s">
        <v>286</v>
      </c>
      <c r="C244" s="2" t="s">
        <v>287</v>
      </c>
      <c r="D244" s="2" t="s">
        <v>289</v>
      </c>
      <c r="E244" s="2">
        <v>1.1200000000000001</v>
      </c>
      <c r="F244" s="2">
        <v>1.1200000000000001</v>
      </c>
      <c r="G244" s="2"/>
      <c r="H244" s="2"/>
      <c r="I244" s="2" t="b">
        <f t="shared" si="0"/>
        <v>1</v>
      </c>
      <c r="J244" s="2"/>
      <c r="K244" s="2"/>
      <c r="L244" s="2"/>
      <c r="M244" s="2"/>
      <c r="N244" s="2"/>
      <c r="O244" s="2"/>
      <c r="P244" s="2"/>
      <c r="Q244" s="2"/>
      <c r="R244" s="2"/>
      <c r="S244" s="2"/>
      <c r="T244" s="2"/>
      <c r="U244" s="2"/>
      <c r="V244" s="2"/>
      <c r="W244" s="2"/>
    </row>
    <row r="245" spans="1:23" ht="75" customHeight="1" x14ac:dyDescent="0.15">
      <c r="A245" s="2">
        <v>282</v>
      </c>
      <c r="B245" s="2" t="s">
        <v>286</v>
      </c>
      <c r="C245" s="2" t="s">
        <v>287</v>
      </c>
      <c r="D245" s="2" t="s">
        <v>290</v>
      </c>
      <c r="E245" s="2">
        <v>0.38</v>
      </c>
      <c r="F245" s="2">
        <v>0.38</v>
      </c>
      <c r="G245" s="2"/>
      <c r="H245" s="2"/>
      <c r="I245" s="2" t="b">
        <f t="shared" si="0"/>
        <v>1</v>
      </c>
      <c r="J245" s="2"/>
      <c r="K245" s="2"/>
      <c r="L245" s="2"/>
      <c r="M245" s="2"/>
      <c r="N245" s="2"/>
      <c r="O245" s="2"/>
      <c r="P245" s="2"/>
      <c r="Q245" s="2"/>
      <c r="R245" s="2"/>
      <c r="S245" s="2"/>
      <c r="T245" s="2"/>
      <c r="U245" s="2"/>
      <c r="V245" s="2"/>
      <c r="W245" s="2"/>
    </row>
    <row r="246" spans="1:23" ht="75" customHeight="1" x14ac:dyDescent="0.15">
      <c r="A246" s="2">
        <v>283</v>
      </c>
      <c r="B246" s="2" t="s">
        <v>286</v>
      </c>
      <c r="C246" s="2" t="s">
        <v>287</v>
      </c>
      <c r="D246" s="2" t="s">
        <v>291</v>
      </c>
      <c r="E246" s="2">
        <v>1.76</v>
      </c>
      <c r="F246" s="2">
        <v>1.76</v>
      </c>
      <c r="G246" s="2"/>
      <c r="H246" s="2"/>
      <c r="I246" s="2" t="b">
        <f t="shared" si="0"/>
        <v>1</v>
      </c>
      <c r="J246" s="2"/>
      <c r="K246" s="2"/>
      <c r="L246" s="2"/>
      <c r="M246" s="2"/>
      <c r="N246" s="2"/>
      <c r="O246" s="2"/>
      <c r="P246" s="2"/>
      <c r="Q246" s="2"/>
      <c r="R246" s="2"/>
      <c r="S246" s="2"/>
      <c r="T246" s="2"/>
      <c r="U246" s="2"/>
      <c r="V246" s="2"/>
      <c r="W246" s="2"/>
    </row>
    <row r="247" spans="1:23" ht="75" customHeight="1" x14ac:dyDescent="0.15">
      <c r="A247" s="2">
        <v>284</v>
      </c>
      <c r="B247" s="2" t="s">
        <v>286</v>
      </c>
      <c r="C247" s="2" t="s">
        <v>287</v>
      </c>
      <c r="D247" s="2" t="s">
        <v>292</v>
      </c>
      <c r="E247" s="2">
        <v>37.49</v>
      </c>
      <c r="F247" s="2">
        <v>37.49</v>
      </c>
      <c r="G247" s="3">
        <v>37.49</v>
      </c>
      <c r="H247" s="3" t="s">
        <v>293</v>
      </c>
      <c r="I247" s="2" t="b">
        <f t="shared" si="0"/>
        <v>1</v>
      </c>
      <c r="J247" s="2"/>
      <c r="K247" s="2"/>
      <c r="L247" s="2"/>
      <c r="M247" s="2"/>
      <c r="N247" s="2"/>
      <c r="O247" s="2"/>
      <c r="P247" s="2"/>
      <c r="Q247" s="2"/>
      <c r="R247" s="2"/>
      <c r="S247" s="2"/>
      <c r="T247" s="2"/>
      <c r="U247" s="2"/>
      <c r="V247" s="2"/>
      <c r="W247" s="2"/>
    </row>
    <row r="248" spans="1:23" ht="75" customHeight="1" x14ac:dyDescent="0.15">
      <c r="A248" s="2">
        <v>285</v>
      </c>
      <c r="B248" s="2" t="s">
        <v>286</v>
      </c>
      <c r="C248" s="2" t="s">
        <v>287</v>
      </c>
      <c r="D248" s="2" t="s">
        <v>294</v>
      </c>
      <c r="E248" s="2">
        <v>3.72</v>
      </c>
      <c r="F248" s="2">
        <v>3.72</v>
      </c>
      <c r="G248" s="2"/>
      <c r="H248" s="2"/>
      <c r="I248" s="2" t="b">
        <f t="shared" si="0"/>
        <v>1</v>
      </c>
      <c r="J248" s="2"/>
      <c r="K248" s="2"/>
      <c r="L248" s="2"/>
      <c r="M248" s="2"/>
      <c r="N248" s="2"/>
      <c r="O248" s="2"/>
      <c r="P248" s="2"/>
      <c r="Q248" s="2"/>
      <c r="R248" s="2"/>
      <c r="S248" s="2"/>
      <c r="T248" s="2"/>
      <c r="U248" s="2"/>
      <c r="V248" s="2"/>
      <c r="W248" s="2"/>
    </row>
    <row r="249" spans="1:23" ht="75" customHeight="1" x14ac:dyDescent="0.15">
      <c r="A249" s="2">
        <v>286</v>
      </c>
      <c r="B249" s="2" t="s">
        <v>286</v>
      </c>
      <c r="C249" s="2" t="s">
        <v>287</v>
      </c>
      <c r="D249" s="2" t="s">
        <v>295</v>
      </c>
      <c r="E249" s="2">
        <v>1.55</v>
      </c>
      <c r="F249" s="2">
        <v>1.55</v>
      </c>
      <c r="G249" s="2"/>
      <c r="H249" s="2"/>
      <c r="I249" s="2" t="b">
        <f t="shared" si="0"/>
        <v>1</v>
      </c>
      <c r="J249" s="2"/>
      <c r="K249" s="2"/>
      <c r="L249" s="2"/>
      <c r="M249" s="2"/>
      <c r="N249" s="2"/>
      <c r="O249" s="2"/>
      <c r="P249" s="2"/>
      <c r="Q249" s="2"/>
      <c r="R249" s="2"/>
      <c r="S249" s="2"/>
      <c r="T249" s="2"/>
      <c r="U249" s="2"/>
      <c r="V249" s="2"/>
      <c r="W249" s="2"/>
    </row>
    <row r="250" spans="1:23" ht="75" customHeight="1" x14ac:dyDescent="0.15">
      <c r="A250" s="2">
        <v>287</v>
      </c>
      <c r="B250" s="2" t="s">
        <v>286</v>
      </c>
      <c r="C250" s="2" t="s">
        <v>287</v>
      </c>
      <c r="D250" s="2" t="s">
        <v>296</v>
      </c>
      <c r="E250" s="2">
        <v>3.89</v>
      </c>
      <c r="F250" s="2">
        <v>3.89</v>
      </c>
      <c r="G250" s="2"/>
      <c r="H250" s="2"/>
      <c r="I250" s="2" t="b">
        <f t="shared" si="0"/>
        <v>1</v>
      </c>
      <c r="J250" s="2"/>
      <c r="K250" s="2"/>
      <c r="L250" s="2"/>
      <c r="M250" s="2"/>
      <c r="N250" s="2"/>
      <c r="O250" s="2"/>
      <c r="P250" s="2"/>
      <c r="Q250" s="2"/>
      <c r="R250" s="2"/>
      <c r="S250" s="2"/>
      <c r="T250" s="2"/>
      <c r="U250" s="2"/>
      <c r="V250" s="2"/>
      <c r="W250" s="2"/>
    </row>
    <row r="251" spans="1:23" ht="75" customHeight="1" x14ac:dyDescent="0.15">
      <c r="A251" s="2">
        <v>288</v>
      </c>
      <c r="B251" s="2" t="s">
        <v>286</v>
      </c>
      <c r="C251" s="2" t="s">
        <v>287</v>
      </c>
      <c r="D251" s="2" t="s">
        <v>297</v>
      </c>
      <c r="E251" s="2">
        <v>2.71</v>
      </c>
      <c r="F251" s="2">
        <v>2.71</v>
      </c>
      <c r="G251" s="2"/>
      <c r="H251" s="2"/>
      <c r="I251" s="2" t="b">
        <f t="shared" si="0"/>
        <v>1</v>
      </c>
      <c r="J251" s="2"/>
      <c r="K251" s="2"/>
      <c r="L251" s="2"/>
      <c r="M251" s="2"/>
      <c r="N251" s="2"/>
      <c r="O251" s="2"/>
      <c r="P251" s="2"/>
      <c r="Q251" s="2"/>
      <c r="R251" s="2"/>
      <c r="S251" s="2"/>
      <c r="T251" s="2"/>
      <c r="U251" s="2"/>
      <c r="V251" s="2"/>
      <c r="W251" s="2"/>
    </row>
    <row r="252" spans="1:23" ht="75" customHeight="1" x14ac:dyDescent="0.15">
      <c r="A252" s="2">
        <v>289</v>
      </c>
      <c r="B252" s="2" t="s">
        <v>286</v>
      </c>
      <c r="C252" s="2" t="s">
        <v>287</v>
      </c>
      <c r="D252" s="2" t="s">
        <v>298</v>
      </c>
      <c r="E252" s="2">
        <v>6.66</v>
      </c>
      <c r="F252" s="2">
        <v>6.66</v>
      </c>
      <c r="G252" s="2"/>
      <c r="H252" s="2"/>
      <c r="I252" s="2" t="b">
        <f t="shared" si="0"/>
        <v>1</v>
      </c>
      <c r="J252" s="2"/>
      <c r="K252" s="2"/>
      <c r="L252" s="2"/>
      <c r="M252" s="2"/>
      <c r="N252" s="2"/>
      <c r="O252" s="2"/>
      <c r="P252" s="2"/>
      <c r="Q252" s="2"/>
      <c r="R252" s="2"/>
      <c r="S252" s="2"/>
      <c r="T252" s="2"/>
      <c r="U252" s="2"/>
      <c r="V252" s="2"/>
      <c r="W252" s="2"/>
    </row>
    <row r="253" spans="1:23" ht="75" customHeight="1" x14ac:dyDescent="0.15">
      <c r="A253" s="2">
        <v>290</v>
      </c>
      <c r="B253" s="2" t="s">
        <v>286</v>
      </c>
      <c r="C253" s="2" t="s">
        <v>287</v>
      </c>
      <c r="D253" s="2" t="s">
        <v>299</v>
      </c>
      <c r="E253" s="2">
        <v>1.73</v>
      </c>
      <c r="F253" s="2">
        <v>1.73</v>
      </c>
      <c r="G253" s="2"/>
      <c r="H253" s="2"/>
      <c r="I253" s="2" t="b">
        <f t="shared" si="0"/>
        <v>1</v>
      </c>
      <c r="J253" s="2"/>
      <c r="K253" s="2"/>
      <c r="L253" s="2"/>
      <c r="M253" s="2"/>
      <c r="N253" s="2"/>
      <c r="O253" s="2"/>
      <c r="P253" s="2"/>
      <c r="Q253" s="2"/>
      <c r="R253" s="2"/>
      <c r="S253" s="2"/>
      <c r="T253" s="2"/>
      <c r="U253" s="2"/>
      <c r="V253" s="2"/>
      <c r="W253" s="2"/>
    </row>
    <row r="254" spans="1:23" ht="75" customHeight="1" x14ac:dyDescent="0.15">
      <c r="A254" s="2">
        <v>292</v>
      </c>
      <c r="B254" s="2" t="s">
        <v>286</v>
      </c>
      <c r="C254" s="2" t="s">
        <v>287</v>
      </c>
      <c r="D254" s="2" t="s">
        <v>300</v>
      </c>
      <c r="E254" s="2">
        <v>2.77</v>
      </c>
      <c r="F254" s="2">
        <v>2.77</v>
      </c>
      <c r="G254" s="2"/>
      <c r="H254" s="2"/>
      <c r="I254" s="2" t="b">
        <f t="shared" si="0"/>
        <v>1</v>
      </c>
      <c r="J254" s="2"/>
      <c r="K254" s="2"/>
      <c r="L254" s="2"/>
      <c r="M254" s="2"/>
      <c r="N254" s="2"/>
      <c r="O254" s="2"/>
      <c r="P254" s="2"/>
      <c r="Q254" s="2"/>
      <c r="R254" s="2"/>
      <c r="S254" s="2"/>
      <c r="T254" s="2"/>
      <c r="U254" s="2"/>
      <c r="V254" s="2"/>
      <c r="W254" s="2"/>
    </row>
    <row r="255" spans="1:23" ht="75" customHeight="1" x14ac:dyDescent="0.15">
      <c r="A255" s="2">
        <v>293</v>
      </c>
      <c r="B255" s="2" t="s">
        <v>286</v>
      </c>
      <c r="C255" s="2" t="s">
        <v>287</v>
      </c>
      <c r="D255" s="2" t="s">
        <v>301</v>
      </c>
      <c r="E255" s="2">
        <v>6.4</v>
      </c>
      <c r="F255" s="2">
        <v>6.4</v>
      </c>
      <c r="G255" s="2"/>
      <c r="H255" s="2"/>
      <c r="I255" s="2" t="b">
        <f t="shared" si="0"/>
        <v>1</v>
      </c>
      <c r="J255" s="2"/>
      <c r="K255" s="2"/>
      <c r="L255" s="2"/>
      <c r="M255" s="2"/>
      <c r="N255" s="2"/>
      <c r="O255" s="2"/>
      <c r="P255" s="2"/>
      <c r="Q255" s="2"/>
      <c r="R255" s="2"/>
      <c r="S255" s="2"/>
      <c r="T255" s="2"/>
      <c r="U255" s="2"/>
      <c r="V255" s="2"/>
      <c r="W255" s="2"/>
    </row>
    <row r="256" spans="1:23" ht="75" customHeight="1" x14ac:dyDescent="0.15">
      <c r="A256" s="2">
        <v>294</v>
      </c>
      <c r="B256" s="2" t="s">
        <v>286</v>
      </c>
      <c r="C256" s="2" t="s">
        <v>287</v>
      </c>
      <c r="D256" s="2" t="s">
        <v>302</v>
      </c>
      <c r="E256" s="2">
        <v>3.2</v>
      </c>
      <c r="F256" s="2">
        <v>3.2</v>
      </c>
      <c r="G256" s="2"/>
      <c r="H256" s="2"/>
      <c r="I256" s="2" t="b">
        <f t="shared" si="0"/>
        <v>1</v>
      </c>
      <c r="J256" s="2"/>
      <c r="K256" s="2"/>
      <c r="L256" s="2"/>
      <c r="M256" s="2"/>
      <c r="N256" s="2"/>
      <c r="O256" s="2"/>
      <c r="P256" s="2"/>
      <c r="Q256" s="2"/>
      <c r="R256" s="2"/>
      <c r="S256" s="2"/>
      <c r="T256" s="2"/>
      <c r="U256" s="2"/>
      <c r="V256" s="2"/>
      <c r="W256" s="2"/>
    </row>
    <row r="257" spans="1:23" ht="75" customHeight="1" x14ac:dyDescent="0.15">
      <c r="A257" s="2">
        <v>295</v>
      </c>
      <c r="B257" s="2" t="s">
        <v>286</v>
      </c>
      <c r="C257" s="2" t="s">
        <v>287</v>
      </c>
      <c r="D257" s="2" t="s">
        <v>303</v>
      </c>
      <c r="E257" s="2">
        <v>1.3</v>
      </c>
      <c r="F257" s="2">
        <v>1.3</v>
      </c>
      <c r="G257" s="2"/>
      <c r="H257" s="2"/>
      <c r="I257" s="2" t="b">
        <f t="shared" ref="I257:I511" si="1">E257=F257</f>
        <v>1</v>
      </c>
      <c r="J257" s="2"/>
      <c r="K257" s="2"/>
      <c r="L257" s="2"/>
      <c r="M257" s="2"/>
      <c r="N257" s="2"/>
      <c r="O257" s="2"/>
      <c r="P257" s="2"/>
      <c r="Q257" s="2"/>
      <c r="R257" s="2"/>
      <c r="S257" s="2"/>
      <c r="T257" s="2"/>
      <c r="U257" s="2"/>
      <c r="V257" s="2"/>
      <c r="W257" s="2"/>
    </row>
    <row r="258" spans="1:23" ht="75" customHeight="1" x14ac:dyDescent="0.15">
      <c r="A258" s="2">
        <v>296</v>
      </c>
      <c r="B258" s="2" t="s">
        <v>286</v>
      </c>
      <c r="C258" s="2" t="s">
        <v>287</v>
      </c>
      <c r="D258" s="2" t="s">
        <v>304</v>
      </c>
      <c r="E258" s="2">
        <v>1.71</v>
      </c>
      <c r="F258" s="2">
        <v>1.71</v>
      </c>
      <c r="G258" s="2"/>
      <c r="H258" s="2"/>
      <c r="I258" s="2" t="b">
        <f t="shared" si="1"/>
        <v>1</v>
      </c>
      <c r="J258" s="2"/>
      <c r="K258" s="2"/>
      <c r="L258" s="2"/>
      <c r="M258" s="2"/>
      <c r="N258" s="2"/>
      <c r="O258" s="2"/>
      <c r="P258" s="2"/>
      <c r="Q258" s="2"/>
      <c r="R258" s="2"/>
      <c r="S258" s="2"/>
      <c r="T258" s="2"/>
      <c r="U258" s="2"/>
      <c r="V258" s="2"/>
      <c r="W258" s="2"/>
    </row>
    <row r="259" spans="1:23" ht="75" customHeight="1" x14ac:dyDescent="0.15">
      <c r="A259" s="2">
        <v>297</v>
      </c>
      <c r="B259" s="2" t="s">
        <v>286</v>
      </c>
      <c r="C259" s="2" t="s">
        <v>287</v>
      </c>
      <c r="D259" s="2" t="s">
        <v>305</v>
      </c>
      <c r="E259" s="2">
        <v>2.68</v>
      </c>
      <c r="F259" s="2">
        <v>2.68</v>
      </c>
      <c r="G259" s="2"/>
      <c r="H259" s="2"/>
      <c r="I259" s="2" t="b">
        <f t="shared" si="1"/>
        <v>1</v>
      </c>
      <c r="J259" s="2"/>
      <c r="K259" s="2"/>
      <c r="L259" s="2"/>
      <c r="M259" s="2"/>
      <c r="N259" s="2"/>
      <c r="O259" s="2"/>
      <c r="P259" s="2"/>
      <c r="Q259" s="2"/>
      <c r="R259" s="2"/>
      <c r="S259" s="2"/>
      <c r="T259" s="2"/>
      <c r="U259" s="2"/>
      <c r="V259" s="2"/>
      <c r="W259" s="2"/>
    </row>
    <row r="260" spans="1:23" ht="75" customHeight="1" x14ac:dyDescent="0.15">
      <c r="A260" s="2">
        <v>298</v>
      </c>
      <c r="B260" s="2" t="s">
        <v>286</v>
      </c>
      <c r="C260" s="2" t="s">
        <v>287</v>
      </c>
      <c r="D260" s="2" t="s">
        <v>306</v>
      </c>
      <c r="E260" s="2">
        <v>6.97</v>
      </c>
      <c r="F260" s="2">
        <v>6.97</v>
      </c>
      <c r="G260" s="2"/>
      <c r="H260" s="2"/>
      <c r="I260" s="2" t="b">
        <f t="shared" si="1"/>
        <v>1</v>
      </c>
      <c r="J260" s="2"/>
      <c r="K260" s="2"/>
      <c r="L260" s="2"/>
      <c r="M260" s="2"/>
      <c r="N260" s="2"/>
      <c r="O260" s="2"/>
      <c r="P260" s="2"/>
      <c r="Q260" s="2"/>
      <c r="R260" s="2"/>
      <c r="S260" s="2"/>
      <c r="T260" s="2"/>
      <c r="U260" s="2"/>
      <c r="V260" s="2"/>
      <c r="W260" s="2"/>
    </row>
    <row r="261" spans="1:23" ht="75" customHeight="1" x14ac:dyDescent="0.15">
      <c r="A261" s="2">
        <v>299</v>
      </c>
      <c r="B261" s="2" t="s">
        <v>286</v>
      </c>
      <c r="C261" s="2" t="s">
        <v>287</v>
      </c>
      <c r="D261" s="2" t="s">
        <v>307</v>
      </c>
      <c r="E261" s="2">
        <v>4</v>
      </c>
      <c r="F261" s="2">
        <v>4</v>
      </c>
      <c r="G261" s="2"/>
      <c r="H261" s="2"/>
      <c r="I261" s="2" t="b">
        <f t="shared" si="1"/>
        <v>1</v>
      </c>
      <c r="J261" s="2"/>
      <c r="K261" s="2"/>
      <c r="L261" s="2"/>
      <c r="M261" s="2"/>
      <c r="N261" s="2"/>
      <c r="O261" s="2"/>
      <c r="P261" s="2"/>
      <c r="Q261" s="2"/>
      <c r="R261" s="2"/>
      <c r="S261" s="2"/>
      <c r="T261" s="2"/>
      <c r="U261" s="2"/>
      <c r="V261" s="2"/>
      <c r="W261" s="2"/>
    </row>
    <row r="262" spans="1:23" ht="75" customHeight="1" x14ac:dyDescent="0.15">
      <c r="A262" s="2">
        <v>300</v>
      </c>
      <c r="B262" s="2" t="s">
        <v>308</v>
      </c>
      <c r="C262" s="2" t="s">
        <v>309</v>
      </c>
      <c r="D262" s="2" t="s">
        <v>310</v>
      </c>
      <c r="E262" s="2" t="s">
        <v>162</v>
      </c>
      <c r="F262" s="2" t="s">
        <v>162</v>
      </c>
      <c r="G262" s="2"/>
      <c r="H262" s="2"/>
      <c r="I262" s="2" t="b">
        <f t="shared" si="1"/>
        <v>1</v>
      </c>
      <c r="J262" s="2"/>
      <c r="K262" s="2"/>
      <c r="L262" s="2"/>
      <c r="M262" s="2"/>
      <c r="N262" s="2"/>
      <c r="O262" s="2"/>
      <c r="P262" s="2"/>
      <c r="Q262" s="2"/>
      <c r="R262" s="2"/>
      <c r="S262" s="2"/>
      <c r="T262" s="2"/>
      <c r="U262" s="2"/>
      <c r="V262" s="2"/>
      <c r="W262" s="2"/>
    </row>
    <row r="263" spans="1:23" ht="75" customHeight="1" x14ac:dyDescent="0.15">
      <c r="A263" s="2">
        <v>303</v>
      </c>
      <c r="B263" s="2" t="s">
        <v>308</v>
      </c>
      <c r="C263" s="2" t="s">
        <v>309</v>
      </c>
      <c r="D263" s="2" t="s">
        <v>311</v>
      </c>
      <c r="E263" s="2">
        <v>3</v>
      </c>
      <c r="F263" s="2">
        <v>3</v>
      </c>
      <c r="G263" s="2"/>
      <c r="H263" s="2"/>
      <c r="I263" s="2" t="b">
        <f t="shared" si="1"/>
        <v>1</v>
      </c>
      <c r="J263" s="2"/>
      <c r="K263" s="2"/>
      <c r="L263" s="2"/>
      <c r="M263" s="2"/>
      <c r="N263" s="2"/>
      <c r="O263" s="2"/>
      <c r="P263" s="2"/>
      <c r="Q263" s="2"/>
      <c r="R263" s="2"/>
      <c r="S263" s="2"/>
      <c r="T263" s="2"/>
      <c r="U263" s="2"/>
      <c r="V263" s="2"/>
      <c r="W263" s="2"/>
    </row>
    <row r="264" spans="1:23" ht="75" customHeight="1" x14ac:dyDescent="0.15">
      <c r="A264" s="2">
        <v>304</v>
      </c>
      <c r="B264" s="2" t="s">
        <v>308</v>
      </c>
      <c r="C264" s="2" t="s">
        <v>309</v>
      </c>
      <c r="D264" s="2" t="s">
        <v>312</v>
      </c>
      <c r="E264" s="2" t="s">
        <v>162</v>
      </c>
      <c r="F264" s="2" t="s">
        <v>162</v>
      </c>
      <c r="G264" s="2"/>
      <c r="H264" s="2"/>
      <c r="I264" s="2" t="b">
        <f t="shared" si="1"/>
        <v>1</v>
      </c>
      <c r="J264" s="2"/>
      <c r="K264" s="2"/>
      <c r="L264" s="2"/>
      <c r="M264" s="2"/>
      <c r="N264" s="2"/>
      <c r="O264" s="2"/>
      <c r="P264" s="2"/>
      <c r="Q264" s="2"/>
      <c r="R264" s="2"/>
      <c r="S264" s="2"/>
      <c r="T264" s="2"/>
      <c r="U264" s="2"/>
      <c r="V264" s="2"/>
      <c r="W264" s="2"/>
    </row>
    <row r="265" spans="1:23" ht="75" customHeight="1" x14ac:dyDescent="0.15">
      <c r="A265" s="2">
        <v>305</v>
      </c>
      <c r="B265" s="2" t="s">
        <v>308</v>
      </c>
      <c r="C265" s="2" t="s">
        <v>309</v>
      </c>
      <c r="D265" s="2" t="s">
        <v>313</v>
      </c>
      <c r="E265" s="2" t="s">
        <v>162</v>
      </c>
      <c r="F265" s="2" t="s">
        <v>162</v>
      </c>
      <c r="G265" s="2"/>
      <c r="H265" s="2"/>
      <c r="I265" s="2" t="b">
        <f t="shared" si="1"/>
        <v>1</v>
      </c>
      <c r="J265" s="2"/>
      <c r="K265" s="2"/>
      <c r="L265" s="2"/>
      <c r="M265" s="2"/>
      <c r="N265" s="2"/>
      <c r="O265" s="2"/>
      <c r="P265" s="2"/>
      <c r="Q265" s="2"/>
      <c r="R265" s="2"/>
      <c r="S265" s="2"/>
      <c r="T265" s="2"/>
      <c r="U265" s="2"/>
      <c r="V265" s="2"/>
      <c r="W265" s="2"/>
    </row>
    <row r="266" spans="1:23" ht="75" customHeight="1" x14ac:dyDescent="0.15">
      <c r="A266" s="2">
        <v>306</v>
      </c>
      <c r="B266" s="2" t="s">
        <v>308</v>
      </c>
      <c r="C266" s="2" t="s">
        <v>309</v>
      </c>
      <c r="D266" s="2" t="s">
        <v>314</v>
      </c>
      <c r="E266" s="2" t="s">
        <v>162</v>
      </c>
      <c r="F266" s="2" t="s">
        <v>162</v>
      </c>
      <c r="G266" s="2"/>
      <c r="H266" s="2"/>
      <c r="I266" s="2" t="b">
        <f t="shared" si="1"/>
        <v>1</v>
      </c>
      <c r="J266" s="2"/>
      <c r="K266" s="2"/>
      <c r="L266" s="2"/>
      <c r="M266" s="2"/>
      <c r="N266" s="2"/>
      <c r="O266" s="2"/>
      <c r="P266" s="2"/>
      <c r="Q266" s="2"/>
      <c r="R266" s="2"/>
      <c r="S266" s="2"/>
      <c r="T266" s="2"/>
      <c r="U266" s="2"/>
      <c r="V266" s="2"/>
      <c r="W266" s="2"/>
    </row>
    <row r="267" spans="1:23" ht="75" customHeight="1" x14ac:dyDescent="0.15">
      <c r="A267" s="2">
        <v>307</v>
      </c>
      <c r="B267" s="2" t="s">
        <v>308</v>
      </c>
      <c r="C267" s="2" t="s">
        <v>309</v>
      </c>
      <c r="D267" s="2" t="s">
        <v>315</v>
      </c>
      <c r="E267" s="2">
        <v>2</v>
      </c>
      <c r="F267" s="2">
        <v>2</v>
      </c>
      <c r="G267" s="2"/>
      <c r="H267" s="2"/>
      <c r="I267" s="2" t="b">
        <f t="shared" si="1"/>
        <v>1</v>
      </c>
      <c r="J267" s="2"/>
      <c r="K267" s="2"/>
      <c r="L267" s="2"/>
      <c r="M267" s="2"/>
      <c r="N267" s="2"/>
      <c r="O267" s="2"/>
      <c r="P267" s="2"/>
      <c r="Q267" s="2"/>
      <c r="R267" s="2"/>
      <c r="S267" s="2"/>
      <c r="T267" s="2"/>
      <c r="U267" s="2"/>
      <c r="V267" s="2"/>
      <c r="W267" s="2"/>
    </row>
    <row r="268" spans="1:23" ht="75" customHeight="1" x14ac:dyDescent="0.15">
      <c r="A268" s="2">
        <v>308</v>
      </c>
      <c r="B268" s="2" t="s">
        <v>308</v>
      </c>
      <c r="C268" s="2" t="s">
        <v>309</v>
      </c>
      <c r="D268" s="2" t="s">
        <v>316</v>
      </c>
      <c r="E268" s="2" t="s">
        <v>162</v>
      </c>
      <c r="F268" s="2" t="s">
        <v>162</v>
      </c>
      <c r="G268" s="2"/>
      <c r="H268" s="2"/>
      <c r="I268" s="2" t="b">
        <f t="shared" si="1"/>
        <v>1</v>
      </c>
      <c r="J268" s="2"/>
      <c r="K268" s="2"/>
      <c r="L268" s="2"/>
      <c r="M268" s="2"/>
      <c r="N268" s="2"/>
      <c r="O268" s="2"/>
      <c r="P268" s="2"/>
      <c r="Q268" s="2"/>
      <c r="R268" s="2"/>
      <c r="S268" s="2"/>
      <c r="T268" s="2"/>
      <c r="U268" s="2"/>
      <c r="V268" s="2"/>
      <c r="W268" s="2"/>
    </row>
    <row r="269" spans="1:23" ht="75" customHeight="1" x14ac:dyDescent="0.15">
      <c r="A269" s="2">
        <v>309</v>
      </c>
      <c r="B269" s="2" t="s">
        <v>308</v>
      </c>
      <c r="C269" s="2" t="s">
        <v>309</v>
      </c>
      <c r="D269" s="2" t="s">
        <v>317</v>
      </c>
      <c r="E269" s="2">
        <v>4</v>
      </c>
      <c r="F269" s="2">
        <v>4</v>
      </c>
      <c r="G269" s="2"/>
      <c r="H269" s="2"/>
      <c r="I269" s="2" t="b">
        <f t="shared" si="1"/>
        <v>1</v>
      </c>
      <c r="J269" s="2"/>
      <c r="K269" s="2"/>
      <c r="L269" s="2"/>
      <c r="M269" s="2"/>
      <c r="N269" s="2"/>
      <c r="O269" s="2"/>
      <c r="P269" s="2"/>
      <c r="Q269" s="2"/>
      <c r="R269" s="2"/>
      <c r="S269" s="2"/>
      <c r="T269" s="2"/>
      <c r="U269" s="2"/>
      <c r="V269" s="2"/>
      <c r="W269" s="2"/>
    </row>
    <row r="270" spans="1:23" ht="75" customHeight="1" x14ac:dyDescent="0.15">
      <c r="A270" s="2">
        <v>311</v>
      </c>
      <c r="B270" s="2" t="s">
        <v>308</v>
      </c>
      <c r="C270" s="2" t="s">
        <v>309</v>
      </c>
      <c r="D270" s="2" t="s">
        <v>318</v>
      </c>
      <c r="E270" s="2" t="s">
        <v>162</v>
      </c>
      <c r="F270" s="2" t="s">
        <v>162</v>
      </c>
      <c r="G270" s="2"/>
      <c r="H270" s="2"/>
      <c r="I270" s="2" t="b">
        <f t="shared" si="1"/>
        <v>1</v>
      </c>
      <c r="J270" s="2"/>
      <c r="K270" s="2"/>
      <c r="L270" s="2"/>
      <c r="M270" s="2"/>
      <c r="N270" s="2"/>
      <c r="O270" s="2"/>
      <c r="P270" s="2"/>
      <c r="Q270" s="2"/>
      <c r="R270" s="2"/>
      <c r="S270" s="2"/>
      <c r="T270" s="2"/>
      <c r="U270" s="2"/>
      <c r="V270" s="2"/>
      <c r="W270" s="2"/>
    </row>
    <row r="271" spans="1:23" ht="75" customHeight="1" x14ac:dyDescent="0.15">
      <c r="A271" s="2">
        <v>313</v>
      </c>
      <c r="B271" s="2" t="s">
        <v>308</v>
      </c>
      <c r="C271" s="2" t="s">
        <v>309</v>
      </c>
      <c r="D271" s="2" t="s">
        <v>319</v>
      </c>
      <c r="E271" s="2" t="s">
        <v>162</v>
      </c>
      <c r="F271" s="2" t="s">
        <v>162</v>
      </c>
      <c r="G271" s="2"/>
      <c r="H271" s="2"/>
      <c r="I271" s="2" t="b">
        <f t="shared" si="1"/>
        <v>1</v>
      </c>
      <c r="J271" s="2"/>
      <c r="K271" s="2"/>
      <c r="L271" s="2"/>
      <c r="M271" s="2"/>
      <c r="N271" s="2"/>
      <c r="O271" s="2"/>
      <c r="P271" s="2"/>
      <c r="Q271" s="2"/>
      <c r="R271" s="2"/>
      <c r="S271" s="2"/>
      <c r="T271" s="2"/>
      <c r="U271" s="2"/>
      <c r="V271" s="2"/>
      <c r="W271" s="2"/>
    </row>
    <row r="272" spans="1:23" ht="75" customHeight="1" x14ac:dyDescent="0.15">
      <c r="A272" s="2">
        <v>315</v>
      </c>
      <c r="B272" s="2" t="s">
        <v>308</v>
      </c>
      <c r="C272" s="2" t="s">
        <v>309</v>
      </c>
      <c r="D272" s="2" t="s">
        <v>320</v>
      </c>
      <c r="E272" s="2">
        <v>3</v>
      </c>
      <c r="F272" s="2">
        <v>3</v>
      </c>
      <c r="G272" s="2"/>
      <c r="H272" s="2"/>
      <c r="I272" s="2" t="b">
        <f t="shared" si="1"/>
        <v>1</v>
      </c>
      <c r="J272" s="2"/>
      <c r="K272" s="2"/>
      <c r="L272" s="2"/>
      <c r="M272" s="2"/>
      <c r="N272" s="2"/>
      <c r="O272" s="2"/>
      <c r="P272" s="2"/>
      <c r="Q272" s="2"/>
      <c r="R272" s="2"/>
      <c r="S272" s="2"/>
      <c r="T272" s="2"/>
      <c r="U272" s="2"/>
      <c r="V272" s="2"/>
      <c r="W272" s="2"/>
    </row>
    <row r="273" spans="1:23" ht="75" customHeight="1" x14ac:dyDescent="0.15">
      <c r="A273" s="2">
        <v>318</v>
      </c>
      <c r="B273" s="2" t="s">
        <v>308</v>
      </c>
      <c r="C273" s="2" t="s">
        <v>309</v>
      </c>
      <c r="D273" s="2" t="s">
        <v>321</v>
      </c>
      <c r="E273" s="2">
        <v>2</v>
      </c>
      <c r="F273" s="2">
        <v>2</v>
      </c>
      <c r="G273" s="2"/>
      <c r="H273" s="2"/>
      <c r="I273" s="2" t="b">
        <f t="shared" si="1"/>
        <v>1</v>
      </c>
      <c r="J273" s="2"/>
      <c r="K273" s="2"/>
      <c r="L273" s="2"/>
      <c r="M273" s="2"/>
      <c r="N273" s="2"/>
      <c r="O273" s="2"/>
      <c r="P273" s="2"/>
      <c r="Q273" s="2"/>
      <c r="R273" s="2"/>
      <c r="S273" s="2"/>
      <c r="T273" s="2"/>
      <c r="U273" s="2"/>
      <c r="V273" s="2"/>
      <c r="W273" s="2"/>
    </row>
    <row r="274" spans="1:23" ht="75" customHeight="1" x14ac:dyDescent="0.15">
      <c r="A274" s="2">
        <v>319</v>
      </c>
      <c r="B274" s="2" t="s">
        <v>308</v>
      </c>
      <c r="C274" s="2" t="s">
        <v>309</v>
      </c>
      <c r="D274" s="2" t="s">
        <v>322</v>
      </c>
      <c r="E274" s="2" t="s">
        <v>162</v>
      </c>
      <c r="F274" s="2" t="s">
        <v>162</v>
      </c>
      <c r="G274" s="2"/>
      <c r="H274" s="2"/>
      <c r="I274" s="2" t="b">
        <f t="shared" si="1"/>
        <v>1</v>
      </c>
      <c r="J274" s="2"/>
      <c r="K274" s="2"/>
      <c r="L274" s="2"/>
      <c r="M274" s="2"/>
      <c r="N274" s="2"/>
      <c r="O274" s="2"/>
      <c r="P274" s="2"/>
      <c r="Q274" s="2"/>
      <c r="R274" s="2"/>
      <c r="S274" s="2"/>
      <c r="T274" s="2"/>
      <c r="U274" s="2"/>
      <c r="V274" s="2"/>
      <c r="W274" s="2"/>
    </row>
    <row r="275" spans="1:23" ht="75" customHeight="1" x14ac:dyDescent="0.15">
      <c r="A275" s="2">
        <v>320</v>
      </c>
      <c r="B275" s="2" t="s">
        <v>323</v>
      </c>
      <c r="C275" s="2" t="s">
        <v>324</v>
      </c>
      <c r="D275" s="2" t="s">
        <v>325</v>
      </c>
      <c r="E275" s="2">
        <v>54</v>
      </c>
      <c r="F275" s="2">
        <v>54</v>
      </c>
      <c r="G275" s="2"/>
      <c r="H275" s="2"/>
      <c r="I275" s="2" t="b">
        <f t="shared" si="1"/>
        <v>1</v>
      </c>
      <c r="J275" s="2"/>
      <c r="K275" s="2"/>
      <c r="L275" s="2"/>
      <c r="M275" s="2"/>
      <c r="N275" s="2"/>
      <c r="O275" s="2"/>
      <c r="P275" s="2"/>
      <c r="Q275" s="2"/>
      <c r="R275" s="2"/>
      <c r="S275" s="2"/>
      <c r="T275" s="2"/>
      <c r="U275" s="2"/>
      <c r="V275" s="2"/>
      <c r="W275" s="2"/>
    </row>
    <row r="276" spans="1:23" ht="75" customHeight="1" x14ac:dyDescent="0.15">
      <c r="A276" s="2">
        <v>321</v>
      </c>
      <c r="B276" s="2" t="s">
        <v>323</v>
      </c>
      <c r="C276" s="2" t="s">
        <v>324</v>
      </c>
      <c r="D276" s="2" t="s">
        <v>326</v>
      </c>
      <c r="E276" s="2">
        <v>32.92</v>
      </c>
      <c r="F276" s="2">
        <v>32.92</v>
      </c>
      <c r="G276" s="2"/>
      <c r="H276" s="2"/>
      <c r="I276" s="2" t="b">
        <f t="shared" si="1"/>
        <v>1</v>
      </c>
      <c r="J276" s="2"/>
      <c r="K276" s="2"/>
      <c r="L276" s="2"/>
      <c r="M276" s="2"/>
      <c r="N276" s="2"/>
      <c r="O276" s="2"/>
      <c r="P276" s="2"/>
      <c r="Q276" s="2"/>
      <c r="R276" s="2"/>
      <c r="S276" s="2"/>
      <c r="T276" s="2"/>
      <c r="U276" s="2"/>
      <c r="V276" s="2"/>
      <c r="W276" s="2"/>
    </row>
    <row r="277" spans="1:23" ht="75" customHeight="1" x14ac:dyDescent="0.15">
      <c r="A277" s="2">
        <v>322</v>
      </c>
      <c r="B277" s="2" t="s">
        <v>323</v>
      </c>
      <c r="C277" s="2" t="s">
        <v>324</v>
      </c>
      <c r="D277" s="2" t="s">
        <v>327</v>
      </c>
      <c r="E277" s="2" t="s">
        <v>162</v>
      </c>
      <c r="F277" s="2" t="s">
        <v>162</v>
      </c>
      <c r="G277" s="2" t="s">
        <v>162</v>
      </c>
      <c r="H277" s="4" t="s">
        <v>328</v>
      </c>
      <c r="I277" s="2" t="b">
        <f t="shared" si="1"/>
        <v>1</v>
      </c>
      <c r="J277" s="2"/>
      <c r="K277" s="2"/>
      <c r="L277" s="2"/>
      <c r="M277" s="2"/>
      <c r="N277" s="2"/>
      <c r="O277" s="2"/>
      <c r="P277" s="2"/>
      <c r="Q277" s="2"/>
      <c r="R277" s="2"/>
      <c r="S277" s="2"/>
      <c r="T277" s="2"/>
      <c r="U277" s="2"/>
      <c r="V277" s="2"/>
      <c r="W277" s="2"/>
    </row>
    <row r="278" spans="1:23" ht="75" customHeight="1" x14ac:dyDescent="0.15">
      <c r="A278" s="2">
        <v>324</v>
      </c>
      <c r="B278" s="2" t="s">
        <v>323</v>
      </c>
      <c r="C278" s="2" t="s">
        <v>324</v>
      </c>
      <c r="D278" s="2" t="s">
        <v>329</v>
      </c>
      <c r="E278" s="2">
        <v>8.7200000000000006</v>
      </c>
      <c r="F278" s="2">
        <v>8.7200000000000006</v>
      </c>
      <c r="G278" s="2"/>
      <c r="H278" s="2"/>
      <c r="I278" s="2" t="b">
        <f t="shared" si="1"/>
        <v>1</v>
      </c>
      <c r="J278" s="2"/>
      <c r="K278" s="2"/>
      <c r="L278" s="2"/>
      <c r="M278" s="2"/>
      <c r="N278" s="2"/>
      <c r="O278" s="2"/>
      <c r="P278" s="2"/>
      <c r="Q278" s="2"/>
      <c r="R278" s="2"/>
      <c r="S278" s="2"/>
      <c r="T278" s="2"/>
      <c r="U278" s="2"/>
      <c r="V278" s="2"/>
      <c r="W278" s="2"/>
    </row>
    <row r="279" spans="1:23" ht="75" customHeight="1" x14ac:dyDescent="0.15">
      <c r="A279" s="2">
        <v>325</v>
      </c>
      <c r="B279" s="2" t="s">
        <v>323</v>
      </c>
      <c r="C279" s="2" t="s">
        <v>324</v>
      </c>
      <c r="D279" s="2" t="s">
        <v>330</v>
      </c>
      <c r="E279" s="2">
        <v>83</v>
      </c>
      <c r="F279" s="2">
        <v>83</v>
      </c>
      <c r="G279" s="2"/>
      <c r="H279" s="2"/>
      <c r="I279" s="2" t="b">
        <f t="shared" si="1"/>
        <v>1</v>
      </c>
      <c r="J279" s="2"/>
      <c r="K279" s="2"/>
      <c r="L279" s="2"/>
      <c r="M279" s="2"/>
      <c r="N279" s="2"/>
      <c r="O279" s="2"/>
      <c r="P279" s="2"/>
      <c r="Q279" s="2"/>
      <c r="R279" s="2"/>
      <c r="S279" s="2"/>
      <c r="T279" s="2"/>
      <c r="U279" s="2"/>
      <c r="V279" s="2"/>
      <c r="W279" s="2"/>
    </row>
    <row r="280" spans="1:23" ht="75" customHeight="1" x14ac:dyDescent="0.15">
      <c r="A280" s="2">
        <v>326</v>
      </c>
      <c r="B280" s="2" t="s">
        <v>323</v>
      </c>
      <c r="C280" s="2" t="s">
        <v>324</v>
      </c>
      <c r="D280" s="2" t="s">
        <v>331</v>
      </c>
      <c r="E280" s="2">
        <v>93.1</v>
      </c>
      <c r="F280" s="2">
        <v>93.1</v>
      </c>
      <c r="G280" s="2"/>
      <c r="H280" s="2"/>
      <c r="I280" s="2" t="b">
        <f t="shared" si="1"/>
        <v>1</v>
      </c>
      <c r="J280" s="2"/>
      <c r="K280" s="2"/>
      <c r="L280" s="2"/>
      <c r="M280" s="2"/>
      <c r="N280" s="2"/>
      <c r="O280" s="2"/>
      <c r="P280" s="2"/>
      <c r="Q280" s="2"/>
      <c r="R280" s="2"/>
      <c r="S280" s="2"/>
      <c r="T280" s="2"/>
      <c r="U280" s="2"/>
      <c r="V280" s="2"/>
      <c r="W280" s="2"/>
    </row>
    <row r="281" spans="1:23" ht="75" customHeight="1" x14ac:dyDescent="0.15">
      <c r="A281" s="2">
        <v>327</v>
      </c>
      <c r="B281" s="2" t="s">
        <v>323</v>
      </c>
      <c r="C281" s="2" t="s">
        <v>324</v>
      </c>
      <c r="D281" s="2" t="s">
        <v>332</v>
      </c>
      <c r="E281" s="2">
        <v>124</v>
      </c>
      <c r="F281" s="2">
        <v>124</v>
      </c>
      <c r="G281" s="2"/>
      <c r="H281" s="2"/>
      <c r="I281" s="2" t="b">
        <f t="shared" si="1"/>
        <v>1</v>
      </c>
      <c r="J281" s="2"/>
      <c r="K281" s="2"/>
      <c r="L281" s="2"/>
      <c r="M281" s="2"/>
      <c r="N281" s="2"/>
      <c r="O281" s="2"/>
      <c r="P281" s="2"/>
      <c r="Q281" s="2"/>
      <c r="R281" s="2"/>
      <c r="S281" s="2"/>
      <c r="T281" s="2"/>
      <c r="U281" s="2"/>
      <c r="V281" s="2"/>
      <c r="W281" s="2"/>
    </row>
    <row r="282" spans="1:23" ht="75" customHeight="1" x14ac:dyDescent="0.15">
      <c r="A282" s="2">
        <v>328</v>
      </c>
      <c r="B282" s="2" t="s">
        <v>323</v>
      </c>
      <c r="C282" s="2" t="s">
        <v>324</v>
      </c>
      <c r="D282" s="2" t="s">
        <v>333</v>
      </c>
      <c r="E282" s="2">
        <v>3.58</v>
      </c>
      <c r="F282" s="2">
        <v>3.58</v>
      </c>
      <c r="G282" s="3" t="s">
        <v>334</v>
      </c>
      <c r="H282" s="4" t="s">
        <v>335</v>
      </c>
      <c r="I282" s="2" t="b">
        <f t="shared" si="1"/>
        <v>1</v>
      </c>
      <c r="J282" s="2"/>
      <c r="K282" s="2"/>
      <c r="L282" s="2"/>
      <c r="M282" s="2"/>
      <c r="N282" s="2"/>
      <c r="O282" s="2"/>
      <c r="P282" s="2"/>
      <c r="Q282" s="2"/>
      <c r="R282" s="2"/>
      <c r="S282" s="2"/>
      <c r="T282" s="2"/>
      <c r="U282" s="2"/>
      <c r="V282" s="2"/>
      <c r="W282" s="2"/>
    </row>
    <row r="283" spans="1:23" ht="75" customHeight="1" x14ac:dyDescent="0.15">
      <c r="A283" s="2">
        <v>329</v>
      </c>
      <c r="B283" s="2" t="s">
        <v>323</v>
      </c>
      <c r="C283" s="2" t="s">
        <v>324</v>
      </c>
      <c r="D283" s="2" t="s">
        <v>179</v>
      </c>
      <c r="E283" s="2">
        <v>131</v>
      </c>
      <c r="F283" s="2">
        <v>131</v>
      </c>
      <c r="G283" s="2"/>
      <c r="H283" s="2"/>
      <c r="I283" s="2" t="b">
        <f t="shared" si="1"/>
        <v>1</v>
      </c>
      <c r="J283" s="2"/>
      <c r="K283" s="2"/>
      <c r="L283" s="2"/>
      <c r="M283" s="2"/>
      <c r="N283" s="2"/>
      <c r="O283" s="2"/>
      <c r="P283" s="2"/>
      <c r="Q283" s="2"/>
      <c r="R283" s="2"/>
      <c r="S283" s="2"/>
      <c r="T283" s="2"/>
      <c r="U283" s="2"/>
      <c r="V283" s="2"/>
      <c r="W283" s="2"/>
    </row>
    <row r="284" spans="1:23" ht="75" customHeight="1" x14ac:dyDescent="0.15">
      <c r="A284" s="2">
        <v>330</v>
      </c>
      <c r="B284" s="2" t="s">
        <v>323</v>
      </c>
      <c r="C284" s="2" t="s">
        <v>324</v>
      </c>
      <c r="D284" s="2" t="s">
        <v>336</v>
      </c>
      <c r="E284" s="2" t="s">
        <v>162</v>
      </c>
      <c r="F284" s="2" t="s">
        <v>162</v>
      </c>
      <c r="G284" s="2"/>
      <c r="H284" s="2"/>
      <c r="I284" s="2" t="b">
        <f t="shared" si="1"/>
        <v>1</v>
      </c>
      <c r="J284" s="2"/>
      <c r="K284" s="2"/>
      <c r="L284" s="2"/>
      <c r="M284" s="2"/>
      <c r="N284" s="2"/>
      <c r="O284" s="2"/>
      <c r="P284" s="2"/>
      <c r="Q284" s="2"/>
      <c r="R284" s="2"/>
      <c r="S284" s="2"/>
      <c r="T284" s="2"/>
      <c r="U284" s="2"/>
      <c r="V284" s="2"/>
      <c r="W284" s="2"/>
    </row>
    <row r="285" spans="1:23" ht="75" customHeight="1" x14ac:dyDescent="0.15">
      <c r="A285" s="2">
        <v>331</v>
      </c>
      <c r="B285" s="2" t="s">
        <v>323</v>
      </c>
      <c r="C285" s="2" t="s">
        <v>324</v>
      </c>
      <c r="D285" s="2" t="s">
        <v>337</v>
      </c>
      <c r="E285" s="2">
        <v>94</v>
      </c>
      <c r="F285" s="2">
        <v>94</v>
      </c>
      <c r="G285" s="2"/>
      <c r="H285" s="2"/>
      <c r="I285" s="2" t="b">
        <f t="shared" si="1"/>
        <v>1</v>
      </c>
      <c r="J285" s="2"/>
      <c r="K285" s="2"/>
      <c r="L285" s="2"/>
      <c r="M285" s="2"/>
      <c r="N285" s="2"/>
      <c r="O285" s="2"/>
      <c r="P285" s="2"/>
      <c r="Q285" s="2"/>
      <c r="R285" s="2"/>
      <c r="S285" s="2"/>
      <c r="T285" s="2"/>
      <c r="U285" s="2"/>
      <c r="V285" s="2"/>
      <c r="W285" s="2"/>
    </row>
    <row r="286" spans="1:23" ht="75" customHeight="1" x14ac:dyDescent="0.15">
      <c r="A286" s="2">
        <v>332</v>
      </c>
      <c r="B286" s="2" t="s">
        <v>323</v>
      </c>
      <c r="C286" s="2" t="s">
        <v>324</v>
      </c>
      <c r="D286" s="2" t="s">
        <v>338</v>
      </c>
      <c r="E286" s="2" t="s">
        <v>162</v>
      </c>
      <c r="F286" s="2" t="s">
        <v>162</v>
      </c>
      <c r="G286" s="2"/>
      <c r="H286" s="2"/>
      <c r="I286" s="2" t="b">
        <f t="shared" si="1"/>
        <v>1</v>
      </c>
      <c r="J286" s="2"/>
      <c r="K286" s="2"/>
      <c r="L286" s="2"/>
      <c r="M286" s="2"/>
      <c r="N286" s="2"/>
      <c r="O286" s="2"/>
      <c r="P286" s="2"/>
      <c r="Q286" s="2"/>
      <c r="R286" s="2"/>
      <c r="S286" s="2"/>
      <c r="T286" s="2"/>
      <c r="U286" s="2"/>
      <c r="V286" s="2"/>
      <c r="W286" s="2"/>
    </row>
    <row r="287" spans="1:23" ht="75" customHeight="1" x14ac:dyDescent="0.15">
      <c r="A287" s="2">
        <v>333</v>
      </c>
      <c r="B287" s="2" t="s">
        <v>323</v>
      </c>
      <c r="C287" s="2" t="s">
        <v>324</v>
      </c>
      <c r="D287" s="2" t="s">
        <v>339</v>
      </c>
      <c r="E287" s="2">
        <v>100</v>
      </c>
      <c r="F287" s="2">
        <v>100</v>
      </c>
      <c r="G287" s="2"/>
      <c r="H287" s="2"/>
      <c r="I287" s="2" t="b">
        <f t="shared" si="1"/>
        <v>1</v>
      </c>
      <c r="J287" s="2"/>
      <c r="K287" s="2"/>
      <c r="L287" s="2"/>
      <c r="M287" s="2"/>
      <c r="N287" s="2"/>
      <c r="O287" s="2"/>
      <c r="P287" s="2"/>
      <c r="Q287" s="2"/>
      <c r="R287" s="2"/>
      <c r="S287" s="2"/>
      <c r="T287" s="2"/>
      <c r="U287" s="2"/>
      <c r="V287" s="2"/>
      <c r="W287" s="2"/>
    </row>
    <row r="288" spans="1:23" ht="75" customHeight="1" x14ac:dyDescent="0.15">
      <c r="A288" s="2">
        <v>334</v>
      </c>
      <c r="B288" s="2" t="s">
        <v>323</v>
      </c>
      <c r="C288" s="2" t="s">
        <v>324</v>
      </c>
      <c r="D288" s="2" t="s">
        <v>340</v>
      </c>
      <c r="E288" s="2">
        <v>70</v>
      </c>
      <c r="F288" s="2">
        <v>78.099999999999994</v>
      </c>
      <c r="G288" s="3" t="s">
        <v>341</v>
      </c>
      <c r="H288" s="4" t="s">
        <v>342</v>
      </c>
      <c r="I288" s="2" t="b">
        <f t="shared" si="1"/>
        <v>0</v>
      </c>
      <c r="J288" s="2"/>
      <c r="K288" s="2"/>
      <c r="L288" s="2"/>
      <c r="M288" s="2"/>
      <c r="N288" s="2"/>
      <c r="O288" s="2"/>
      <c r="P288" s="2"/>
      <c r="Q288" s="2"/>
      <c r="R288" s="2"/>
      <c r="S288" s="2"/>
      <c r="T288" s="2"/>
      <c r="U288" s="2"/>
      <c r="V288" s="2"/>
      <c r="W288" s="2"/>
    </row>
    <row r="289" spans="1:23" ht="75" customHeight="1" x14ac:dyDescent="0.15">
      <c r="A289" s="2">
        <v>335</v>
      </c>
      <c r="B289" s="2" t="s">
        <v>323</v>
      </c>
      <c r="C289" s="2" t="s">
        <v>324</v>
      </c>
      <c r="D289" s="2" t="s">
        <v>343</v>
      </c>
      <c r="E289" s="2">
        <v>92.2</v>
      </c>
      <c r="F289" s="2">
        <v>92.2</v>
      </c>
      <c r="G289" s="2"/>
      <c r="H289" s="2"/>
      <c r="I289" s="2" t="b">
        <f t="shared" si="1"/>
        <v>1</v>
      </c>
      <c r="J289" s="2"/>
      <c r="K289" s="2"/>
      <c r="L289" s="2"/>
      <c r="M289" s="2"/>
      <c r="N289" s="2"/>
      <c r="O289" s="2"/>
      <c r="P289" s="2"/>
      <c r="Q289" s="2"/>
      <c r="R289" s="2"/>
      <c r="S289" s="2"/>
      <c r="T289" s="2"/>
      <c r="U289" s="2"/>
      <c r="V289" s="2"/>
      <c r="W289" s="2"/>
    </row>
    <row r="290" spans="1:23" ht="75" customHeight="1" x14ac:dyDescent="0.15">
      <c r="A290" s="2">
        <v>336</v>
      </c>
      <c r="B290" s="2" t="s">
        <v>323</v>
      </c>
      <c r="C290" s="2" t="s">
        <v>324</v>
      </c>
      <c r="D290" s="2" t="s">
        <v>344</v>
      </c>
      <c r="E290" s="2">
        <v>83.33</v>
      </c>
      <c r="F290" s="2">
        <v>83.33</v>
      </c>
      <c r="G290" s="2"/>
      <c r="H290" s="2"/>
      <c r="I290" s="2" t="b">
        <f t="shared" si="1"/>
        <v>1</v>
      </c>
      <c r="J290" s="2"/>
      <c r="K290" s="2"/>
      <c r="L290" s="2"/>
      <c r="M290" s="2"/>
      <c r="N290" s="2"/>
      <c r="O290" s="2"/>
      <c r="P290" s="2"/>
      <c r="Q290" s="2"/>
      <c r="R290" s="2"/>
      <c r="S290" s="2"/>
      <c r="T290" s="2"/>
      <c r="U290" s="2"/>
      <c r="V290" s="2"/>
      <c r="W290" s="2"/>
    </row>
    <row r="291" spans="1:23" ht="75" customHeight="1" x14ac:dyDescent="0.15">
      <c r="A291" s="2">
        <v>337</v>
      </c>
      <c r="B291" s="2" t="s">
        <v>323</v>
      </c>
      <c r="C291" s="2" t="s">
        <v>324</v>
      </c>
      <c r="D291" s="2" t="s">
        <v>345</v>
      </c>
      <c r="E291" s="2" t="s">
        <v>162</v>
      </c>
      <c r="F291" s="2" t="s">
        <v>162</v>
      </c>
      <c r="G291" s="2"/>
      <c r="H291" s="2"/>
      <c r="I291" s="2" t="b">
        <f t="shared" si="1"/>
        <v>1</v>
      </c>
      <c r="J291" s="2"/>
      <c r="K291" s="2"/>
      <c r="L291" s="2"/>
      <c r="M291" s="2"/>
      <c r="N291" s="2"/>
      <c r="O291" s="2"/>
      <c r="P291" s="2"/>
      <c r="Q291" s="2"/>
      <c r="R291" s="2"/>
      <c r="S291" s="2"/>
      <c r="T291" s="2"/>
      <c r="U291" s="2"/>
      <c r="V291" s="2"/>
      <c r="W291" s="2"/>
    </row>
    <row r="292" spans="1:23" ht="75" customHeight="1" x14ac:dyDescent="0.15">
      <c r="A292" s="2">
        <v>338</v>
      </c>
      <c r="B292" s="2" t="s">
        <v>323</v>
      </c>
      <c r="C292" s="2" t="s">
        <v>324</v>
      </c>
      <c r="D292" s="2" t="s">
        <v>346</v>
      </c>
      <c r="E292" s="2">
        <v>79.5</v>
      </c>
      <c r="F292" s="2">
        <v>79.5</v>
      </c>
      <c r="G292" s="2"/>
      <c r="H292" s="2"/>
      <c r="I292" s="2" t="b">
        <f t="shared" si="1"/>
        <v>1</v>
      </c>
      <c r="J292" s="2"/>
      <c r="K292" s="2"/>
      <c r="L292" s="2"/>
      <c r="M292" s="2"/>
      <c r="N292" s="2"/>
      <c r="O292" s="2"/>
      <c r="P292" s="2"/>
      <c r="Q292" s="2"/>
      <c r="R292" s="2"/>
      <c r="S292" s="2"/>
      <c r="T292" s="2"/>
      <c r="U292" s="2"/>
      <c r="V292" s="2"/>
      <c r="W292" s="2"/>
    </row>
    <row r="293" spans="1:23" ht="75" customHeight="1" x14ac:dyDescent="0.15">
      <c r="A293" s="2">
        <v>339</v>
      </c>
      <c r="B293" s="2" t="s">
        <v>323</v>
      </c>
      <c r="C293" s="2" t="s">
        <v>324</v>
      </c>
      <c r="D293" s="2" t="s">
        <v>347</v>
      </c>
      <c r="E293" s="2">
        <v>103</v>
      </c>
      <c r="F293" s="2">
        <v>103</v>
      </c>
      <c r="G293" s="2"/>
      <c r="H293" s="2"/>
      <c r="I293" s="2" t="b">
        <f t="shared" si="1"/>
        <v>1</v>
      </c>
      <c r="J293" s="2"/>
      <c r="K293" s="2"/>
      <c r="L293" s="2"/>
      <c r="M293" s="2"/>
      <c r="N293" s="2"/>
      <c r="O293" s="2"/>
      <c r="P293" s="2"/>
      <c r="Q293" s="2"/>
      <c r="R293" s="2"/>
      <c r="S293" s="2"/>
      <c r="T293" s="2"/>
      <c r="U293" s="2"/>
      <c r="V293" s="2"/>
      <c r="W293" s="2"/>
    </row>
    <row r="294" spans="1:23" ht="75" customHeight="1" x14ac:dyDescent="0.15">
      <c r="A294" s="2">
        <v>341</v>
      </c>
      <c r="B294" s="2" t="s">
        <v>348</v>
      </c>
      <c r="C294" s="2" t="s">
        <v>349</v>
      </c>
      <c r="D294" s="2" t="s">
        <v>350</v>
      </c>
      <c r="E294" s="2">
        <v>22</v>
      </c>
      <c r="F294" s="2">
        <v>11</v>
      </c>
      <c r="G294" s="3">
        <v>11</v>
      </c>
      <c r="H294" s="4" t="s">
        <v>351</v>
      </c>
      <c r="I294" s="2" t="b">
        <f t="shared" si="1"/>
        <v>0</v>
      </c>
      <c r="J294" s="2"/>
      <c r="K294" s="2"/>
      <c r="L294" s="2"/>
      <c r="M294" s="2"/>
      <c r="N294" s="2"/>
      <c r="O294" s="2"/>
      <c r="P294" s="2"/>
      <c r="Q294" s="2"/>
      <c r="R294" s="2"/>
      <c r="S294" s="2"/>
      <c r="T294" s="2"/>
      <c r="U294" s="2"/>
      <c r="V294" s="2"/>
      <c r="W294" s="2"/>
    </row>
    <row r="295" spans="1:23" ht="75" customHeight="1" x14ac:dyDescent="0.15">
      <c r="A295" s="2">
        <v>342</v>
      </c>
      <c r="B295" s="2" t="s">
        <v>348</v>
      </c>
      <c r="C295" s="2" t="s">
        <v>349</v>
      </c>
      <c r="D295" s="2" t="s">
        <v>352</v>
      </c>
      <c r="E295" s="2">
        <v>26</v>
      </c>
      <c r="F295" s="2">
        <v>26</v>
      </c>
      <c r="G295" s="2"/>
      <c r="H295" s="2"/>
      <c r="I295" s="2" t="b">
        <f t="shared" si="1"/>
        <v>1</v>
      </c>
      <c r="J295" s="2"/>
      <c r="K295" s="2"/>
      <c r="L295" s="2"/>
      <c r="M295" s="2"/>
      <c r="N295" s="2"/>
      <c r="O295" s="2"/>
      <c r="P295" s="2"/>
      <c r="Q295" s="2"/>
      <c r="R295" s="2"/>
      <c r="S295" s="2"/>
      <c r="T295" s="2"/>
      <c r="U295" s="2"/>
      <c r="V295" s="2"/>
      <c r="W295" s="2"/>
    </row>
    <row r="296" spans="1:23" ht="75" customHeight="1" x14ac:dyDescent="0.15">
      <c r="A296" s="2">
        <v>343</v>
      </c>
      <c r="B296" s="2" t="s">
        <v>348</v>
      </c>
      <c r="C296" s="2" t="s">
        <v>349</v>
      </c>
      <c r="D296" s="2" t="s">
        <v>353</v>
      </c>
      <c r="E296" s="2">
        <v>23</v>
      </c>
      <c r="F296" s="2">
        <v>23</v>
      </c>
      <c r="G296" s="2"/>
      <c r="H296" s="2"/>
      <c r="I296" s="2" t="b">
        <f t="shared" si="1"/>
        <v>1</v>
      </c>
      <c r="J296" s="2"/>
      <c r="K296" s="2"/>
      <c r="L296" s="2"/>
      <c r="M296" s="2"/>
      <c r="N296" s="2"/>
      <c r="O296" s="2"/>
      <c r="P296" s="2"/>
      <c r="Q296" s="2"/>
      <c r="R296" s="2"/>
      <c r="S296" s="2"/>
      <c r="T296" s="2"/>
      <c r="U296" s="2"/>
      <c r="V296" s="2"/>
      <c r="W296" s="2"/>
    </row>
    <row r="297" spans="1:23" ht="75" customHeight="1" x14ac:dyDescent="0.15">
      <c r="A297" s="2">
        <v>345</v>
      </c>
      <c r="B297" s="2" t="s">
        <v>354</v>
      </c>
      <c r="C297" s="2" t="s">
        <v>355</v>
      </c>
      <c r="D297" s="2" t="s">
        <v>356</v>
      </c>
      <c r="E297" s="2">
        <v>5</v>
      </c>
      <c r="F297" s="2">
        <v>5</v>
      </c>
      <c r="G297" s="2"/>
      <c r="H297" s="2"/>
      <c r="I297" s="2" t="b">
        <f t="shared" si="1"/>
        <v>1</v>
      </c>
      <c r="J297" s="2"/>
      <c r="K297" s="2"/>
      <c r="L297" s="2"/>
      <c r="M297" s="2"/>
      <c r="N297" s="2"/>
      <c r="O297" s="2"/>
      <c r="P297" s="2"/>
      <c r="Q297" s="2"/>
      <c r="R297" s="2"/>
      <c r="S297" s="2"/>
      <c r="T297" s="2"/>
      <c r="U297" s="2"/>
      <c r="V297" s="2"/>
      <c r="W297" s="2"/>
    </row>
    <row r="298" spans="1:23" ht="75" customHeight="1" x14ac:dyDescent="0.15">
      <c r="A298" s="2">
        <v>346</v>
      </c>
      <c r="B298" s="2" t="s">
        <v>354</v>
      </c>
      <c r="C298" s="2" t="s">
        <v>355</v>
      </c>
      <c r="D298" s="2" t="s">
        <v>357</v>
      </c>
      <c r="E298" s="2">
        <v>1</v>
      </c>
      <c r="F298" s="2">
        <v>1</v>
      </c>
      <c r="G298" s="2"/>
      <c r="H298" s="2"/>
      <c r="I298" s="2" t="b">
        <f t="shared" si="1"/>
        <v>1</v>
      </c>
      <c r="J298" s="2"/>
      <c r="K298" s="2"/>
      <c r="L298" s="2"/>
      <c r="M298" s="2"/>
      <c r="N298" s="2"/>
      <c r="O298" s="2"/>
      <c r="P298" s="2"/>
      <c r="Q298" s="2"/>
      <c r="R298" s="2"/>
      <c r="S298" s="2"/>
      <c r="T298" s="2"/>
      <c r="U298" s="2"/>
      <c r="V298" s="2"/>
      <c r="W298" s="2"/>
    </row>
    <row r="299" spans="1:23" ht="75" customHeight="1" x14ac:dyDescent="0.15">
      <c r="A299" s="2">
        <v>347</v>
      </c>
      <c r="B299" s="2" t="s">
        <v>354</v>
      </c>
      <c r="C299" s="2" t="s">
        <v>355</v>
      </c>
      <c r="D299" s="2" t="s">
        <v>358</v>
      </c>
      <c r="E299" s="2">
        <v>3</v>
      </c>
      <c r="F299" s="2">
        <v>3</v>
      </c>
      <c r="G299" s="2"/>
      <c r="H299" s="2"/>
      <c r="I299" s="2" t="b">
        <f t="shared" si="1"/>
        <v>1</v>
      </c>
      <c r="J299" s="2"/>
      <c r="K299" s="2"/>
      <c r="L299" s="2"/>
      <c r="M299" s="2"/>
      <c r="N299" s="2"/>
      <c r="O299" s="2"/>
      <c r="P299" s="2"/>
      <c r="Q299" s="2"/>
      <c r="R299" s="2"/>
      <c r="S299" s="2"/>
      <c r="T299" s="2"/>
      <c r="U299" s="2"/>
      <c r="V299" s="2"/>
      <c r="W299" s="2"/>
    </row>
    <row r="300" spans="1:23" ht="75" customHeight="1" x14ac:dyDescent="0.15">
      <c r="A300" s="2">
        <v>348</v>
      </c>
      <c r="B300" s="2" t="s">
        <v>354</v>
      </c>
      <c r="C300" s="2" t="s">
        <v>355</v>
      </c>
      <c r="D300" s="2" t="s">
        <v>359</v>
      </c>
      <c r="E300" s="2">
        <v>2</v>
      </c>
      <c r="F300" s="2">
        <v>2</v>
      </c>
      <c r="G300" s="2"/>
      <c r="H300" s="2"/>
      <c r="I300" s="2" t="b">
        <f t="shared" si="1"/>
        <v>1</v>
      </c>
      <c r="J300" s="2"/>
      <c r="K300" s="2"/>
      <c r="L300" s="2"/>
      <c r="M300" s="2"/>
      <c r="N300" s="2"/>
      <c r="O300" s="2"/>
      <c r="P300" s="2"/>
      <c r="Q300" s="2"/>
      <c r="R300" s="2"/>
      <c r="S300" s="2"/>
      <c r="T300" s="2"/>
      <c r="U300" s="2"/>
      <c r="V300" s="2"/>
      <c r="W300" s="2"/>
    </row>
    <row r="301" spans="1:23" ht="75" customHeight="1" x14ac:dyDescent="0.15">
      <c r="A301" s="2">
        <v>349</v>
      </c>
      <c r="B301" s="2" t="s">
        <v>354</v>
      </c>
      <c r="C301" s="2" t="s">
        <v>355</v>
      </c>
      <c r="D301" s="2" t="s">
        <v>360</v>
      </c>
      <c r="E301" s="2">
        <v>3</v>
      </c>
      <c r="F301" s="2">
        <v>4</v>
      </c>
      <c r="G301" s="4">
        <v>4</v>
      </c>
      <c r="H301" s="3"/>
      <c r="I301" s="2" t="b">
        <f t="shared" si="1"/>
        <v>0</v>
      </c>
      <c r="J301" s="2"/>
      <c r="K301" s="2"/>
      <c r="L301" s="2"/>
      <c r="M301" s="2"/>
      <c r="N301" s="2"/>
      <c r="O301" s="2"/>
      <c r="P301" s="2"/>
      <c r="Q301" s="2"/>
      <c r="R301" s="2"/>
      <c r="S301" s="2"/>
      <c r="T301" s="2"/>
      <c r="U301" s="2"/>
      <c r="V301" s="2"/>
      <c r="W301" s="2"/>
    </row>
    <row r="302" spans="1:23" ht="75" customHeight="1" x14ac:dyDescent="0.15">
      <c r="A302" s="2">
        <v>350</v>
      </c>
      <c r="B302" s="2" t="s">
        <v>354</v>
      </c>
      <c r="C302" s="2" t="s">
        <v>355</v>
      </c>
      <c r="D302" s="2" t="s">
        <v>361</v>
      </c>
      <c r="E302" s="2">
        <v>5</v>
      </c>
      <c r="F302" s="2">
        <v>5</v>
      </c>
      <c r="G302" s="2"/>
      <c r="H302" s="2"/>
      <c r="I302" s="2" t="b">
        <f t="shared" si="1"/>
        <v>1</v>
      </c>
      <c r="J302" s="2"/>
      <c r="K302" s="2"/>
      <c r="L302" s="2"/>
      <c r="M302" s="2"/>
      <c r="N302" s="2"/>
      <c r="O302" s="2"/>
      <c r="P302" s="2"/>
      <c r="Q302" s="2"/>
      <c r="R302" s="2"/>
      <c r="S302" s="2"/>
      <c r="T302" s="2"/>
      <c r="U302" s="2"/>
      <c r="V302" s="2"/>
      <c r="W302" s="2"/>
    </row>
    <row r="303" spans="1:23" ht="75" customHeight="1" x14ac:dyDescent="0.15">
      <c r="A303" s="2">
        <v>351</v>
      </c>
      <c r="B303" s="2" t="s">
        <v>354</v>
      </c>
      <c r="C303" s="2" t="s">
        <v>355</v>
      </c>
      <c r="D303" s="2" t="s">
        <v>362</v>
      </c>
      <c r="E303" s="2">
        <v>4</v>
      </c>
      <c r="F303" s="2">
        <v>4</v>
      </c>
      <c r="G303" s="2"/>
      <c r="H303" s="2"/>
      <c r="I303" s="2" t="b">
        <f t="shared" si="1"/>
        <v>1</v>
      </c>
      <c r="J303" s="2"/>
      <c r="K303" s="2"/>
      <c r="L303" s="2"/>
      <c r="M303" s="2"/>
      <c r="N303" s="2"/>
      <c r="O303" s="2"/>
      <c r="P303" s="2"/>
      <c r="Q303" s="2"/>
      <c r="R303" s="2"/>
      <c r="S303" s="2"/>
      <c r="T303" s="2"/>
      <c r="U303" s="2"/>
      <c r="V303" s="2"/>
      <c r="W303" s="2"/>
    </row>
    <row r="304" spans="1:23" ht="75" customHeight="1" x14ac:dyDescent="0.15">
      <c r="A304" s="2">
        <v>352</v>
      </c>
      <c r="B304" s="2" t="s">
        <v>354</v>
      </c>
      <c r="C304" s="2" t="s">
        <v>355</v>
      </c>
      <c r="D304" s="2" t="s">
        <v>363</v>
      </c>
      <c r="E304" s="2">
        <v>3</v>
      </c>
      <c r="F304" s="2">
        <v>3</v>
      </c>
      <c r="G304" s="2"/>
      <c r="H304" s="2"/>
      <c r="I304" s="2" t="b">
        <f t="shared" si="1"/>
        <v>1</v>
      </c>
      <c r="J304" s="2"/>
      <c r="K304" s="2"/>
      <c r="L304" s="2"/>
      <c r="M304" s="2"/>
      <c r="N304" s="2"/>
      <c r="O304" s="2"/>
      <c r="P304" s="2"/>
      <c r="Q304" s="2"/>
      <c r="R304" s="2"/>
      <c r="S304" s="2"/>
      <c r="T304" s="2"/>
      <c r="U304" s="2"/>
      <c r="V304" s="2"/>
      <c r="W304" s="2"/>
    </row>
    <row r="305" spans="1:23" ht="75" customHeight="1" x14ac:dyDescent="0.15">
      <c r="A305" s="2">
        <v>353</v>
      </c>
      <c r="B305" s="2" t="s">
        <v>354</v>
      </c>
      <c r="C305" s="2" t="s">
        <v>355</v>
      </c>
      <c r="D305" s="2" t="s">
        <v>364</v>
      </c>
      <c r="E305" s="2">
        <v>5</v>
      </c>
      <c r="F305" s="2">
        <v>5</v>
      </c>
      <c r="G305" s="2"/>
      <c r="H305" s="2"/>
      <c r="I305" s="2" t="b">
        <f t="shared" si="1"/>
        <v>1</v>
      </c>
      <c r="J305" s="2"/>
      <c r="K305" s="2"/>
      <c r="L305" s="2"/>
      <c r="M305" s="2"/>
      <c r="N305" s="2"/>
      <c r="O305" s="2"/>
      <c r="P305" s="2"/>
      <c r="Q305" s="2"/>
      <c r="R305" s="2"/>
      <c r="S305" s="2"/>
      <c r="T305" s="2"/>
      <c r="U305" s="2"/>
      <c r="V305" s="2"/>
      <c r="W305" s="2"/>
    </row>
    <row r="306" spans="1:23" ht="75" customHeight="1" x14ac:dyDescent="0.15">
      <c r="A306" s="2">
        <v>354</v>
      </c>
      <c r="B306" s="2" t="s">
        <v>354</v>
      </c>
      <c r="C306" s="2" t="s">
        <v>355</v>
      </c>
      <c r="D306" s="2" t="s">
        <v>365</v>
      </c>
      <c r="E306" s="2">
        <v>3</v>
      </c>
      <c r="F306" s="2">
        <v>3</v>
      </c>
      <c r="G306" s="2"/>
      <c r="H306" s="2"/>
      <c r="I306" s="2" t="b">
        <f t="shared" si="1"/>
        <v>1</v>
      </c>
      <c r="J306" s="2"/>
      <c r="K306" s="2"/>
      <c r="L306" s="2"/>
      <c r="M306" s="2"/>
      <c r="N306" s="2"/>
      <c r="O306" s="2"/>
      <c r="P306" s="2"/>
      <c r="Q306" s="2"/>
      <c r="R306" s="2"/>
      <c r="S306" s="2"/>
      <c r="T306" s="2"/>
      <c r="U306" s="2"/>
      <c r="V306" s="2"/>
      <c r="W306" s="2"/>
    </row>
    <row r="307" spans="1:23" ht="75" customHeight="1" x14ac:dyDescent="0.15">
      <c r="A307" s="2">
        <v>355</v>
      </c>
      <c r="B307" s="2" t="s">
        <v>354</v>
      </c>
      <c r="C307" s="2" t="s">
        <v>355</v>
      </c>
      <c r="D307" s="2" t="s">
        <v>366</v>
      </c>
      <c r="E307" s="2">
        <v>3</v>
      </c>
      <c r="F307" s="2">
        <v>3</v>
      </c>
      <c r="G307" s="2"/>
      <c r="H307" s="2"/>
      <c r="I307" s="2" t="b">
        <f t="shared" si="1"/>
        <v>1</v>
      </c>
      <c r="J307" s="2"/>
      <c r="K307" s="2"/>
      <c r="L307" s="2"/>
      <c r="M307" s="2"/>
      <c r="N307" s="2"/>
      <c r="O307" s="2"/>
      <c r="P307" s="2"/>
      <c r="Q307" s="2"/>
      <c r="R307" s="2"/>
      <c r="S307" s="2"/>
      <c r="T307" s="2"/>
      <c r="U307" s="2"/>
      <c r="V307" s="2"/>
      <c r="W307" s="2"/>
    </row>
    <row r="308" spans="1:23" ht="75" customHeight="1" x14ac:dyDescent="0.15">
      <c r="A308" s="2">
        <v>356</v>
      </c>
      <c r="B308" s="2" t="s">
        <v>354</v>
      </c>
      <c r="C308" s="2" t="s">
        <v>355</v>
      </c>
      <c r="D308" s="2" t="s">
        <v>367</v>
      </c>
      <c r="E308" s="2">
        <v>5</v>
      </c>
      <c r="F308" s="2">
        <v>5</v>
      </c>
      <c r="G308" s="2"/>
      <c r="H308" s="2"/>
      <c r="I308" s="2" t="b">
        <f t="shared" si="1"/>
        <v>1</v>
      </c>
      <c r="J308" s="2"/>
      <c r="K308" s="2"/>
      <c r="L308" s="2"/>
      <c r="M308" s="2"/>
      <c r="N308" s="2"/>
      <c r="O308" s="2"/>
      <c r="P308" s="2"/>
      <c r="Q308" s="2"/>
      <c r="R308" s="2"/>
      <c r="S308" s="2"/>
      <c r="T308" s="2"/>
      <c r="U308" s="2"/>
      <c r="V308" s="2"/>
      <c r="W308" s="2"/>
    </row>
    <row r="309" spans="1:23" ht="75" customHeight="1" x14ac:dyDescent="0.15">
      <c r="A309" s="2">
        <v>357</v>
      </c>
      <c r="B309" s="2" t="s">
        <v>354</v>
      </c>
      <c r="C309" s="2" t="s">
        <v>355</v>
      </c>
      <c r="D309" s="2" t="s">
        <v>368</v>
      </c>
      <c r="E309" s="2">
        <v>3</v>
      </c>
      <c r="F309" s="2">
        <v>3</v>
      </c>
      <c r="G309" s="2"/>
      <c r="H309" s="2"/>
      <c r="I309" s="2" t="b">
        <f t="shared" si="1"/>
        <v>1</v>
      </c>
      <c r="J309" s="2"/>
      <c r="K309" s="2"/>
      <c r="L309" s="2"/>
      <c r="M309" s="2"/>
      <c r="N309" s="2"/>
      <c r="O309" s="2"/>
      <c r="P309" s="2"/>
      <c r="Q309" s="2"/>
      <c r="R309" s="2"/>
      <c r="S309" s="2"/>
      <c r="T309" s="2"/>
      <c r="U309" s="2"/>
      <c r="V309" s="2"/>
      <c r="W309" s="2"/>
    </row>
    <row r="310" spans="1:23" ht="75" customHeight="1" x14ac:dyDescent="0.15">
      <c r="A310" s="2">
        <v>358</v>
      </c>
      <c r="B310" s="2" t="s">
        <v>354</v>
      </c>
      <c r="C310" s="2" t="s">
        <v>355</v>
      </c>
      <c r="D310" s="2" t="s">
        <v>369</v>
      </c>
      <c r="E310" s="2">
        <v>3</v>
      </c>
      <c r="F310" s="2">
        <v>3</v>
      </c>
      <c r="G310" s="2"/>
      <c r="H310" s="2"/>
      <c r="I310" s="2" t="b">
        <f t="shared" si="1"/>
        <v>1</v>
      </c>
      <c r="J310" s="2"/>
      <c r="K310" s="2"/>
      <c r="L310" s="2"/>
      <c r="M310" s="2"/>
      <c r="N310" s="2"/>
      <c r="O310" s="2"/>
      <c r="P310" s="2"/>
      <c r="Q310" s="2"/>
      <c r="R310" s="2"/>
      <c r="S310" s="2"/>
      <c r="T310" s="2"/>
      <c r="U310" s="2"/>
      <c r="V310" s="2"/>
      <c r="W310" s="2"/>
    </row>
    <row r="311" spans="1:23" ht="75" customHeight="1" x14ac:dyDescent="0.15">
      <c r="A311" s="2">
        <v>360</v>
      </c>
      <c r="B311" s="2" t="s">
        <v>354</v>
      </c>
      <c r="C311" s="2" t="s">
        <v>355</v>
      </c>
      <c r="D311" s="2" t="s">
        <v>370</v>
      </c>
      <c r="E311" s="2">
        <v>4</v>
      </c>
      <c r="F311" s="2">
        <v>4</v>
      </c>
      <c r="G311" s="2"/>
      <c r="H311" s="2"/>
      <c r="I311" s="2" t="b">
        <f t="shared" si="1"/>
        <v>1</v>
      </c>
      <c r="J311" s="2"/>
      <c r="K311" s="2"/>
      <c r="L311" s="2"/>
      <c r="M311" s="2"/>
      <c r="N311" s="2"/>
      <c r="O311" s="2"/>
      <c r="P311" s="2"/>
      <c r="Q311" s="2"/>
      <c r="R311" s="2"/>
      <c r="S311" s="2"/>
      <c r="T311" s="2"/>
      <c r="U311" s="2"/>
      <c r="V311" s="2"/>
      <c r="W311" s="2"/>
    </row>
    <row r="312" spans="1:23" ht="75" customHeight="1" x14ac:dyDescent="0.15">
      <c r="A312" s="2">
        <v>361</v>
      </c>
      <c r="B312" s="2" t="s">
        <v>354</v>
      </c>
      <c r="C312" s="2" t="s">
        <v>355</v>
      </c>
      <c r="D312" s="2" t="s">
        <v>371</v>
      </c>
      <c r="E312" s="2">
        <v>3</v>
      </c>
      <c r="F312" s="2">
        <v>3</v>
      </c>
      <c r="G312" s="2"/>
      <c r="H312" s="2"/>
      <c r="I312" s="2" t="b">
        <f t="shared" si="1"/>
        <v>1</v>
      </c>
      <c r="J312" s="2"/>
      <c r="K312" s="2"/>
      <c r="L312" s="2"/>
      <c r="M312" s="2"/>
      <c r="N312" s="2"/>
      <c r="O312" s="2"/>
      <c r="P312" s="2"/>
      <c r="Q312" s="2"/>
      <c r="R312" s="2"/>
      <c r="S312" s="2"/>
      <c r="T312" s="2"/>
      <c r="U312" s="2"/>
      <c r="V312" s="2"/>
      <c r="W312" s="2"/>
    </row>
    <row r="313" spans="1:23" ht="75" customHeight="1" x14ac:dyDescent="0.15">
      <c r="A313" s="2">
        <v>363</v>
      </c>
      <c r="B313" s="2" t="s">
        <v>354</v>
      </c>
      <c r="C313" s="2" t="s">
        <v>355</v>
      </c>
      <c r="D313" s="2" t="s">
        <v>372</v>
      </c>
      <c r="E313" s="2">
        <v>4</v>
      </c>
      <c r="F313" s="2">
        <v>4</v>
      </c>
      <c r="G313" s="2"/>
      <c r="H313" s="2"/>
      <c r="I313" s="2" t="b">
        <f t="shared" si="1"/>
        <v>1</v>
      </c>
      <c r="J313" s="2"/>
      <c r="K313" s="2"/>
      <c r="L313" s="2"/>
      <c r="M313" s="2"/>
      <c r="N313" s="2"/>
      <c r="O313" s="2"/>
      <c r="P313" s="2"/>
      <c r="Q313" s="2"/>
      <c r="R313" s="2"/>
      <c r="S313" s="2"/>
      <c r="T313" s="2"/>
      <c r="U313" s="2"/>
      <c r="V313" s="2"/>
      <c r="W313" s="2"/>
    </row>
    <row r="314" spans="1:23" ht="75" customHeight="1" x14ac:dyDescent="0.15">
      <c r="A314" s="2">
        <v>364</v>
      </c>
      <c r="B314" s="2" t="s">
        <v>354</v>
      </c>
      <c r="C314" s="2" t="s">
        <v>355</v>
      </c>
      <c r="D314" s="2" t="s">
        <v>373</v>
      </c>
      <c r="E314" s="2">
        <v>4</v>
      </c>
      <c r="F314" s="2">
        <v>4</v>
      </c>
      <c r="G314" s="2"/>
      <c r="H314" s="2"/>
      <c r="I314" s="2" t="b">
        <f t="shared" si="1"/>
        <v>1</v>
      </c>
      <c r="J314" s="2"/>
      <c r="K314" s="2"/>
      <c r="L314" s="2"/>
      <c r="M314" s="2"/>
      <c r="N314" s="2"/>
      <c r="O314" s="2"/>
      <c r="P314" s="2"/>
      <c r="Q314" s="2"/>
      <c r="R314" s="2"/>
      <c r="S314" s="2"/>
      <c r="T314" s="2"/>
      <c r="U314" s="2"/>
      <c r="V314" s="2"/>
      <c r="W314" s="2"/>
    </row>
    <row r="315" spans="1:23" ht="75" customHeight="1" x14ac:dyDescent="0.15">
      <c r="A315" s="2">
        <v>365</v>
      </c>
      <c r="B315" s="2" t="s">
        <v>374</v>
      </c>
      <c r="C315" s="2" t="s">
        <v>375</v>
      </c>
      <c r="D315" s="2" t="s">
        <v>15</v>
      </c>
      <c r="E315" s="2">
        <v>141.16</v>
      </c>
      <c r="F315" s="2">
        <v>141.16</v>
      </c>
      <c r="G315" s="2"/>
      <c r="H315" s="2"/>
      <c r="I315" s="2" t="b">
        <f t="shared" si="1"/>
        <v>1</v>
      </c>
      <c r="J315" s="2"/>
      <c r="K315" s="2"/>
      <c r="L315" s="2"/>
      <c r="M315" s="2"/>
      <c r="N315" s="2"/>
      <c r="O315" s="2"/>
      <c r="P315" s="2"/>
      <c r="Q315" s="2"/>
      <c r="R315" s="2"/>
      <c r="S315" s="2"/>
      <c r="T315" s="2"/>
      <c r="U315" s="2"/>
      <c r="V315" s="2"/>
      <c r="W315" s="2"/>
    </row>
    <row r="316" spans="1:23" ht="75" customHeight="1" x14ac:dyDescent="0.15">
      <c r="A316" s="2">
        <v>366</v>
      </c>
      <c r="B316" s="2" t="s">
        <v>374</v>
      </c>
      <c r="C316" s="2" t="s">
        <v>375</v>
      </c>
      <c r="D316" s="2" t="s">
        <v>376</v>
      </c>
      <c r="E316" s="2">
        <v>134</v>
      </c>
      <c r="F316" s="2">
        <v>134</v>
      </c>
      <c r="G316" s="2"/>
      <c r="H316" s="2"/>
      <c r="I316" s="2" t="b">
        <f t="shared" si="1"/>
        <v>1</v>
      </c>
      <c r="J316" s="2"/>
      <c r="K316" s="2"/>
      <c r="L316" s="2"/>
      <c r="M316" s="2"/>
      <c r="N316" s="2"/>
      <c r="O316" s="2"/>
      <c r="P316" s="2"/>
      <c r="Q316" s="2"/>
      <c r="R316" s="2"/>
      <c r="S316" s="2"/>
      <c r="T316" s="2"/>
      <c r="U316" s="2"/>
      <c r="V316" s="2"/>
      <c r="W316" s="2"/>
    </row>
    <row r="317" spans="1:23" ht="75" customHeight="1" x14ac:dyDescent="0.15">
      <c r="A317" s="2">
        <v>367</v>
      </c>
      <c r="B317" s="2" t="s">
        <v>374</v>
      </c>
      <c r="C317" s="2" t="s">
        <v>375</v>
      </c>
      <c r="D317" s="2" t="s">
        <v>377</v>
      </c>
      <c r="E317" s="2">
        <v>130.56</v>
      </c>
      <c r="F317" s="2">
        <v>130.56</v>
      </c>
      <c r="G317" s="3">
        <v>131</v>
      </c>
      <c r="H317" s="3"/>
      <c r="I317" s="2" t="b">
        <f t="shared" si="1"/>
        <v>1</v>
      </c>
      <c r="J317" s="2"/>
      <c r="K317" s="2"/>
      <c r="L317" s="2"/>
      <c r="M317" s="2"/>
      <c r="N317" s="2"/>
      <c r="O317" s="2"/>
      <c r="P317" s="2"/>
      <c r="Q317" s="2"/>
      <c r="R317" s="2"/>
      <c r="S317" s="2"/>
      <c r="T317" s="2"/>
      <c r="U317" s="2"/>
      <c r="V317" s="2"/>
      <c r="W317" s="2"/>
    </row>
    <row r="318" spans="1:23" ht="75" customHeight="1" x14ac:dyDescent="0.15">
      <c r="A318" s="2">
        <v>368</v>
      </c>
      <c r="B318" s="2" t="s">
        <v>374</v>
      </c>
      <c r="C318" s="2" t="s">
        <v>375</v>
      </c>
      <c r="D318" s="2" t="s">
        <v>378</v>
      </c>
      <c r="E318" s="2">
        <v>147.28</v>
      </c>
      <c r="F318" s="2">
        <v>147.28</v>
      </c>
      <c r="G318" s="2"/>
      <c r="H318" s="2"/>
      <c r="I318" s="2" t="b">
        <f t="shared" si="1"/>
        <v>1</v>
      </c>
      <c r="J318" s="2"/>
      <c r="K318" s="2"/>
      <c r="L318" s="2"/>
      <c r="M318" s="2"/>
      <c r="N318" s="2"/>
      <c r="O318" s="2"/>
      <c r="P318" s="2"/>
      <c r="Q318" s="2"/>
      <c r="R318" s="2"/>
      <c r="S318" s="2"/>
      <c r="T318" s="2"/>
      <c r="U318" s="2"/>
      <c r="V318" s="2"/>
      <c r="W318" s="2"/>
    </row>
    <row r="319" spans="1:23" ht="75" customHeight="1" x14ac:dyDescent="0.15">
      <c r="A319" s="2">
        <v>369</v>
      </c>
      <c r="B319" s="2" t="s">
        <v>374</v>
      </c>
      <c r="C319" s="2" t="s">
        <v>375</v>
      </c>
      <c r="D319" s="2" t="s">
        <v>379</v>
      </c>
      <c r="E319" s="2">
        <v>133.93</v>
      </c>
      <c r="F319" s="2">
        <v>133.93</v>
      </c>
      <c r="G319" s="2"/>
      <c r="H319" s="2"/>
      <c r="I319" s="2" t="b">
        <f t="shared" si="1"/>
        <v>1</v>
      </c>
      <c r="J319" s="2"/>
      <c r="K319" s="2"/>
      <c r="L319" s="2"/>
      <c r="M319" s="2"/>
      <c r="N319" s="2"/>
      <c r="O319" s="2"/>
      <c r="P319" s="2"/>
      <c r="Q319" s="2"/>
      <c r="R319" s="2"/>
      <c r="S319" s="2"/>
      <c r="T319" s="2"/>
      <c r="U319" s="2"/>
      <c r="V319" s="2"/>
      <c r="W319" s="2"/>
    </row>
    <row r="320" spans="1:23" ht="75" customHeight="1" x14ac:dyDescent="0.15">
      <c r="A320" s="2">
        <v>370</v>
      </c>
      <c r="B320" s="2" t="s">
        <v>374</v>
      </c>
      <c r="C320" s="2" t="s">
        <v>375</v>
      </c>
      <c r="D320" s="2" t="s">
        <v>380</v>
      </c>
      <c r="E320" s="2">
        <v>139.78</v>
      </c>
      <c r="F320" s="2">
        <v>139.78</v>
      </c>
      <c r="G320" s="2"/>
      <c r="H320" s="2"/>
      <c r="I320" s="2" t="b">
        <f t="shared" si="1"/>
        <v>1</v>
      </c>
      <c r="J320" s="2"/>
      <c r="K320" s="2"/>
      <c r="L320" s="2"/>
      <c r="M320" s="2"/>
      <c r="N320" s="2"/>
      <c r="O320" s="2"/>
      <c r="P320" s="2"/>
      <c r="Q320" s="2"/>
      <c r="R320" s="2"/>
      <c r="S320" s="2"/>
      <c r="T320" s="2"/>
      <c r="U320" s="2"/>
      <c r="V320" s="2"/>
      <c r="W320" s="2"/>
    </row>
    <row r="321" spans="1:23" ht="75" customHeight="1" x14ac:dyDescent="0.15">
      <c r="A321" s="2">
        <v>371</v>
      </c>
      <c r="B321" s="2" t="s">
        <v>374</v>
      </c>
      <c r="C321" s="2" t="s">
        <v>375</v>
      </c>
      <c r="D321" s="2" t="s">
        <v>381</v>
      </c>
      <c r="E321" s="2">
        <v>139.46</v>
      </c>
      <c r="F321" s="2">
        <v>139.46</v>
      </c>
      <c r="G321" s="2"/>
      <c r="H321" s="2"/>
      <c r="I321" s="2" t="b">
        <f t="shared" si="1"/>
        <v>1</v>
      </c>
      <c r="J321" s="2"/>
      <c r="K321" s="2"/>
      <c r="L321" s="2"/>
      <c r="M321" s="2"/>
      <c r="N321" s="2"/>
      <c r="O321" s="2"/>
      <c r="P321" s="2"/>
      <c r="Q321" s="2"/>
      <c r="R321" s="2"/>
      <c r="S321" s="2"/>
      <c r="T321" s="2"/>
      <c r="U321" s="2"/>
      <c r="V321" s="2"/>
      <c r="W321" s="2"/>
    </row>
    <row r="322" spans="1:23" ht="75" customHeight="1" x14ac:dyDescent="0.15">
      <c r="A322" s="2">
        <v>372</v>
      </c>
      <c r="B322" s="2" t="s">
        <v>374</v>
      </c>
      <c r="C322" s="2" t="s">
        <v>375</v>
      </c>
      <c r="D322" s="2" t="s">
        <v>382</v>
      </c>
      <c r="E322" s="2">
        <v>138.97999999999999</v>
      </c>
      <c r="F322" s="2">
        <v>138.97999999999999</v>
      </c>
      <c r="G322" s="2"/>
      <c r="H322" s="2"/>
      <c r="I322" s="2" t="b">
        <f t="shared" si="1"/>
        <v>1</v>
      </c>
      <c r="J322" s="2"/>
      <c r="K322" s="2"/>
      <c r="L322" s="2"/>
      <c r="M322" s="2"/>
      <c r="N322" s="2"/>
      <c r="O322" s="2"/>
      <c r="P322" s="2"/>
      <c r="Q322" s="2"/>
      <c r="R322" s="2"/>
      <c r="S322" s="2"/>
      <c r="T322" s="2"/>
      <c r="U322" s="2"/>
      <c r="V322" s="2"/>
      <c r="W322" s="2"/>
    </row>
    <row r="323" spans="1:23" ht="75" customHeight="1" x14ac:dyDescent="0.15">
      <c r="A323" s="2">
        <v>373</v>
      </c>
      <c r="B323" s="2" t="s">
        <v>374</v>
      </c>
      <c r="C323" s="2" t="s">
        <v>375</v>
      </c>
      <c r="D323" s="2" t="s">
        <v>383</v>
      </c>
      <c r="E323" s="2">
        <v>136.80000000000001</v>
      </c>
      <c r="F323" s="2">
        <v>136.80000000000001</v>
      </c>
      <c r="G323" s="2"/>
      <c r="H323" s="2"/>
      <c r="I323" s="2" t="b">
        <f t="shared" si="1"/>
        <v>1</v>
      </c>
      <c r="J323" s="2"/>
      <c r="K323" s="2"/>
      <c r="L323" s="2"/>
      <c r="M323" s="2"/>
      <c r="N323" s="2"/>
      <c r="O323" s="2"/>
      <c r="P323" s="2"/>
      <c r="Q323" s="2"/>
      <c r="R323" s="2"/>
      <c r="S323" s="2"/>
      <c r="T323" s="2"/>
      <c r="U323" s="2"/>
      <c r="V323" s="2"/>
      <c r="W323" s="2"/>
    </row>
    <row r="324" spans="1:23" ht="75" customHeight="1" x14ac:dyDescent="0.15">
      <c r="A324" s="2">
        <v>374</v>
      </c>
      <c r="B324" s="2" t="s">
        <v>374</v>
      </c>
      <c r="C324" s="2" t="s">
        <v>375</v>
      </c>
      <c r="D324" s="2" t="s">
        <v>384</v>
      </c>
      <c r="E324" s="2">
        <v>139.66999999999999</v>
      </c>
      <c r="F324" s="2">
        <v>139.66999999999999</v>
      </c>
      <c r="G324" s="2"/>
      <c r="H324" s="2"/>
      <c r="I324" s="2" t="b">
        <f t="shared" si="1"/>
        <v>1</v>
      </c>
      <c r="J324" s="2"/>
      <c r="K324" s="2"/>
      <c r="L324" s="2"/>
      <c r="M324" s="2"/>
      <c r="N324" s="2"/>
      <c r="O324" s="2"/>
      <c r="P324" s="2"/>
      <c r="Q324" s="2"/>
      <c r="R324" s="2"/>
      <c r="S324" s="2"/>
      <c r="T324" s="2"/>
      <c r="U324" s="2"/>
      <c r="V324" s="2"/>
      <c r="W324" s="2"/>
    </row>
    <row r="325" spans="1:23" ht="75" customHeight="1" x14ac:dyDescent="0.15">
      <c r="A325" s="2">
        <v>376</v>
      </c>
      <c r="B325" s="2" t="s">
        <v>374</v>
      </c>
      <c r="C325" s="2" t="s">
        <v>375</v>
      </c>
      <c r="D325" s="2" t="s">
        <v>385</v>
      </c>
      <c r="E325" s="2">
        <v>129.80000000000001</v>
      </c>
      <c r="F325" s="2">
        <v>129.80000000000001</v>
      </c>
      <c r="G325" s="2"/>
      <c r="H325" s="2"/>
      <c r="I325" s="2" t="b">
        <f t="shared" si="1"/>
        <v>1</v>
      </c>
      <c r="J325" s="2"/>
      <c r="K325" s="2"/>
      <c r="L325" s="2"/>
      <c r="M325" s="2"/>
      <c r="N325" s="2"/>
      <c r="O325" s="2"/>
      <c r="P325" s="2"/>
      <c r="Q325" s="2"/>
      <c r="R325" s="2"/>
      <c r="S325" s="2"/>
      <c r="T325" s="2"/>
      <c r="U325" s="2"/>
      <c r="V325" s="2"/>
      <c r="W325" s="2"/>
    </row>
    <row r="326" spans="1:23" ht="75" customHeight="1" x14ac:dyDescent="0.15">
      <c r="A326" s="2">
        <v>377</v>
      </c>
      <c r="B326" s="2" t="s">
        <v>374</v>
      </c>
      <c r="C326" s="2" t="s">
        <v>375</v>
      </c>
      <c r="D326" s="2" t="s">
        <v>386</v>
      </c>
      <c r="E326" s="2">
        <v>105.04</v>
      </c>
      <c r="F326" s="2">
        <v>105.04</v>
      </c>
      <c r="G326" s="2"/>
      <c r="H326" s="2"/>
      <c r="I326" s="2" t="b">
        <f t="shared" si="1"/>
        <v>1</v>
      </c>
      <c r="J326" s="2"/>
      <c r="K326" s="2"/>
      <c r="L326" s="2"/>
      <c r="M326" s="2"/>
      <c r="N326" s="2"/>
      <c r="O326" s="2"/>
      <c r="P326" s="2"/>
      <c r="Q326" s="2"/>
      <c r="R326" s="2"/>
      <c r="S326" s="2"/>
      <c r="T326" s="2"/>
      <c r="U326" s="2"/>
      <c r="V326" s="2"/>
      <c r="W326" s="2"/>
    </row>
    <row r="327" spans="1:23" ht="75" customHeight="1" x14ac:dyDescent="0.15">
      <c r="A327" s="2">
        <v>378</v>
      </c>
      <c r="B327" s="2" t="s">
        <v>374</v>
      </c>
      <c r="C327" s="2" t="s">
        <v>375</v>
      </c>
      <c r="D327" s="2" t="s">
        <v>387</v>
      </c>
      <c r="E327" s="2">
        <v>138.4</v>
      </c>
      <c r="F327" s="2">
        <v>138.4</v>
      </c>
      <c r="G327" s="2"/>
      <c r="H327" s="2"/>
      <c r="I327" s="2" t="b">
        <f t="shared" si="1"/>
        <v>1</v>
      </c>
      <c r="J327" s="2"/>
      <c r="K327" s="2"/>
      <c r="L327" s="2"/>
      <c r="M327" s="2"/>
      <c r="N327" s="2"/>
      <c r="O327" s="2"/>
      <c r="P327" s="2"/>
      <c r="Q327" s="2"/>
      <c r="R327" s="2"/>
      <c r="S327" s="2"/>
      <c r="T327" s="2"/>
      <c r="U327" s="2"/>
      <c r="V327" s="2"/>
      <c r="W327" s="2"/>
    </row>
    <row r="328" spans="1:23" ht="75" customHeight="1" x14ac:dyDescent="0.15">
      <c r="A328" s="2">
        <v>379</v>
      </c>
      <c r="B328" s="2" t="s">
        <v>374</v>
      </c>
      <c r="C328" s="2" t="s">
        <v>375</v>
      </c>
      <c r="D328" s="2" t="s">
        <v>388</v>
      </c>
      <c r="E328" s="2">
        <v>130.69</v>
      </c>
      <c r="F328" s="2">
        <v>130.69</v>
      </c>
      <c r="G328" s="2"/>
      <c r="H328" s="2"/>
      <c r="I328" s="2" t="b">
        <f t="shared" si="1"/>
        <v>1</v>
      </c>
      <c r="J328" s="2"/>
      <c r="K328" s="2"/>
      <c r="L328" s="2"/>
      <c r="M328" s="2"/>
      <c r="N328" s="2"/>
      <c r="O328" s="2"/>
      <c r="P328" s="2"/>
      <c r="Q328" s="2"/>
      <c r="R328" s="2"/>
      <c r="S328" s="2"/>
      <c r="T328" s="2"/>
      <c r="U328" s="2"/>
      <c r="V328" s="2"/>
      <c r="W328" s="2"/>
    </row>
    <row r="329" spans="1:23" ht="75" customHeight="1" x14ac:dyDescent="0.15">
      <c r="A329" s="2">
        <v>380</v>
      </c>
      <c r="B329" s="2" t="s">
        <v>374</v>
      </c>
      <c r="C329" s="2" t="s">
        <v>375</v>
      </c>
      <c r="D329" s="2" t="s">
        <v>389</v>
      </c>
      <c r="E329" s="2">
        <v>144.66999999999999</v>
      </c>
      <c r="F329" s="2">
        <v>144.66999999999999</v>
      </c>
      <c r="G329" s="2"/>
      <c r="H329" s="2"/>
      <c r="I329" s="2" t="b">
        <f t="shared" si="1"/>
        <v>1</v>
      </c>
      <c r="J329" s="2"/>
      <c r="K329" s="2"/>
      <c r="L329" s="2"/>
      <c r="M329" s="2"/>
      <c r="N329" s="2"/>
      <c r="O329" s="2"/>
      <c r="P329" s="2"/>
      <c r="Q329" s="2"/>
      <c r="R329" s="2"/>
      <c r="S329" s="2"/>
      <c r="T329" s="2"/>
      <c r="U329" s="2"/>
      <c r="V329" s="2"/>
      <c r="W329" s="2"/>
    </row>
    <row r="330" spans="1:23" ht="75" customHeight="1" x14ac:dyDescent="0.15">
      <c r="A330" s="2">
        <v>381</v>
      </c>
      <c r="B330" s="2" t="s">
        <v>374</v>
      </c>
      <c r="C330" s="2" t="s">
        <v>375</v>
      </c>
      <c r="D330" s="2" t="s">
        <v>390</v>
      </c>
      <c r="E330" s="2">
        <v>133.9</v>
      </c>
      <c r="F330" s="2">
        <v>133.9</v>
      </c>
      <c r="G330" s="2"/>
      <c r="H330" s="2"/>
      <c r="I330" s="2" t="b">
        <f t="shared" si="1"/>
        <v>1</v>
      </c>
      <c r="J330" s="2"/>
      <c r="K330" s="2"/>
      <c r="L330" s="2"/>
      <c r="M330" s="2"/>
      <c r="N330" s="2"/>
      <c r="O330" s="2"/>
      <c r="P330" s="2"/>
      <c r="Q330" s="2"/>
      <c r="R330" s="2"/>
      <c r="S330" s="2"/>
      <c r="T330" s="2"/>
      <c r="U330" s="2"/>
      <c r="V330" s="2"/>
      <c r="W330" s="2"/>
    </row>
    <row r="331" spans="1:23" ht="75" customHeight="1" x14ac:dyDescent="0.15">
      <c r="A331" s="2">
        <v>382</v>
      </c>
      <c r="B331" s="2" t="s">
        <v>374</v>
      </c>
      <c r="C331" s="2" t="s">
        <v>375</v>
      </c>
      <c r="D331" s="2" t="s">
        <v>391</v>
      </c>
      <c r="E331" s="2">
        <v>144</v>
      </c>
      <c r="F331" s="2">
        <v>144</v>
      </c>
      <c r="G331" s="2"/>
      <c r="H331" s="2"/>
      <c r="I331" s="2" t="b">
        <f t="shared" si="1"/>
        <v>1</v>
      </c>
      <c r="J331" s="2"/>
      <c r="K331" s="2"/>
      <c r="L331" s="2"/>
      <c r="M331" s="2"/>
      <c r="N331" s="2"/>
      <c r="O331" s="2"/>
      <c r="P331" s="2"/>
      <c r="Q331" s="2"/>
      <c r="R331" s="2"/>
      <c r="S331" s="2"/>
      <c r="T331" s="2"/>
      <c r="U331" s="2"/>
      <c r="V331" s="2"/>
      <c r="W331" s="2"/>
    </row>
    <row r="332" spans="1:23" ht="75" customHeight="1" x14ac:dyDescent="0.15">
      <c r="A332" s="2">
        <v>383</v>
      </c>
      <c r="B332" s="2" t="s">
        <v>374</v>
      </c>
      <c r="C332" s="2" t="s">
        <v>375</v>
      </c>
      <c r="D332" s="2" t="s">
        <v>392</v>
      </c>
      <c r="E332" s="2">
        <v>135.01</v>
      </c>
      <c r="F332" s="2">
        <v>135.01</v>
      </c>
      <c r="G332" s="2"/>
      <c r="H332" s="2"/>
      <c r="I332" s="2" t="b">
        <f t="shared" si="1"/>
        <v>1</v>
      </c>
      <c r="J332" s="2"/>
      <c r="K332" s="2"/>
      <c r="L332" s="2"/>
      <c r="M332" s="2"/>
      <c r="N332" s="2"/>
      <c r="O332" s="2"/>
      <c r="P332" s="2"/>
      <c r="Q332" s="2"/>
      <c r="R332" s="2"/>
      <c r="S332" s="2"/>
      <c r="T332" s="2"/>
      <c r="U332" s="2"/>
      <c r="V332" s="2"/>
      <c r="W332" s="2"/>
    </row>
    <row r="333" spans="1:23" ht="75" customHeight="1" x14ac:dyDescent="0.15">
      <c r="A333" s="2">
        <v>384</v>
      </c>
      <c r="B333" s="2" t="s">
        <v>374</v>
      </c>
      <c r="C333" s="2" t="s">
        <v>375</v>
      </c>
      <c r="D333" s="2" t="s">
        <v>393</v>
      </c>
      <c r="E333" s="2">
        <v>143.24</v>
      </c>
      <c r="F333" s="2">
        <v>143.24</v>
      </c>
      <c r="G333" s="2"/>
      <c r="H333" s="2"/>
      <c r="I333" s="2" t="b">
        <f t="shared" si="1"/>
        <v>1</v>
      </c>
      <c r="J333" s="2"/>
      <c r="K333" s="2"/>
      <c r="L333" s="2"/>
      <c r="M333" s="2"/>
      <c r="N333" s="2"/>
      <c r="O333" s="2"/>
      <c r="P333" s="2"/>
      <c r="Q333" s="2"/>
      <c r="R333" s="2"/>
      <c r="S333" s="2"/>
      <c r="T333" s="2"/>
      <c r="U333" s="2"/>
      <c r="V333" s="2"/>
      <c r="W333" s="2"/>
    </row>
    <row r="334" spans="1:23" ht="75" customHeight="1" x14ac:dyDescent="0.15">
      <c r="A334" s="2">
        <v>385</v>
      </c>
      <c r="B334" s="2" t="s">
        <v>394</v>
      </c>
      <c r="C334" s="2" t="s">
        <v>395</v>
      </c>
      <c r="D334" s="2" t="s">
        <v>396</v>
      </c>
      <c r="E334" s="2">
        <v>9</v>
      </c>
      <c r="F334" s="2">
        <v>9</v>
      </c>
      <c r="G334" s="2"/>
      <c r="H334" s="2"/>
      <c r="I334" s="2" t="b">
        <f t="shared" si="1"/>
        <v>1</v>
      </c>
      <c r="J334" s="2"/>
      <c r="K334" s="2"/>
      <c r="L334" s="2"/>
      <c r="M334" s="2"/>
      <c r="N334" s="2"/>
      <c r="O334" s="2"/>
      <c r="P334" s="2"/>
      <c r="Q334" s="2"/>
      <c r="R334" s="2"/>
      <c r="S334" s="2"/>
      <c r="T334" s="2"/>
      <c r="U334" s="2"/>
      <c r="V334" s="2"/>
      <c r="W334" s="2"/>
    </row>
    <row r="335" spans="1:23" ht="75" customHeight="1" x14ac:dyDescent="0.15">
      <c r="A335" s="2">
        <v>386</v>
      </c>
      <c r="B335" s="2" t="s">
        <v>394</v>
      </c>
      <c r="C335" s="2" t="s">
        <v>395</v>
      </c>
      <c r="D335" s="2" t="s">
        <v>397</v>
      </c>
      <c r="E335" s="2">
        <v>9</v>
      </c>
      <c r="F335" s="2">
        <v>9</v>
      </c>
      <c r="G335" s="2"/>
      <c r="H335" s="2"/>
      <c r="I335" s="2" t="b">
        <f t="shared" si="1"/>
        <v>1</v>
      </c>
      <c r="J335" s="2"/>
      <c r="K335" s="2"/>
      <c r="L335" s="2"/>
      <c r="M335" s="2"/>
      <c r="N335" s="2"/>
      <c r="O335" s="2"/>
      <c r="P335" s="2"/>
      <c r="Q335" s="2"/>
      <c r="R335" s="2"/>
      <c r="S335" s="2"/>
      <c r="T335" s="2"/>
      <c r="U335" s="2"/>
      <c r="V335" s="2"/>
      <c r="W335" s="2"/>
    </row>
    <row r="336" spans="1:23" ht="75" customHeight="1" x14ac:dyDescent="0.15">
      <c r="A336" s="2">
        <v>387</v>
      </c>
      <c r="B336" s="2" t="s">
        <v>394</v>
      </c>
      <c r="C336" s="2" t="s">
        <v>395</v>
      </c>
      <c r="D336" s="2" t="s">
        <v>398</v>
      </c>
      <c r="E336" s="2">
        <v>6</v>
      </c>
      <c r="F336" s="2">
        <v>6</v>
      </c>
      <c r="G336" s="2"/>
      <c r="H336" s="2"/>
      <c r="I336" s="2" t="b">
        <f t="shared" si="1"/>
        <v>1</v>
      </c>
      <c r="J336" s="2"/>
      <c r="K336" s="2"/>
      <c r="L336" s="2"/>
      <c r="M336" s="2"/>
      <c r="N336" s="2"/>
      <c r="O336" s="2"/>
      <c r="P336" s="2"/>
      <c r="Q336" s="2"/>
      <c r="R336" s="2"/>
      <c r="S336" s="2"/>
      <c r="T336" s="2"/>
      <c r="U336" s="2"/>
      <c r="V336" s="2"/>
      <c r="W336" s="2"/>
    </row>
    <row r="337" spans="1:23" ht="75" customHeight="1" x14ac:dyDescent="0.15">
      <c r="A337" s="2">
        <v>389</v>
      </c>
      <c r="B337" s="2" t="s">
        <v>394</v>
      </c>
      <c r="C337" s="2" t="s">
        <v>395</v>
      </c>
      <c r="D337" s="2" t="s">
        <v>399</v>
      </c>
      <c r="E337" s="2">
        <v>1</v>
      </c>
      <c r="F337" s="2">
        <v>1</v>
      </c>
      <c r="G337" s="3">
        <v>1</v>
      </c>
      <c r="H337" s="4" t="s">
        <v>400</v>
      </c>
      <c r="I337" s="2" t="b">
        <f t="shared" si="1"/>
        <v>1</v>
      </c>
      <c r="J337" s="2"/>
      <c r="K337" s="2"/>
      <c r="L337" s="2"/>
      <c r="M337" s="2"/>
      <c r="N337" s="2"/>
      <c r="O337" s="2"/>
      <c r="P337" s="2"/>
      <c r="Q337" s="2"/>
      <c r="R337" s="2"/>
      <c r="S337" s="2"/>
      <c r="T337" s="2"/>
      <c r="U337" s="2"/>
      <c r="V337" s="2"/>
      <c r="W337" s="2"/>
    </row>
    <row r="338" spans="1:23" ht="75" customHeight="1" x14ac:dyDescent="0.15">
      <c r="A338" s="2">
        <v>390</v>
      </c>
      <c r="B338" s="2" t="s">
        <v>394</v>
      </c>
      <c r="C338" s="2" t="s">
        <v>395</v>
      </c>
      <c r="D338" s="2" t="s">
        <v>401</v>
      </c>
      <c r="E338" s="2">
        <v>8</v>
      </c>
      <c r="F338" s="2">
        <v>8</v>
      </c>
      <c r="G338" s="2"/>
      <c r="H338" s="2"/>
      <c r="I338" s="2" t="b">
        <f t="shared" si="1"/>
        <v>1</v>
      </c>
      <c r="J338" s="2"/>
      <c r="K338" s="2"/>
      <c r="L338" s="2"/>
      <c r="M338" s="2"/>
      <c r="N338" s="2"/>
      <c r="O338" s="2"/>
      <c r="P338" s="2"/>
      <c r="Q338" s="2"/>
      <c r="R338" s="2"/>
      <c r="S338" s="2"/>
      <c r="T338" s="2"/>
      <c r="U338" s="2"/>
      <c r="V338" s="2"/>
      <c r="W338" s="2"/>
    </row>
    <row r="339" spans="1:23" ht="75" customHeight="1" x14ac:dyDescent="0.15">
      <c r="A339" s="2">
        <v>391</v>
      </c>
      <c r="B339" s="2" t="s">
        <v>394</v>
      </c>
      <c r="C339" s="2" t="s">
        <v>395</v>
      </c>
      <c r="D339" s="2" t="s">
        <v>402</v>
      </c>
      <c r="E339" s="2">
        <v>10</v>
      </c>
      <c r="F339" s="2">
        <v>10</v>
      </c>
      <c r="G339" s="2"/>
      <c r="H339" s="2"/>
      <c r="I339" s="2" t="b">
        <f t="shared" si="1"/>
        <v>1</v>
      </c>
      <c r="J339" s="2"/>
      <c r="K339" s="2"/>
      <c r="L339" s="2"/>
      <c r="M339" s="2"/>
      <c r="N339" s="2"/>
      <c r="O339" s="2"/>
      <c r="P339" s="2"/>
      <c r="Q339" s="2"/>
      <c r="R339" s="2"/>
      <c r="S339" s="2"/>
      <c r="T339" s="2"/>
      <c r="U339" s="2"/>
      <c r="V339" s="2"/>
      <c r="W339" s="2"/>
    </row>
    <row r="340" spans="1:23" ht="75" customHeight="1" x14ac:dyDescent="0.15">
      <c r="A340" s="2">
        <v>392</v>
      </c>
      <c r="B340" s="2" t="s">
        <v>394</v>
      </c>
      <c r="C340" s="2" t="s">
        <v>395</v>
      </c>
      <c r="D340" s="2" t="s">
        <v>403</v>
      </c>
      <c r="E340" s="2">
        <v>4</v>
      </c>
      <c r="F340" s="2">
        <v>4</v>
      </c>
      <c r="G340" s="2"/>
      <c r="H340" s="2"/>
      <c r="I340" s="2" t="b">
        <f t="shared" si="1"/>
        <v>1</v>
      </c>
      <c r="J340" s="2"/>
      <c r="K340" s="2"/>
      <c r="L340" s="2"/>
      <c r="M340" s="2"/>
      <c r="N340" s="2"/>
      <c r="O340" s="2"/>
      <c r="P340" s="2"/>
      <c r="Q340" s="2"/>
      <c r="R340" s="2"/>
      <c r="S340" s="2"/>
      <c r="T340" s="2"/>
      <c r="U340" s="2"/>
      <c r="V340" s="2"/>
      <c r="W340" s="2"/>
    </row>
    <row r="341" spans="1:23" ht="75" customHeight="1" x14ac:dyDescent="0.15">
      <c r="A341" s="2">
        <v>393</v>
      </c>
      <c r="B341" s="2" t="s">
        <v>394</v>
      </c>
      <c r="C341" s="2" t="s">
        <v>395</v>
      </c>
      <c r="D341" s="2" t="s">
        <v>404</v>
      </c>
      <c r="E341" s="2">
        <v>10</v>
      </c>
      <c r="F341" s="2">
        <v>10</v>
      </c>
      <c r="G341" s="2"/>
      <c r="H341" s="2"/>
      <c r="I341" s="2" t="b">
        <f t="shared" si="1"/>
        <v>1</v>
      </c>
      <c r="J341" s="2"/>
      <c r="K341" s="2"/>
      <c r="L341" s="2"/>
      <c r="M341" s="2"/>
      <c r="N341" s="2"/>
      <c r="O341" s="2"/>
      <c r="P341" s="2"/>
      <c r="Q341" s="2"/>
      <c r="R341" s="2"/>
      <c r="S341" s="2"/>
      <c r="T341" s="2"/>
      <c r="U341" s="2"/>
      <c r="V341" s="2"/>
      <c r="W341" s="2"/>
    </row>
    <row r="342" spans="1:23" ht="75" customHeight="1" x14ac:dyDescent="0.15">
      <c r="A342" s="2">
        <v>395</v>
      </c>
      <c r="B342" s="2" t="s">
        <v>394</v>
      </c>
      <c r="C342" s="2" t="s">
        <v>395</v>
      </c>
      <c r="D342" s="2" t="s">
        <v>405</v>
      </c>
      <c r="E342" s="2">
        <v>7</v>
      </c>
      <c r="F342" s="2">
        <v>7</v>
      </c>
      <c r="G342" s="2"/>
      <c r="H342" s="2"/>
      <c r="I342" s="2" t="b">
        <f t="shared" si="1"/>
        <v>1</v>
      </c>
      <c r="J342" s="2"/>
      <c r="K342" s="2"/>
      <c r="L342" s="2"/>
      <c r="M342" s="2"/>
      <c r="N342" s="2"/>
      <c r="O342" s="2"/>
      <c r="P342" s="2"/>
      <c r="Q342" s="2"/>
      <c r="R342" s="2"/>
      <c r="S342" s="2"/>
      <c r="T342" s="2"/>
      <c r="U342" s="2"/>
      <c r="V342" s="2"/>
      <c r="W342" s="2"/>
    </row>
    <row r="343" spans="1:23" ht="75" customHeight="1" x14ac:dyDescent="0.15">
      <c r="A343" s="2">
        <v>396</v>
      </c>
      <c r="B343" s="2" t="s">
        <v>394</v>
      </c>
      <c r="C343" s="2" t="s">
        <v>395</v>
      </c>
      <c r="D343" s="2" t="s">
        <v>406</v>
      </c>
      <c r="E343" s="2">
        <v>6</v>
      </c>
      <c r="F343" s="2">
        <v>6</v>
      </c>
      <c r="G343" s="2"/>
      <c r="H343" s="2"/>
      <c r="I343" s="2" t="b">
        <f t="shared" si="1"/>
        <v>1</v>
      </c>
      <c r="J343" s="2"/>
      <c r="K343" s="2"/>
      <c r="L343" s="2"/>
      <c r="M343" s="2"/>
      <c r="N343" s="2"/>
      <c r="O343" s="2"/>
      <c r="P343" s="2"/>
      <c r="Q343" s="2"/>
      <c r="R343" s="2"/>
      <c r="S343" s="2"/>
      <c r="T343" s="2"/>
      <c r="U343" s="2"/>
      <c r="V343" s="2"/>
      <c r="W343" s="2"/>
    </row>
    <row r="344" spans="1:23" ht="75" customHeight="1" x14ac:dyDescent="0.15">
      <c r="A344" s="2">
        <v>397</v>
      </c>
      <c r="B344" s="2" t="s">
        <v>394</v>
      </c>
      <c r="C344" s="2" t="s">
        <v>395</v>
      </c>
      <c r="D344" s="2" t="s">
        <v>407</v>
      </c>
      <c r="E344" s="2">
        <v>10</v>
      </c>
      <c r="F344" s="2">
        <v>10</v>
      </c>
      <c r="G344" s="2"/>
      <c r="H344" s="2"/>
      <c r="I344" s="2" t="b">
        <f t="shared" si="1"/>
        <v>1</v>
      </c>
      <c r="J344" s="2"/>
      <c r="K344" s="2"/>
      <c r="L344" s="2"/>
      <c r="M344" s="2"/>
      <c r="N344" s="2"/>
      <c r="O344" s="2"/>
      <c r="P344" s="2"/>
      <c r="Q344" s="2"/>
      <c r="R344" s="2"/>
      <c r="S344" s="2"/>
      <c r="T344" s="2"/>
      <c r="U344" s="2"/>
      <c r="V344" s="2"/>
      <c r="W344" s="2"/>
    </row>
    <row r="345" spans="1:23" ht="75" customHeight="1" x14ac:dyDescent="0.15">
      <c r="A345" s="2">
        <v>398</v>
      </c>
      <c r="B345" s="2" t="s">
        <v>394</v>
      </c>
      <c r="C345" s="2" t="s">
        <v>395</v>
      </c>
      <c r="D345" s="2" t="s">
        <v>408</v>
      </c>
      <c r="E345" s="2">
        <v>8</v>
      </c>
      <c r="F345" s="2">
        <v>8</v>
      </c>
      <c r="G345" s="2"/>
      <c r="H345" s="2"/>
      <c r="I345" s="2" t="b">
        <f t="shared" si="1"/>
        <v>1</v>
      </c>
      <c r="J345" s="2"/>
      <c r="K345" s="2"/>
      <c r="L345" s="2"/>
      <c r="M345" s="2"/>
      <c r="N345" s="2"/>
      <c r="O345" s="2"/>
      <c r="P345" s="2"/>
      <c r="Q345" s="2"/>
      <c r="R345" s="2"/>
      <c r="S345" s="2"/>
      <c r="T345" s="2"/>
      <c r="U345" s="2"/>
      <c r="V345" s="2"/>
      <c r="W345" s="2"/>
    </row>
    <row r="346" spans="1:23" ht="75" customHeight="1" x14ac:dyDescent="0.15">
      <c r="A346" s="2">
        <v>399</v>
      </c>
      <c r="B346" s="2" t="s">
        <v>394</v>
      </c>
      <c r="C346" s="2" t="s">
        <v>395</v>
      </c>
      <c r="D346" s="2" t="s">
        <v>409</v>
      </c>
      <c r="E346" s="2">
        <v>5</v>
      </c>
      <c r="F346" s="2">
        <v>5</v>
      </c>
      <c r="G346" s="2"/>
      <c r="H346" s="2"/>
      <c r="I346" s="2" t="b">
        <f t="shared" si="1"/>
        <v>1</v>
      </c>
      <c r="J346" s="2"/>
      <c r="K346" s="2"/>
      <c r="L346" s="2"/>
      <c r="M346" s="2"/>
      <c r="N346" s="2"/>
      <c r="O346" s="2"/>
      <c r="P346" s="2"/>
      <c r="Q346" s="2"/>
      <c r="R346" s="2"/>
      <c r="S346" s="2"/>
      <c r="T346" s="2"/>
      <c r="U346" s="2"/>
      <c r="V346" s="2"/>
      <c r="W346" s="2"/>
    </row>
    <row r="347" spans="1:23" ht="75" customHeight="1" x14ac:dyDescent="0.15">
      <c r="A347" s="2">
        <v>400</v>
      </c>
      <c r="B347" s="2" t="s">
        <v>394</v>
      </c>
      <c r="C347" s="2" t="s">
        <v>395</v>
      </c>
      <c r="D347" s="2" t="s">
        <v>410</v>
      </c>
      <c r="E347" s="2">
        <v>14</v>
      </c>
      <c r="F347" s="2">
        <v>14</v>
      </c>
      <c r="G347" s="2"/>
      <c r="H347" s="2"/>
      <c r="I347" s="2" t="b">
        <f t="shared" si="1"/>
        <v>1</v>
      </c>
      <c r="J347" s="2"/>
      <c r="K347" s="2"/>
      <c r="L347" s="2"/>
      <c r="M347" s="2"/>
      <c r="N347" s="2"/>
      <c r="O347" s="2"/>
      <c r="P347" s="2"/>
      <c r="Q347" s="2"/>
      <c r="R347" s="2"/>
      <c r="S347" s="2"/>
      <c r="T347" s="2"/>
      <c r="U347" s="2"/>
      <c r="V347" s="2"/>
      <c r="W347" s="2"/>
    </row>
    <row r="348" spans="1:23" ht="75" customHeight="1" x14ac:dyDescent="0.15">
      <c r="A348" s="2">
        <v>401</v>
      </c>
      <c r="B348" s="2" t="s">
        <v>394</v>
      </c>
      <c r="C348" s="2" t="s">
        <v>395</v>
      </c>
      <c r="D348" s="2" t="s">
        <v>411</v>
      </c>
      <c r="E348" s="2">
        <v>5</v>
      </c>
      <c r="F348" s="2">
        <v>5</v>
      </c>
      <c r="G348" s="2"/>
      <c r="H348" s="2"/>
      <c r="I348" s="2" t="b">
        <f t="shared" si="1"/>
        <v>1</v>
      </c>
      <c r="J348" s="2"/>
      <c r="K348" s="2"/>
      <c r="L348" s="2"/>
      <c r="M348" s="2"/>
      <c r="N348" s="2"/>
      <c r="O348" s="2"/>
      <c r="P348" s="2"/>
      <c r="Q348" s="2"/>
      <c r="R348" s="2"/>
      <c r="S348" s="2"/>
      <c r="T348" s="2"/>
      <c r="U348" s="2"/>
      <c r="V348" s="2"/>
      <c r="W348" s="2"/>
    </row>
    <row r="349" spans="1:23" ht="75" customHeight="1" x14ac:dyDescent="0.15">
      <c r="A349" s="2">
        <v>402</v>
      </c>
      <c r="B349" s="2" t="s">
        <v>394</v>
      </c>
      <c r="C349" s="2" t="s">
        <v>395</v>
      </c>
      <c r="D349" s="2" t="s">
        <v>412</v>
      </c>
      <c r="E349" s="2">
        <v>10</v>
      </c>
      <c r="F349" s="2">
        <v>10</v>
      </c>
      <c r="G349" s="2"/>
      <c r="H349" s="2"/>
      <c r="I349" s="2" t="b">
        <f t="shared" si="1"/>
        <v>1</v>
      </c>
      <c r="J349" s="2"/>
      <c r="K349" s="2"/>
      <c r="L349" s="2"/>
      <c r="M349" s="2"/>
      <c r="N349" s="2"/>
      <c r="O349" s="2"/>
      <c r="P349" s="2"/>
      <c r="Q349" s="2"/>
      <c r="R349" s="2"/>
      <c r="S349" s="2"/>
      <c r="T349" s="2"/>
      <c r="U349" s="2"/>
      <c r="V349" s="2"/>
      <c r="W349" s="2"/>
    </row>
    <row r="350" spans="1:23" ht="75" customHeight="1" x14ac:dyDescent="0.15">
      <c r="A350" s="2">
        <v>403</v>
      </c>
      <c r="B350" s="2" t="s">
        <v>394</v>
      </c>
      <c r="C350" s="2" t="s">
        <v>395</v>
      </c>
      <c r="D350" s="2" t="s">
        <v>413</v>
      </c>
      <c r="E350" s="2">
        <v>4</v>
      </c>
      <c r="F350" s="2">
        <v>4</v>
      </c>
      <c r="G350" s="2"/>
      <c r="H350" s="2"/>
      <c r="I350" s="2" t="b">
        <f t="shared" si="1"/>
        <v>1</v>
      </c>
      <c r="J350" s="2"/>
      <c r="K350" s="2"/>
      <c r="L350" s="2"/>
      <c r="M350" s="2"/>
      <c r="N350" s="2"/>
      <c r="O350" s="2"/>
      <c r="P350" s="2"/>
      <c r="Q350" s="2"/>
      <c r="R350" s="2"/>
      <c r="S350" s="2"/>
      <c r="T350" s="2"/>
      <c r="U350" s="2"/>
      <c r="V350" s="2"/>
      <c r="W350" s="2"/>
    </row>
    <row r="351" spans="1:23" ht="75" customHeight="1" x14ac:dyDescent="0.15">
      <c r="A351" s="2">
        <v>404</v>
      </c>
      <c r="B351" s="2" t="s">
        <v>394</v>
      </c>
      <c r="C351" s="2" t="s">
        <v>395</v>
      </c>
      <c r="D351" s="2" t="s">
        <v>414</v>
      </c>
      <c r="E351" s="2">
        <v>9</v>
      </c>
      <c r="F351" s="2">
        <v>9</v>
      </c>
      <c r="G351" s="2"/>
      <c r="H351" s="2"/>
      <c r="I351" s="2" t="b">
        <f t="shared" si="1"/>
        <v>1</v>
      </c>
      <c r="J351" s="2"/>
      <c r="K351" s="2"/>
      <c r="L351" s="2"/>
      <c r="M351" s="2"/>
      <c r="N351" s="2"/>
      <c r="O351" s="2"/>
      <c r="P351" s="2"/>
      <c r="Q351" s="2"/>
      <c r="R351" s="2"/>
      <c r="S351" s="2"/>
      <c r="T351" s="2"/>
      <c r="U351" s="2"/>
      <c r="V351" s="2"/>
      <c r="W351" s="2"/>
    </row>
    <row r="352" spans="1:23" ht="75" customHeight="1" x14ac:dyDescent="0.15">
      <c r="A352" s="2">
        <v>405</v>
      </c>
      <c r="B352" s="2" t="s">
        <v>415</v>
      </c>
      <c r="C352" s="2" t="s">
        <v>416</v>
      </c>
      <c r="D352" s="2" t="s">
        <v>417</v>
      </c>
      <c r="E352" s="2">
        <v>268.89</v>
      </c>
      <c r="F352" s="2">
        <v>268.89</v>
      </c>
      <c r="G352" s="2"/>
      <c r="H352" s="2"/>
      <c r="I352" s="2" t="b">
        <f t="shared" si="1"/>
        <v>1</v>
      </c>
      <c r="J352" s="2"/>
      <c r="K352" s="2"/>
      <c r="L352" s="2"/>
      <c r="M352" s="2"/>
      <c r="N352" s="2"/>
      <c r="O352" s="2"/>
      <c r="P352" s="2"/>
      <c r="Q352" s="2"/>
      <c r="R352" s="2"/>
      <c r="S352" s="2"/>
      <c r="T352" s="2"/>
      <c r="U352" s="2"/>
      <c r="V352" s="2"/>
      <c r="W352" s="2"/>
    </row>
    <row r="353" spans="1:23" ht="75" customHeight="1" x14ac:dyDescent="0.15">
      <c r="A353" s="2">
        <v>406</v>
      </c>
      <c r="B353" s="2" t="s">
        <v>415</v>
      </c>
      <c r="C353" s="2" t="s">
        <v>416</v>
      </c>
      <c r="D353" s="2" t="s">
        <v>418</v>
      </c>
      <c r="E353" s="2">
        <v>332.67</v>
      </c>
      <c r="F353" s="2">
        <v>332.67</v>
      </c>
      <c r="G353" s="2"/>
      <c r="H353" s="2"/>
      <c r="I353" s="2" t="b">
        <f t="shared" si="1"/>
        <v>1</v>
      </c>
      <c r="J353" s="2"/>
      <c r="K353" s="2"/>
      <c r="L353" s="2"/>
      <c r="M353" s="2"/>
      <c r="N353" s="2"/>
      <c r="O353" s="2"/>
      <c r="P353" s="2"/>
      <c r="Q353" s="2"/>
      <c r="R353" s="2"/>
      <c r="S353" s="2"/>
      <c r="T353" s="2"/>
      <c r="U353" s="2"/>
      <c r="V353" s="2"/>
      <c r="W353" s="2"/>
    </row>
    <row r="354" spans="1:23" ht="75" customHeight="1" x14ac:dyDescent="0.15">
      <c r="A354" s="2">
        <v>407</v>
      </c>
      <c r="B354" s="2" t="s">
        <v>415</v>
      </c>
      <c r="C354" s="2" t="s">
        <v>416</v>
      </c>
      <c r="D354" s="2" t="s">
        <v>419</v>
      </c>
      <c r="E354" s="2">
        <v>300.95999999999998</v>
      </c>
      <c r="F354" s="2">
        <v>300.95999999999998</v>
      </c>
      <c r="G354" s="2"/>
      <c r="H354" s="2"/>
      <c r="I354" s="2" t="b">
        <f t="shared" si="1"/>
        <v>1</v>
      </c>
      <c r="J354" s="2"/>
      <c r="K354" s="2"/>
      <c r="L354" s="2"/>
      <c r="M354" s="2"/>
      <c r="N354" s="2"/>
      <c r="O354" s="2"/>
      <c r="P354" s="2"/>
      <c r="Q354" s="2"/>
      <c r="R354" s="2"/>
      <c r="S354" s="2"/>
      <c r="T354" s="2"/>
      <c r="U354" s="2"/>
      <c r="V354" s="2"/>
      <c r="W354" s="2"/>
    </row>
    <row r="355" spans="1:23" ht="75" customHeight="1" x14ac:dyDescent="0.15">
      <c r="A355" s="2">
        <v>408</v>
      </c>
      <c r="B355" s="2" t="s">
        <v>415</v>
      </c>
      <c r="C355" s="2" t="s">
        <v>416</v>
      </c>
      <c r="D355" s="2" t="s">
        <v>420</v>
      </c>
      <c r="E355" s="2">
        <v>278.39</v>
      </c>
      <c r="F355" s="2">
        <v>278.39</v>
      </c>
      <c r="G355" s="2"/>
      <c r="H355" s="2"/>
      <c r="I355" s="2" t="b">
        <f t="shared" si="1"/>
        <v>1</v>
      </c>
      <c r="J355" s="2"/>
      <c r="K355" s="2"/>
      <c r="L355" s="2"/>
      <c r="M355" s="2"/>
      <c r="N355" s="2"/>
      <c r="O355" s="2"/>
      <c r="P355" s="2"/>
      <c r="Q355" s="2"/>
      <c r="R355" s="2"/>
      <c r="S355" s="2"/>
      <c r="T355" s="2"/>
      <c r="U355" s="2"/>
      <c r="V355" s="2"/>
      <c r="W355" s="2"/>
    </row>
    <row r="356" spans="1:23" ht="75" customHeight="1" x14ac:dyDescent="0.15">
      <c r="A356" s="2">
        <v>409</v>
      </c>
      <c r="B356" s="2" t="s">
        <v>415</v>
      </c>
      <c r="C356" s="2" t="s">
        <v>416</v>
      </c>
      <c r="D356" s="2" t="s">
        <v>421</v>
      </c>
      <c r="E356" s="2">
        <v>280</v>
      </c>
      <c r="F356" s="2">
        <v>280</v>
      </c>
      <c r="G356" s="2"/>
      <c r="H356" s="2"/>
      <c r="I356" s="2" t="b">
        <f t="shared" si="1"/>
        <v>1</v>
      </c>
      <c r="J356" s="2"/>
      <c r="K356" s="2"/>
      <c r="L356" s="2"/>
      <c r="M356" s="2"/>
      <c r="N356" s="2"/>
      <c r="O356" s="2"/>
      <c r="P356" s="2"/>
      <c r="Q356" s="2"/>
      <c r="R356" s="2"/>
      <c r="S356" s="2"/>
      <c r="T356" s="2"/>
      <c r="U356" s="2"/>
      <c r="V356" s="2"/>
      <c r="W356" s="2"/>
    </row>
    <row r="357" spans="1:23" ht="75" customHeight="1" x14ac:dyDescent="0.15">
      <c r="A357" s="2">
        <v>410</v>
      </c>
      <c r="B357" s="2" t="s">
        <v>415</v>
      </c>
      <c r="C357" s="2" t="s">
        <v>416</v>
      </c>
      <c r="D357" s="2" t="s">
        <v>422</v>
      </c>
      <c r="E357" s="2">
        <v>323.2</v>
      </c>
      <c r="F357" s="2">
        <v>323.2</v>
      </c>
      <c r="G357" s="2"/>
      <c r="H357" s="2"/>
      <c r="I357" s="2" t="b">
        <f t="shared" si="1"/>
        <v>1</v>
      </c>
      <c r="J357" s="2"/>
      <c r="K357" s="2"/>
      <c r="L357" s="2"/>
      <c r="M357" s="2"/>
      <c r="N357" s="2"/>
      <c r="O357" s="2"/>
      <c r="P357" s="2"/>
      <c r="Q357" s="2"/>
      <c r="R357" s="2"/>
      <c r="S357" s="2"/>
      <c r="T357" s="2"/>
      <c r="U357" s="2"/>
      <c r="V357" s="2"/>
      <c r="W357" s="2"/>
    </row>
    <row r="358" spans="1:23" ht="75" customHeight="1" x14ac:dyDescent="0.15">
      <c r="A358" s="2">
        <v>411</v>
      </c>
      <c r="B358" s="2" t="s">
        <v>415</v>
      </c>
      <c r="C358" s="2" t="s">
        <v>416</v>
      </c>
      <c r="D358" s="2" t="s">
        <v>423</v>
      </c>
      <c r="E358" s="2">
        <v>280.38</v>
      </c>
      <c r="F358" s="2">
        <v>280.38</v>
      </c>
      <c r="G358" s="2"/>
      <c r="H358" s="2"/>
      <c r="I358" s="2" t="b">
        <f t="shared" si="1"/>
        <v>1</v>
      </c>
      <c r="J358" s="2"/>
      <c r="K358" s="2"/>
      <c r="L358" s="2"/>
      <c r="M358" s="2"/>
      <c r="N358" s="2"/>
      <c r="O358" s="2"/>
      <c r="P358" s="2"/>
      <c r="Q358" s="2"/>
      <c r="R358" s="2"/>
      <c r="S358" s="2"/>
      <c r="T358" s="2"/>
      <c r="U358" s="2"/>
      <c r="V358" s="2"/>
      <c r="W358" s="2"/>
    </row>
    <row r="359" spans="1:23" ht="75" customHeight="1" x14ac:dyDescent="0.15">
      <c r="A359" s="2">
        <v>412</v>
      </c>
      <c r="B359" s="2" t="s">
        <v>415</v>
      </c>
      <c r="C359" s="2" t="s">
        <v>416</v>
      </c>
      <c r="D359" s="2" t="s">
        <v>424</v>
      </c>
      <c r="E359" s="2">
        <v>293.33</v>
      </c>
      <c r="F359" s="2">
        <v>293.33</v>
      </c>
      <c r="G359" s="2"/>
      <c r="H359" s="2"/>
      <c r="I359" s="2" t="b">
        <f t="shared" si="1"/>
        <v>1</v>
      </c>
      <c r="J359" s="2"/>
      <c r="K359" s="2"/>
      <c r="L359" s="2"/>
      <c r="M359" s="2"/>
      <c r="N359" s="2"/>
      <c r="O359" s="2"/>
      <c r="P359" s="2"/>
      <c r="Q359" s="2"/>
      <c r="R359" s="2"/>
      <c r="S359" s="2"/>
      <c r="T359" s="2"/>
      <c r="U359" s="2"/>
      <c r="V359" s="2"/>
      <c r="W359" s="2"/>
    </row>
    <row r="360" spans="1:23" ht="75" customHeight="1" x14ac:dyDescent="0.15">
      <c r="A360" s="2">
        <v>414</v>
      </c>
      <c r="B360" s="2" t="s">
        <v>415</v>
      </c>
      <c r="C360" s="2" t="s">
        <v>416</v>
      </c>
      <c r="D360" s="2" t="s">
        <v>425</v>
      </c>
      <c r="E360" s="2">
        <v>306.86</v>
      </c>
      <c r="F360" s="2">
        <v>306.86</v>
      </c>
      <c r="G360" s="2"/>
      <c r="H360" s="2"/>
      <c r="I360" s="2" t="b">
        <f t="shared" si="1"/>
        <v>1</v>
      </c>
      <c r="J360" s="2"/>
      <c r="K360" s="2"/>
      <c r="L360" s="2"/>
      <c r="M360" s="2"/>
      <c r="N360" s="2"/>
      <c r="O360" s="2"/>
      <c r="P360" s="2"/>
      <c r="Q360" s="2"/>
      <c r="R360" s="2"/>
      <c r="S360" s="2"/>
      <c r="T360" s="2"/>
      <c r="U360" s="2"/>
      <c r="V360" s="2"/>
      <c r="W360" s="2"/>
    </row>
    <row r="361" spans="1:23" ht="75" customHeight="1" x14ac:dyDescent="0.15">
      <c r="A361" s="2">
        <v>415</v>
      </c>
      <c r="B361" s="2" t="s">
        <v>415</v>
      </c>
      <c r="C361" s="2" t="s">
        <v>416</v>
      </c>
      <c r="D361" s="2" t="s">
        <v>426</v>
      </c>
      <c r="E361" s="2">
        <v>308.06</v>
      </c>
      <c r="F361" s="2">
        <v>308.06</v>
      </c>
      <c r="G361" s="2"/>
      <c r="H361" s="2"/>
      <c r="I361" s="2" t="b">
        <f t="shared" si="1"/>
        <v>1</v>
      </c>
      <c r="J361" s="2"/>
      <c r="K361" s="2"/>
      <c r="L361" s="2"/>
      <c r="M361" s="2"/>
      <c r="N361" s="2"/>
      <c r="O361" s="2"/>
      <c r="P361" s="2"/>
      <c r="Q361" s="2"/>
      <c r="R361" s="2"/>
      <c r="S361" s="2"/>
      <c r="T361" s="2"/>
      <c r="U361" s="2"/>
      <c r="V361" s="2"/>
      <c r="W361" s="2"/>
    </row>
    <row r="362" spans="1:23" ht="75" customHeight="1" x14ac:dyDescent="0.15">
      <c r="A362" s="2">
        <v>416</v>
      </c>
      <c r="B362" s="2" t="s">
        <v>415</v>
      </c>
      <c r="C362" s="2" t="s">
        <v>416</v>
      </c>
      <c r="D362" s="2" t="s">
        <v>427</v>
      </c>
      <c r="E362" s="2">
        <v>285.45</v>
      </c>
      <c r="F362" s="2">
        <v>285.45</v>
      </c>
      <c r="G362" s="2"/>
      <c r="H362" s="2"/>
      <c r="I362" s="2" t="b">
        <f t="shared" si="1"/>
        <v>1</v>
      </c>
      <c r="J362" s="2"/>
      <c r="K362" s="2"/>
      <c r="L362" s="2"/>
      <c r="M362" s="2"/>
      <c r="N362" s="2"/>
      <c r="O362" s="2"/>
      <c r="P362" s="2"/>
      <c r="Q362" s="2"/>
      <c r="R362" s="2"/>
      <c r="S362" s="2"/>
      <c r="T362" s="2"/>
      <c r="U362" s="2"/>
      <c r="V362" s="2"/>
      <c r="W362" s="2"/>
    </row>
    <row r="363" spans="1:23" ht="75" customHeight="1" x14ac:dyDescent="0.15">
      <c r="A363" s="2">
        <v>417</v>
      </c>
      <c r="B363" s="2" t="s">
        <v>415</v>
      </c>
      <c r="C363" s="2" t="s">
        <v>416</v>
      </c>
      <c r="D363" s="2" t="s">
        <v>428</v>
      </c>
      <c r="E363" s="2">
        <v>293.3</v>
      </c>
      <c r="F363" s="2">
        <v>309</v>
      </c>
      <c r="G363" s="3">
        <v>309</v>
      </c>
      <c r="H363" s="3"/>
      <c r="I363" s="2" t="b">
        <f t="shared" si="1"/>
        <v>0</v>
      </c>
      <c r="J363" s="2"/>
      <c r="K363" s="2"/>
      <c r="L363" s="2"/>
      <c r="M363" s="2"/>
      <c r="N363" s="2"/>
      <c r="O363" s="2"/>
      <c r="P363" s="2"/>
      <c r="Q363" s="2"/>
      <c r="R363" s="2"/>
      <c r="S363" s="2"/>
      <c r="T363" s="2"/>
      <c r="U363" s="2"/>
      <c r="V363" s="2"/>
      <c r="W363" s="2"/>
    </row>
    <row r="364" spans="1:23" ht="75" customHeight="1" x14ac:dyDescent="0.15">
      <c r="A364" s="2">
        <v>418</v>
      </c>
      <c r="B364" s="2" t="s">
        <v>415</v>
      </c>
      <c r="C364" s="2" t="s">
        <v>416</v>
      </c>
      <c r="D364" s="2" t="s">
        <v>429</v>
      </c>
      <c r="E364" s="2">
        <v>293.12</v>
      </c>
      <c r="F364" s="2">
        <v>293.12</v>
      </c>
      <c r="G364" s="2"/>
      <c r="H364" s="2"/>
      <c r="I364" s="2" t="b">
        <f t="shared" si="1"/>
        <v>1</v>
      </c>
      <c r="J364" s="2"/>
      <c r="K364" s="2"/>
      <c r="L364" s="2"/>
      <c r="M364" s="2"/>
      <c r="N364" s="2"/>
      <c r="O364" s="2"/>
      <c r="P364" s="2"/>
      <c r="Q364" s="2"/>
      <c r="R364" s="2"/>
      <c r="S364" s="2"/>
      <c r="T364" s="2"/>
      <c r="U364" s="2"/>
      <c r="V364" s="2"/>
      <c r="W364" s="2"/>
    </row>
    <row r="365" spans="1:23" ht="75" customHeight="1" x14ac:dyDescent="0.15">
      <c r="A365" s="2">
        <v>419</v>
      </c>
      <c r="B365" s="2" t="s">
        <v>415</v>
      </c>
      <c r="C365" s="2" t="s">
        <v>416</v>
      </c>
      <c r="D365" s="2" t="s">
        <v>430</v>
      </c>
      <c r="E365" s="2">
        <v>283.63</v>
      </c>
      <c r="F365" s="2">
        <v>283.63</v>
      </c>
      <c r="G365" s="2"/>
      <c r="H365" s="2"/>
      <c r="I365" s="2" t="b">
        <f t="shared" si="1"/>
        <v>1</v>
      </c>
      <c r="J365" s="2"/>
      <c r="K365" s="2"/>
      <c r="L365" s="2"/>
      <c r="M365" s="2"/>
      <c r="N365" s="2"/>
      <c r="O365" s="2"/>
      <c r="P365" s="2"/>
      <c r="Q365" s="2"/>
      <c r="R365" s="2"/>
      <c r="S365" s="2"/>
      <c r="T365" s="2"/>
      <c r="U365" s="2"/>
      <c r="V365" s="2"/>
      <c r="W365" s="2"/>
    </row>
    <row r="366" spans="1:23" ht="75" customHeight="1" x14ac:dyDescent="0.15">
      <c r="A366" s="2">
        <v>420</v>
      </c>
      <c r="B366" s="2" t="s">
        <v>415</v>
      </c>
      <c r="C366" s="2" t="s">
        <v>416</v>
      </c>
      <c r="D366" s="2" t="s">
        <v>114</v>
      </c>
      <c r="E366" s="2">
        <v>277.63</v>
      </c>
      <c r="F366" s="2">
        <v>277.63</v>
      </c>
      <c r="G366" s="2"/>
      <c r="H366" s="2"/>
      <c r="I366" s="2" t="b">
        <f t="shared" si="1"/>
        <v>1</v>
      </c>
      <c r="J366" s="2"/>
      <c r="K366" s="2"/>
      <c r="L366" s="2"/>
      <c r="M366" s="2"/>
      <c r="N366" s="2"/>
      <c r="O366" s="2"/>
      <c r="P366" s="2"/>
      <c r="Q366" s="2"/>
      <c r="R366" s="2"/>
      <c r="S366" s="2"/>
      <c r="T366" s="2"/>
      <c r="U366" s="2"/>
      <c r="V366" s="2"/>
      <c r="W366" s="2"/>
    </row>
    <row r="367" spans="1:23" ht="75" customHeight="1" x14ac:dyDescent="0.15">
      <c r="A367" s="2">
        <v>421</v>
      </c>
      <c r="B367" s="2" t="s">
        <v>415</v>
      </c>
      <c r="C367" s="2" t="s">
        <v>416</v>
      </c>
      <c r="D367" s="2" t="s">
        <v>376</v>
      </c>
      <c r="E367" s="2">
        <v>277.60000000000002</v>
      </c>
      <c r="F367" s="2">
        <v>277.60000000000002</v>
      </c>
      <c r="G367" s="2"/>
      <c r="H367" s="2"/>
      <c r="I367" s="2" t="b">
        <f t="shared" si="1"/>
        <v>1</v>
      </c>
      <c r="J367" s="2"/>
      <c r="K367" s="2"/>
      <c r="L367" s="2"/>
      <c r="M367" s="2"/>
      <c r="N367" s="2"/>
      <c r="O367" s="2"/>
      <c r="P367" s="2"/>
      <c r="Q367" s="2"/>
      <c r="R367" s="2"/>
      <c r="S367" s="2"/>
      <c r="T367" s="2"/>
      <c r="U367" s="2"/>
      <c r="V367" s="2"/>
      <c r="W367" s="2"/>
    </row>
    <row r="368" spans="1:23" ht="75" customHeight="1" x14ac:dyDescent="0.15">
      <c r="A368" s="2">
        <v>422</v>
      </c>
      <c r="B368" s="2" t="s">
        <v>415</v>
      </c>
      <c r="C368" s="2" t="s">
        <v>416</v>
      </c>
      <c r="D368" s="2" t="s">
        <v>431</v>
      </c>
      <c r="E368" s="2">
        <v>308.89999999999998</v>
      </c>
      <c r="F368" s="2">
        <v>308.89999999999998</v>
      </c>
      <c r="G368" s="2"/>
      <c r="H368" s="2"/>
      <c r="I368" s="2" t="b">
        <f t="shared" si="1"/>
        <v>1</v>
      </c>
      <c r="J368" s="2"/>
      <c r="K368" s="2"/>
      <c r="L368" s="2"/>
      <c r="M368" s="2"/>
      <c r="N368" s="2"/>
      <c r="O368" s="2"/>
      <c r="P368" s="2"/>
      <c r="Q368" s="2"/>
      <c r="R368" s="2"/>
      <c r="S368" s="2"/>
      <c r="T368" s="2"/>
      <c r="U368" s="2"/>
      <c r="V368" s="2"/>
      <c r="W368" s="2"/>
    </row>
    <row r="369" spans="1:23" ht="75" customHeight="1" x14ac:dyDescent="0.15">
      <c r="A369" s="2">
        <v>423</v>
      </c>
      <c r="B369" s="2" t="s">
        <v>415</v>
      </c>
      <c r="C369" s="2" t="s">
        <v>416</v>
      </c>
      <c r="D369" s="2" t="s">
        <v>432</v>
      </c>
      <c r="E369" s="2">
        <v>278.79000000000002</v>
      </c>
      <c r="F369" s="2">
        <v>278.79000000000002</v>
      </c>
      <c r="G369" s="2"/>
      <c r="H369" s="2"/>
      <c r="I369" s="2" t="b">
        <f t="shared" si="1"/>
        <v>1</v>
      </c>
      <c r="J369" s="2"/>
      <c r="K369" s="2"/>
      <c r="L369" s="2"/>
      <c r="M369" s="2"/>
      <c r="N369" s="2"/>
      <c r="O369" s="2"/>
      <c r="P369" s="2"/>
      <c r="Q369" s="2"/>
      <c r="R369" s="2"/>
      <c r="S369" s="2"/>
      <c r="T369" s="2"/>
      <c r="U369" s="2"/>
      <c r="V369" s="2"/>
      <c r="W369" s="2"/>
    </row>
    <row r="370" spans="1:23" ht="75" customHeight="1" x14ac:dyDescent="0.15">
      <c r="A370" s="2">
        <v>424</v>
      </c>
      <c r="B370" s="2" t="s">
        <v>415</v>
      </c>
      <c r="C370" s="2" t="s">
        <v>416</v>
      </c>
      <c r="D370" s="2" t="s">
        <v>385</v>
      </c>
      <c r="E370" s="2">
        <v>288.29000000000002</v>
      </c>
      <c r="F370" s="2">
        <v>288.29000000000002</v>
      </c>
      <c r="G370" s="2"/>
      <c r="H370" s="2"/>
      <c r="I370" s="2" t="b">
        <f t="shared" si="1"/>
        <v>1</v>
      </c>
      <c r="J370" s="2"/>
      <c r="K370" s="2"/>
      <c r="L370" s="2"/>
      <c r="M370" s="2"/>
      <c r="N370" s="2"/>
      <c r="O370" s="2"/>
      <c r="P370" s="2"/>
      <c r="Q370" s="2"/>
      <c r="R370" s="2"/>
      <c r="S370" s="2"/>
      <c r="T370" s="2"/>
      <c r="U370" s="2"/>
      <c r="V370" s="2"/>
      <c r="W370" s="2"/>
    </row>
    <row r="371" spans="1:23" ht="75" customHeight="1" x14ac:dyDescent="0.15">
      <c r="A371" s="2">
        <v>425</v>
      </c>
      <c r="B371" s="2" t="s">
        <v>433</v>
      </c>
      <c r="C371" s="2" t="s">
        <v>434</v>
      </c>
      <c r="D371" s="2" t="s">
        <v>435</v>
      </c>
      <c r="E371" s="2" t="s">
        <v>162</v>
      </c>
      <c r="F371" s="2" t="s">
        <v>162</v>
      </c>
      <c r="G371" s="3" t="s">
        <v>162</v>
      </c>
      <c r="H371" s="4" t="s">
        <v>436</v>
      </c>
      <c r="I371" s="2" t="b">
        <f t="shared" si="1"/>
        <v>1</v>
      </c>
      <c r="J371" s="2"/>
      <c r="K371" s="2"/>
      <c r="L371" s="2"/>
      <c r="M371" s="2"/>
      <c r="N371" s="2"/>
      <c r="O371" s="2"/>
      <c r="P371" s="2"/>
      <c r="Q371" s="2"/>
      <c r="R371" s="2"/>
      <c r="S371" s="2"/>
      <c r="T371" s="2"/>
      <c r="U371" s="2"/>
      <c r="V371" s="2"/>
      <c r="W371" s="2"/>
    </row>
    <row r="372" spans="1:23" ht="75" customHeight="1" x14ac:dyDescent="0.15">
      <c r="A372" s="2">
        <v>426</v>
      </c>
      <c r="B372" s="2" t="s">
        <v>433</v>
      </c>
      <c r="C372" s="2" t="s">
        <v>434</v>
      </c>
      <c r="D372" s="2" t="s">
        <v>437</v>
      </c>
      <c r="E372" s="2">
        <v>2.9</v>
      </c>
      <c r="F372" s="2">
        <v>2.9</v>
      </c>
      <c r="G372" s="2"/>
      <c r="H372" s="2"/>
      <c r="I372" s="2" t="b">
        <f t="shared" si="1"/>
        <v>1</v>
      </c>
      <c r="J372" s="2"/>
      <c r="K372" s="2"/>
      <c r="L372" s="2"/>
      <c r="M372" s="2"/>
      <c r="N372" s="2"/>
      <c r="O372" s="2"/>
      <c r="P372" s="2"/>
      <c r="Q372" s="2"/>
      <c r="R372" s="2"/>
      <c r="S372" s="2"/>
      <c r="T372" s="2"/>
      <c r="U372" s="2"/>
      <c r="V372" s="2"/>
      <c r="W372" s="2"/>
    </row>
    <row r="373" spans="1:23" ht="75" customHeight="1" x14ac:dyDescent="0.15">
      <c r="A373" s="2">
        <v>427</v>
      </c>
      <c r="B373" s="2" t="s">
        <v>438</v>
      </c>
      <c r="C373" s="2" t="s">
        <v>439</v>
      </c>
      <c r="D373" s="2" t="s">
        <v>440</v>
      </c>
      <c r="E373" s="2">
        <v>8</v>
      </c>
      <c r="F373" s="2">
        <v>8</v>
      </c>
      <c r="G373" s="2"/>
      <c r="H373" s="2"/>
      <c r="I373" s="2" t="b">
        <f t="shared" si="1"/>
        <v>1</v>
      </c>
      <c r="J373" s="2"/>
      <c r="K373" s="2"/>
      <c r="L373" s="2"/>
      <c r="M373" s="2"/>
      <c r="N373" s="2"/>
      <c r="O373" s="2"/>
      <c r="P373" s="2"/>
      <c r="Q373" s="2"/>
      <c r="R373" s="2"/>
      <c r="S373" s="2"/>
      <c r="T373" s="2"/>
      <c r="U373" s="2"/>
      <c r="V373" s="2"/>
      <c r="W373" s="2"/>
    </row>
    <row r="374" spans="1:23" ht="75" customHeight="1" x14ac:dyDescent="0.15">
      <c r="A374" s="2">
        <v>428</v>
      </c>
      <c r="B374" s="2" t="s">
        <v>438</v>
      </c>
      <c r="C374" s="2" t="s">
        <v>439</v>
      </c>
      <c r="D374" s="2" t="s">
        <v>441</v>
      </c>
      <c r="E374" s="2">
        <v>15</v>
      </c>
      <c r="F374" s="2">
        <v>14</v>
      </c>
      <c r="G374" s="3">
        <v>14</v>
      </c>
      <c r="H374" s="4" t="s">
        <v>442</v>
      </c>
      <c r="I374" s="2" t="b">
        <f t="shared" si="1"/>
        <v>0</v>
      </c>
      <c r="J374" s="2"/>
      <c r="K374" s="2"/>
      <c r="L374" s="2"/>
      <c r="M374" s="2"/>
      <c r="N374" s="2"/>
      <c r="O374" s="2"/>
      <c r="P374" s="2"/>
      <c r="Q374" s="2"/>
      <c r="R374" s="2"/>
      <c r="S374" s="2"/>
      <c r="T374" s="2"/>
      <c r="U374" s="2"/>
      <c r="V374" s="2"/>
      <c r="W374" s="2"/>
    </row>
    <row r="375" spans="1:23" ht="75" customHeight="1" x14ac:dyDescent="0.15">
      <c r="A375" s="2">
        <v>430</v>
      </c>
      <c r="B375" s="2" t="s">
        <v>438</v>
      </c>
      <c r="C375" s="2" t="s">
        <v>439</v>
      </c>
      <c r="D375" s="2" t="s">
        <v>443</v>
      </c>
      <c r="E375" s="2">
        <v>9</v>
      </c>
      <c r="F375" s="2">
        <v>9</v>
      </c>
      <c r="G375" s="2"/>
      <c r="H375" s="2"/>
      <c r="I375" s="2" t="b">
        <f t="shared" si="1"/>
        <v>1</v>
      </c>
      <c r="J375" s="2"/>
      <c r="K375" s="2"/>
      <c r="L375" s="2"/>
      <c r="M375" s="2"/>
      <c r="N375" s="2"/>
      <c r="O375" s="2"/>
      <c r="P375" s="2"/>
      <c r="Q375" s="2"/>
      <c r="R375" s="2"/>
      <c r="S375" s="2"/>
      <c r="T375" s="2"/>
      <c r="U375" s="2"/>
      <c r="V375" s="2"/>
      <c r="W375" s="2"/>
    </row>
    <row r="376" spans="1:23" ht="75" customHeight="1" x14ac:dyDescent="0.15">
      <c r="A376" s="2">
        <v>431</v>
      </c>
      <c r="B376" s="2" t="s">
        <v>438</v>
      </c>
      <c r="C376" s="2" t="s">
        <v>439</v>
      </c>
      <c r="D376" s="2" t="s">
        <v>444</v>
      </c>
      <c r="E376" s="2">
        <v>20</v>
      </c>
      <c r="F376" s="2">
        <v>20</v>
      </c>
      <c r="G376" s="2"/>
      <c r="H376" s="2"/>
      <c r="I376" s="2" t="b">
        <f t="shared" si="1"/>
        <v>1</v>
      </c>
      <c r="J376" s="2"/>
      <c r="K376" s="2"/>
      <c r="L376" s="2"/>
      <c r="M376" s="2"/>
      <c r="N376" s="2"/>
      <c r="O376" s="2"/>
      <c r="P376" s="2"/>
      <c r="Q376" s="2"/>
      <c r="R376" s="2"/>
      <c r="S376" s="2"/>
      <c r="T376" s="2"/>
      <c r="U376" s="2"/>
      <c r="V376" s="2"/>
      <c r="W376" s="2"/>
    </row>
    <row r="377" spans="1:23" ht="75" customHeight="1" x14ac:dyDescent="0.15">
      <c r="A377" s="2">
        <v>432</v>
      </c>
      <c r="B377" s="2" t="s">
        <v>438</v>
      </c>
      <c r="C377" s="2" t="s">
        <v>439</v>
      </c>
      <c r="D377" s="2" t="s">
        <v>445</v>
      </c>
      <c r="E377" s="2">
        <v>14</v>
      </c>
      <c r="F377" s="2">
        <v>14</v>
      </c>
      <c r="G377" s="2"/>
      <c r="H377" s="2"/>
      <c r="I377" s="2" t="b">
        <f t="shared" si="1"/>
        <v>1</v>
      </c>
      <c r="J377" s="2"/>
      <c r="K377" s="2"/>
      <c r="L377" s="2"/>
      <c r="M377" s="2"/>
      <c r="N377" s="2"/>
      <c r="O377" s="2"/>
      <c r="P377" s="2"/>
      <c r="Q377" s="2"/>
      <c r="R377" s="2"/>
      <c r="S377" s="2"/>
      <c r="T377" s="2"/>
      <c r="U377" s="2"/>
      <c r="V377" s="2"/>
      <c r="W377" s="2"/>
    </row>
    <row r="378" spans="1:23" ht="75" customHeight="1" x14ac:dyDescent="0.15">
      <c r="A378" s="2">
        <v>434</v>
      </c>
      <c r="B378" s="2" t="s">
        <v>438</v>
      </c>
      <c r="C378" s="2" t="s">
        <v>439</v>
      </c>
      <c r="D378" s="2" t="s">
        <v>446</v>
      </c>
      <c r="E378" s="2">
        <v>16</v>
      </c>
      <c r="F378" s="2">
        <v>16</v>
      </c>
      <c r="G378" s="2"/>
      <c r="H378" s="2"/>
      <c r="I378" s="2" t="b">
        <f t="shared" si="1"/>
        <v>1</v>
      </c>
      <c r="J378" s="2"/>
      <c r="K378" s="2"/>
      <c r="L378" s="2"/>
      <c r="M378" s="2"/>
      <c r="N378" s="2"/>
      <c r="O378" s="2"/>
      <c r="P378" s="2"/>
      <c r="Q378" s="2"/>
      <c r="R378" s="2"/>
      <c r="S378" s="2"/>
      <c r="T378" s="2"/>
      <c r="U378" s="2"/>
      <c r="V378" s="2"/>
      <c r="W378" s="2"/>
    </row>
    <row r="379" spans="1:23" ht="75" customHeight="1" x14ac:dyDescent="0.15">
      <c r="A379" s="2">
        <v>435</v>
      </c>
      <c r="B379" s="2" t="s">
        <v>438</v>
      </c>
      <c r="C379" s="2" t="s">
        <v>439</v>
      </c>
      <c r="D379" s="2" t="s">
        <v>447</v>
      </c>
      <c r="E379" s="2">
        <v>11</v>
      </c>
      <c r="F379" s="2">
        <v>11</v>
      </c>
      <c r="G379" s="2"/>
      <c r="H379" s="2"/>
      <c r="I379" s="2" t="b">
        <f t="shared" si="1"/>
        <v>1</v>
      </c>
      <c r="J379" s="2"/>
      <c r="K379" s="2"/>
      <c r="L379" s="2"/>
      <c r="M379" s="2"/>
      <c r="N379" s="2"/>
      <c r="O379" s="2"/>
      <c r="P379" s="2"/>
      <c r="Q379" s="2"/>
      <c r="R379" s="2"/>
      <c r="S379" s="2"/>
      <c r="T379" s="2"/>
      <c r="U379" s="2"/>
      <c r="V379" s="2"/>
      <c r="W379" s="2"/>
    </row>
    <row r="380" spans="1:23" ht="75" customHeight="1" x14ac:dyDescent="0.15">
      <c r="A380" s="2">
        <v>436</v>
      </c>
      <c r="B380" s="2" t="s">
        <v>438</v>
      </c>
      <c r="C380" s="2" t="s">
        <v>439</v>
      </c>
      <c r="D380" s="2" t="s">
        <v>448</v>
      </c>
      <c r="E380" s="2">
        <v>13</v>
      </c>
      <c r="F380" s="2">
        <v>13</v>
      </c>
      <c r="G380" s="2"/>
      <c r="H380" s="2"/>
      <c r="I380" s="2" t="b">
        <f t="shared" si="1"/>
        <v>1</v>
      </c>
      <c r="J380" s="2"/>
      <c r="K380" s="2"/>
      <c r="L380" s="2"/>
      <c r="M380" s="2"/>
      <c r="N380" s="2"/>
      <c r="O380" s="2"/>
      <c r="P380" s="2"/>
      <c r="Q380" s="2"/>
      <c r="R380" s="2"/>
      <c r="S380" s="2"/>
      <c r="T380" s="2"/>
      <c r="U380" s="2"/>
      <c r="V380" s="2"/>
      <c r="W380" s="2"/>
    </row>
    <row r="381" spans="1:23" ht="75" customHeight="1" x14ac:dyDescent="0.15">
      <c r="A381" s="2">
        <v>437</v>
      </c>
      <c r="B381" s="2" t="s">
        <v>438</v>
      </c>
      <c r="C381" s="2" t="s">
        <v>439</v>
      </c>
      <c r="D381" s="2" t="s">
        <v>449</v>
      </c>
      <c r="E381" s="2">
        <v>13</v>
      </c>
      <c r="F381" s="2">
        <v>13</v>
      </c>
      <c r="G381" s="2"/>
      <c r="H381" s="2"/>
      <c r="I381" s="2" t="b">
        <f t="shared" si="1"/>
        <v>1</v>
      </c>
      <c r="J381" s="2"/>
      <c r="K381" s="2"/>
      <c r="L381" s="2"/>
      <c r="M381" s="2"/>
      <c r="N381" s="2"/>
      <c r="O381" s="2"/>
      <c r="P381" s="2"/>
      <c r="Q381" s="2"/>
      <c r="R381" s="2"/>
      <c r="S381" s="2"/>
      <c r="T381" s="2"/>
      <c r="U381" s="2"/>
      <c r="V381" s="2"/>
      <c r="W381" s="2"/>
    </row>
    <row r="382" spans="1:23" ht="75" customHeight="1" x14ac:dyDescent="0.15">
      <c r="A382" s="2">
        <v>438</v>
      </c>
      <c r="B382" s="2" t="s">
        <v>438</v>
      </c>
      <c r="C382" s="2" t="s">
        <v>439</v>
      </c>
      <c r="D382" s="2" t="s">
        <v>450</v>
      </c>
      <c r="E382" s="2">
        <v>11</v>
      </c>
      <c r="F382" s="2">
        <v>11</v>
      </c>
      <c r="G382" s="2"/>
      <c r="H382" s="2"/>
      <c r="I382" s="2" t="b">
        <f t="shared" si="1"/>
        <v>1</v>
      </c>
      <c r="J382" s="2"/>
      <c r="K382" s="2"/>
      <c r="L382" s="2"/>
      <c r="M382" s="2"/>
      <c r="N382" s="2"/>
      <c r="O382" s="2"/>
      <c r="P382" s="2"/>
      <c r="Q382" s="2"/>
      <c r="R382" s="2"/>
      <c r="S382" s="2"/>
      <c r="T382" s="2"/>
      <c r="U382" s="2"/>
      <c r="V382" s="2"/>
      <c r="W382" s="2"/>
    </row>
    <row r="383" spans="1:23" ht="75" customHeight="1" x14ac:dyDescent="0.15">
      <c r="A383" s="2">
        <v>439</v>
      </c>
      <c r="B383" s="2" t="s">
        <v>438</v>
      </c>
      <c r="C383" s="2" t="s">
        <v>439</v>
      </c>
      <c r="D383" s="2" t="s">
        <v>451</v>
      </c>
      <c r="E383" s="2">
        <v>17</v>
      </c>
      <c r="F383" s="2">
        <v>17</v>
      </c>
      <c r="G383" s="2"/>
      <c r="H383" s="2"/>
      <c r="I383" s="2" t="b">
        <f t="shared" si="1"/>
        <v>1</v>
      </c>
      <c r="J383" s="2"/>
      <c r="K383" s="2"/>
      <c r="L383" s="2"/>
      <c r="M383" s="2"/>
      <c r="N383" s="2"/>
      <c r="O383" s="2"/>
      <c r="P383" s="2"/>
      <c r="Q383" s="2"/>
      <c r="R383" s="2"/>
      <c r="S383" s="2"/>
      <c r="T383" s="2"/>
      <c r="U383" s="2"/>
      <c r="V383" s="2"/>
      <c r="W383" s="2"/>
    </row>
    <row r="384" spans="1:23" ht="75" customHeight="1" x14ac:dyDescent="0.15">
      <c r="A384" s="2">
        <v>440</v>
      </c>
      <c r="B384" s="2" t="s">
        <v>438</v>
      </c>
      <c r="C384" s="2" t="s">
        <v>439</v>
      </c>
      <c r="D384" s="2" t="s">
        <v>452</v>
      </c>
      <c r="E384" s="2">
        <v>14</v>
      </c>
      <c r="F384" s="2">
        <v>14</v>
      </c>
      <c r="G384" s="2"/>
      <c r="H384" s="2"/>
      <c r="I384" s="2" t="b">
        <f t="shared" si="1"/>
        <v>1</v>
      </c>
      <c r="J384" s="2"/>
      <c r="K384" s="2"/>
      <c r="L384" s="2"/>
      <c r="M384" s="2"/>
      <c r="N384" s="2"/>
      <c r="O384" s="2"/>
      <c r="P384" s="2"/>
      <c r="Q384" s="2"/>
      <c r="R384" s="2"/>
      <c r="S384" s="2"/>
      <c r="T384" s="2"/>
      <c r="U384" s="2"/>
      <c r="V384" s="2"/>
      <c r="W384" s="2"/>
    </row>
    <row r="385" spans="1:23" ht="75" customHeight="1" x14ac:dyDescent="0.15">
      <c r="A385" s="2">
        <v>441</v>
      </c>
      <c r="B385" s="2" t="s">
        <v>438</v>
      </c>
      <c r="C385" s="2" t="s">
        <v>439</v>
      </c>
      <c r="D385" s="2" t="s">
        <v>453</v>
      </c>
      <c r="E385" s="2">
        <v>9</v>
      </c>
      <c r="F385" s="2">
        <v>9</v>
      </c>
      <c r="G385" s="2"/>
      <c r="H385" s="2"/>
      <c r="I385" s="2" t="b">
        <f t="shared" si="1"/>
        <v>1</v>
      </c>
      <c r="J385" s="2"/>
      <c r="K385" s="2"/>
      <c r="L385" s="2"/>
      <c r="M385" s="2"/>
      <c r="N385" s="2"/>
      <c r="O385" s="2"/>
      <c r="P385" s="2"/>
      <c r="Q385" s="2"/>
      <c r="R385" s="2"/>
      <c r="S385" s="2"/>
      <c r="T385" s="2"/>
      <c r="U385" s="2"/>
      <c r="V385" s="2"/>
      <c r="W385" s="2"/>
    </row>
    <row r="386" spans="1:23" ht="75" customHeight="1" x14ac:dyDescent="0.15">
      <c r="A386" s="2">
        <v>442</v>
      </c>
      <c r="B386" s="2" t="s">
        <v>438</v>
      </c>
      <c r="C386" s="2" t="s">
        <v>439</v>
      </c>
      <c r="D386" s="2" t="s">
        <v>454</v>
      </c>
      <c r="E386" s="2">
        <v>13</v>
      </c>
      <c r="F386" s="2">
        <v>13</v>
      </c>
      <c r="G386" s="2"/>
      <c r="H386" s="2"/>
      <c r="I386" s="2" t="b">
        <f t="shared" si="1"/>
        <v>1</v>
      </c>
      <c r="J386" s="2"/>
      <c r="K386" s="2"/>
      <c r="L386" s="2"/>
      <c r="M386" s="2"/>
      <c r="N386" s="2"/>
      <c r="O386" s="2"/>
      <c r="P386" s="2"/>
      <c r="Q386" s="2"/>
      <c r="R386" s="2"/>
      <c r="S386" s="2"/>
      <c r="T386" s="2"/>
      <c r="U386" s="2"/>
      <c r="V386" s="2"/>
      <c r="W386" s="2"/>
    </row>
    <row r="387" spans="1:23" ht="75" customHeight="1" x14ac:dyDescent="0.15">
      <c r="A387" s="2">
        <v>443</v>
      </c>
      <c r="B387" s="2" t="s">
        <v>438</v>
      </c>
      <c r="C387" s="2" t="s">
        <v>439</v>
      </c>
      <c r="D387" s="2" t="s">
        <v>455</v>
      </c>
      <c r="E387" s="2">
        <v>15</v>
      </c>
      <c r="F387" s="2">
        <v>15</v>
      </c>
      <c r="G387" s="2"/>
      <c r="H387" s="2"/>
      <c r="I387" s="2" t="b">
        <f t="shared" si="1"/>
        <v>1</v>
      </c>
      <c r="J387" s="2"/>
      <c r="K387" s="2"/>
      <c r="L387" s="2"/>
      <c r="M387" s="2"/>
      <c r="N387" s="2"/>
      <c r="O387" s="2"/>
      <c r="P387" s="2"/>
      <c r="Q387" s="2"/>
      <c r="R387" s="2"/>
      <c r="S387" s="2"/>
      <c r="T387" s="2"/>
      <c r="U387" s="2"/>
      <c r="V387" s="2"/>
      <c r="W387" s="2"/>
    </row>
    <row r="388" spans="1:23" ht="75" customHeight="1" x14ac:dyDescent="0.15">
      <c r="A388" s="2">
        <v>444</v>
      </c>
      <c r="B388" s="2" t="s">
        <v>438</v>
      </c>
      <c r="C388" s="2" t="s">
        <v>439</v>
      </c>
      <c r="D388" s="2" t="s">
        <v>456</v>
      </c>
      <c r="E388" s="2">
        <v>13</v>
      </c>
      <c r="F388" s="2">
        <v>13</v>
      </c>
      <c r="G388" s="2"/>
      <c r="H388" s="2"/>
      <c r="I388" s="2" t="b">
        <f t="shared" si="1"/>
        <v>1</v>
      </c>
      <c r="J388" s="2"/>
      <c r="K388" s="2"/>
      <c r="L388" s="2"/>
      <c r="M388" s="2"/>
      <c r="N388" s="2"/>
      <c r="O388" s="2"/>
      <c r="P388" s="2"/>
      <c r="Q388" s="2"/>
      <c r="R388" s="2"/>
      <c r="S388" s="2"/>
      <c r="T388" s="2"/>
      <c r="U388" s="2"/>
      <c r="V388" s="2"/>
      <c r="W388" s="2"/>
    </row>
    <row r="389" spans="1:23" ht="75" customHeight="1" x14ac:dyDescent="0.15">
      <c r="A389" s="2">
        <v>445</v>
      </c>
      <c r="B389" s="2" t="s">
        <v>438</v>
      </c>
      <c r="C389" s="2" t="s">
        <v>439</v>
      </c>
      <c r="D389" s="2" t="s">
        <v>457</v>
      </c>
      <c r="E389" s="2">
        <v>9</v>
      </c>
      <c r="F389" s="2">
        <v>9</v>
      </c>
      <c r="G389" s="2"/>
      <c r="H389" s="2"/>
      <c r="I389" s="2" t="b">
        <f t="shared" si="1"/>
        <v>1</v>
      </c>
      <c r="J389" s="2"/>
      <c r="K389" s="2"/>
      <c r="L389" s="2"/>
      <c r="M389" s="2"/>
      <c r="N389" s="2"/>
      <c r="O389" s="2"/>
      <c r="P389" s="2"/>
      <c r="Q389" s="2"/>
      <c r="R389" s="2"/>
      <c r="S389" s="2"/>
      <c r="T389" s="2"/>
      <c r="U389" s="2"/>
      <c r="V389" s="2"/>
      <c r="W389" s="2"/>
    </row>
    <row r="390" spans="1:23" ht="75" customHeight="1" x14ac:dyDescent="0.15">
      <c r="A390" s="2">
        <v>448</v>
      </c>
      <c r="B390" s="2" t="s">
        <v>458</v>
      </c>
      <c r="C390" s="2" t="s">
        <v>459</v>
      </c>
      <c r="D390" s="2" t="s">
        <v>460</v>
      </c>
      <c r="E390" s="2" t="s">
        <v>162</v>
      </c>
      <c r="F390" s="2" t="s">
        <v>162</v>
      </c>
      <c r="G390" s="2"/>
      <c r="H390" s="2"/>
      <c r="I390" s="2" t="b">
        <f t="shared" si="1"/>
        <v>1</v>
      </c>
      <c r="J390" s="2"/>
      <c r="K390" s="2"/>
      <c r="L390" s="2"/>
      <c r="M390" s="2"/>
      <c r="N390" s="2"/>
      <c r="O390" s="2"/>
      <c r="P390" s="2"/>
      <c r="Q390" s="2"/>
      <c r="R390" s="2"/>
      <c r="S390" s="2"/>
      <c r="T390" s="2"/>
      <c r="U390" s="2"/>
      <c r="V390" s="2"/>
      <c r="W390" s="2"/>
    </row>
    <row r="391" spans="1:23" ht="75" customHeight="1" x14ac:dyDescent="0.15">
      <c r="A391" s="2">
        <v>450</v>
      </c>
      <c r="B391" s="2" t="s">
        <v>458</v>
      </c>
      <c r="C391" s="2" t="s">
        <v>459</v>
      </c>
      <c r="D391" s="2" t="s">
        <v>461</v>
      </c>
      <c r="E391" s="2">
        <v>3</v>
      </c>
      <c r="F391" s="2">
        <v>3</v>
      </c>
      <c r="G391" s="2"/>
      <c r="H391" s="2"/>
      <c r="I391" s="2" t="b">
        <f t="shared" si="1"/>
        <v>1</v>
      </c>
      <c r="J391" s="2"/>
      <c r="K391" s="2"/>
      <c r="L391" s="2"/>
      <c r="M391" s="2"/>
      <c r="N391" s="2"/>
      <c r="O391" s="2"/>
      <c r="P391" s="2"/>
      <c r="Q391" s="2"/>
      <c r="R391" s="2"/>
      <c r="S391" s="2"/>
      <c r="T391" s="2"/>
      <c r="U391" s="2"/>
      <c r="V391" s="2"/>
      <c r="W391" s="2"/>
    </row>
    <row r="392" spans="1:23" ht="75" customHeight="1" x14ac:dyDescent="0.15">
      <c r="A392" s="2">
        <v>451</v>
      </c>
      <c r="B392" s="2" t="s">
        <v>458</v>
      </c>
      <c r="C392" s="2" t="s">
        <v>459</v>
      </c>
      <c r="D392" s="2" t="s">
        <v>462</v>
      </c>
      <c r="E392" s="2" t="s">
        <v>162</v>
      </c>
      <c r="F392" s="2" t="s">
        <v>162</v>
      </c>
      <c r="G392" s="2"/>
      <c r="H392" s="2"/>
      <c r="I392" s="2" t="b">
        <f t="shared" si="1"/>
        <v>1</v>
      </c>
      <c r="J392" s="2"/>
      <c r="K392" s="2"/>
      <c r="L392" s="2"/>
      <c r="M392" s="2"/>
      <c r="N392" s="2"/>
      <c r="O392" s="2"/>
      <c r="P392" s="2"/>
      <c r="Q392" s="2"/>
      <c r="R392" s="2"/>
      <c r="S392" s="2"/>
      <c r="T392" s="2"/>
      <c r="U392" s="2"/>
      <c r="V392" s="2"/>
      <c r="W392" s="2"/>
    </row>
    <row r="393" spans="1:23" ht="75" customHeight="1" x14ac:dyDescent="0.15">
      <c r="A393" s="2">
        <v>453</v>
      </c>
      <c r="B393" s="2" t="s">
        <v>458</v>
      </c>
      <c r="C393" s="2" t="s">
        <v>459</v>
      </c>
      <c r="D393" s="2" t="s">
        <v>463</v>
      </c>
      <c r="E393" s="2">
        <v>5</v>
      </c>
      <c r="F393" s="2">
        <v>5</v>
      </c>
      <c r="G393" s="2"/>
      <c r="H393" s="2"/>
      <c r="I393" s="2" t="b">
        <f t="shared" si="1"/>
        <v>1</v>
      </c>
      <c r="J393" s="2"/>
      <c r="K393" s="2"/>
      <c r="L393" s="2"/>
      <c r="M393" s="2"/>
      <c r="N393" s="2"/>
      <c r="O393" s="2"/>
      <c r="P393" s="2"/>
      <c r="Q393" s="2"/>
      <c r="R393" s="2"/>
      <c r="S393" s="2"/>
      <c r="T393" s="2"/>
      <c r="U393" s="2"/>
      <c r="V393" s="2"/>
      <c r="W393" s="2"/>
    </row>
    <row r="394" spans="1:23" ht="75" customHeight="1" x14ac:dyDescent="0.15">
      <c r="A394" s="2">
        <v>454</v>
      </c>
      <c r="B394" s="2" t="s">
        <v>458</v>
      </c>
      <c r="C394" s="2" t="s">
        <v>459</v>
      </c>
      <c r="D394" s="2" t="s">
        <v>464</v>
      </c>
      <c r="E394" s="2">
        <v>3</v>
      </c>
      <c r="F394" s="2">
        <v>3</v>
      </c>
      <c r="G394" s="2"/>
      <c r="H394" s="2"/>
      <c r="I394" s="2" t="b">
        <f t="shared" si="1"/>
        <v>1</v>
      </c>
      <c r="J394" s="2"/>
      <c r="K394" s="2"/>
      <c r="L394" s="2"/>
      <c r="M394" s="2"/>
      <c r="N394" s="2"/>
      <c r="O394" s="2"/>
      <c r="P394" s="2"/>
      <c r="Q394" s="2"/>
      <c r="R394" s="2"/>
      <c r="S394" s="2"/>
      <c r="T394" s="2"/>
      <c r="U394" s="2"/>
      <c r="V394" s="2"/>
      <c r="W394" s="2"/>
    </row>
    <row r="395" spans="1:23" ht="75" customHeight="1" x14ac:dyDescent="0.15">
      <c r="A395" s="2">
        <v>455</v>
      </c>
      <c r="B395" s="2" t="s">
        <v>458</v>
      </c>
      <c r="C395" s="2" t="s">
        <v>459</v>
      </c>
      <c r="D395" s="2" t="s">
        <v>465</v>
      </c>
      <c r="E395" s="2" t="s">
        <v>162</v>
      </c>
      <c r="F395" s="2" t="s">
        <v>162</v>
      </c>
      <c r="G395" s="2"/>
      <c r="H395" s="2"/>
      <c r="I395" s="2" t="b">
        <f t="shared" si="1"/>
        <v>1</v>
      </c>
      <c r="J395" s="2"/>
      <c r="K395" s="2"/>
      <c r="L395" s="2"/>
      <c r="M395" s="2"/>
      <c r="N395" s="2"/>
      <c r="O395" s="2"/>
      <c r="P395" s="2"/>
      <c r="Q395" s="2"/>
      <c r="R395" s="2"/>
      <c r="S395" s="2"/>
      <c r="T395" s="2"/>
      <c r="U395" s="2"/>
      <c r="V395" s="2"/>
      <c r="W395" s="2"/>
    </row>
    <row r="396" spans="1:23" ht="75" customHeight="1" x14ac:dyDescent="0.15">
      <c r="A396" s="2">
        <v>456</v>
      </c>
      <c r="B396" s="2" t="s">
        <v>458</v>
      </c>
      <c r="C396" s="2" t="s">
        <v>459</v>
      </c>
      <c r="D396" s="2" t="s">
        <v>466</v>
      </c>
      <c r="E396" s="2" t="s">
        <v>162</v>
      </c>
      <c r="F396" s="2" t="s">
        <v>162</v>
      </c>
      <c r="G396" s="2"/>
      <c r="H396" s="2"/>
      <c r="I396" s="2" t="b">
        <f t="shared" si="1"/>
        <v>1</v>
      </c>
      <c r="J396" s="2"/>
      <c r="K396" s="2"/>
      <c r="L396" s="2"/>
      <c r="M396" s="2"/>
      <c r="N396" s="2"/>
      <c r="O396" s="2"/>
      <c r="P396" s="2"/>
      <c r="Q396" s="2"/>
      <c r="R396" s="2"/>
      <c r="S396" s="2"/>
      <c r="T396" s="2"/>
      <c r="U396" s="2"/>
      <c r="V396" s="2"/>
      <c r="W396" s="2"/>
    </row>
    <row r="397" spans="1:23" ht="75" customHeight="1" x14ac:dyDescent="0.15">
      <c r="A397" s="2">
        <v>457</v>
      </c>
      <c r="B397" s="2" t="s">
        <v>458</v>
      </c>
      <c r="C397" s="2" t="s">
        <v>459</v>
      </c>
      <c r="D397" s="2" t="s">
        <v>467</v>
      </c>
      <c r="E397" s="2">
        <v>4</v>
      </c>
      <c r="F397" s="2">
        <v>4</v>
      </c>
      <c r="G397" s="2"/>
      <c r="H397" s="2"/>
      <c r="I397" s="2" t="b">
        <f t="shared" si="1"/>
        <v>1</v>
      </c>
      <c r="J397" s="2"/>
      <c r="K397" s="2"/>
      <c r="L397" s="2"/>
      <c r="M397" s="2"/>
      <c r="N397" s="2"/>
      <c r="O397" s="2"/>
      <c r="P397" s="2"/>
      <c r="Q397" s="2"/>
      <c r="R397" s="2"/>
      <c r="S397" s="2"/>
      <c r="T397" s="2"/>
      <c r="U397" s="2"/>
      <c r="V397" s="2"/>
      <c r="W397" s="2"/>
    </row>
    <row r="398" spans="1:23" ht="75" customHeight="1" x14ac:dyDescent="0.15">
      <c r="A398" s="2">
        <v>458</v>
      </c>
      <c r="B398" s="2" t="s">
        <v>458</v>
      </c>
      <c r="C398" s="2" t="s">
        <v>459</v>
      </c>
      <c r="D398" s="2" t="s">
        <v>468</v>
      </c>
      <c r="E398" s="2">
        <v>2</v>
      </c>
      <c r="F398" s="2">
        <v>2</v>
      </c>
      <c r="G398" s="2"/>
      <c r="H398" s="2"/>
      <c r="I398" s="2" t="b">
        <f t="shared" si="1"/>
        <v>1</v>
      </c>
      <c r="J398" s="2"/>
      <c r="K398" s="2"/>
      <c r="L398" s="2"/>
      <c r="M398" s="2"/>
      <c r="N398" s="2"/>
      <c r="O398" s="2"/>
      <c r="P398" s="2"/>
      <c r="Q398" s="2"/>
      <c r="R398" s="2"/>
      <c r="S398" s="2"/>
      <c r="T398" s="2"/>
      <c r="U398" s="2"/>
      <c r="V398" s="2"/>
      <c r="W398" s="2"/>
    </row>
    <row r="399" spans="1:23" ht="75" customHeight="1" x14ac:dyDescent="0.15">
      <c r="A399" s="2">
        <v>459</v>
      </c>
      <c r="B399" s="2" t="s">
        <v>458</v>
      </c>
      <c r="C399" s="2" t="s">
        <v>459</v>
      </c>
      <c r="D399" s="2" t="s">
        <v>469</v>
      </c>
      <c r="E399" s="2">
        <v>3</v>
      </c>
      <c r="F399" s="2">
        <v>3</v>
      </c>
      <c r="G399" s="2"/>
      <c r="H399" s="2"/>
      <c r="I399" s="2" t="b">
        <f t="shared" si="1"/>
        <v>1</v>
      </c>
      <c r="J399" s="2"/>
      <c r="K399" s="2"/>
      <c r="L399" s="2"/>
      <c r="M399" s="2"/>
      <c r="N399" s="2"/>
      <c r="O399" s="2"/>
      <c r="P399" s="2"/>
      <c r="Q399" s="2"/>
      <c r="R399" s="2"/>
      <c r="S399" s="2"/>
      <c r="T399" s="2"/>
      <c r="U399" s="2"/>
      <c r="V399" s="2"/>
      <c r="W399" s="2"/>
    </row>
    <row r="400" spans="1:23" ht="75" customHeight="1" x14ac:dyDescent="0.15">
      <c r="A400" s="2">
        <v>460</v>
      </c>
      <c r="B400" s="2" t="s">
        <v>458</v>
      </c>
      <c r="C400" s="2" t="s">
        <v>459</v>
      </c>
      <c r="D400" s="2" t="s">
        <v>470</v>
      </c>
      <c r="E400" s="2" t="s">
        <v>162</v>
      </c>
      <c r="F400" s="2" t="s">
        <v>162</v>
      </c>
      <c r="G400" s="2"/>
      <c r="H400" s="2"/>
      <c r="I400" s="2" t="b">
        <f t="shared" si="1"/>
        <v>1</v>
      </c>
      <c r="J400" s="2"/>
      <c r="K400" s="2"/>
      <c r="L400" s="2"/>
      <c r="M400" s="2"/>
      <c r="N400" s="2"/>
      <c r="O400" s="2"/>
      <c r="P400" s="2"/>
      <c r="Q400" s="2"/>
      <c r="R400" s="2"/>
      <c r="S400" s="2"/>
      <c r="T400" s="2"/>
      <c r="U400" s="2"/>
      <c r="V400" s="2"/>
      <c r="W400" s="2"/>
    </row>
    <row r="401" spans="1:23" ht="75" customHeight="1" x14ac:dyDescent="0.15">
      <c r="A401" s="2">
        <v>461</v>
      </c>
      <c r="B401" s="2" t="s">
        <v>458</v>
      </c>
      <c r="C401" s="2" t="s">
        <v>459</v>
      </c>
      <c r="D401" s="2" t="s">
        <v>471</v>
      </c>
      <c r="E401" s="2">
        <v>4</v>
      </c>
      <c r="F401" s="2">
        <v>4</v>
      </c>
      <c r="G401" s="2"/>
      <c r="H401" s="2"/>
      <c r="I401" s="2" t="b">
        <f t="shared" si="1"/>
        <v>1</v>
      </c>
      <c r="J401" s="2"/>
      <c r="K401" s="2"/>
      <c r="L401" s="2"/>
      <c r="M401" s="2"/>
      <c r="N401" s="2"/>
      <c r="O401" s="2"/>
      <c r="P401" s="2"/>
      <c r="Q401" s="2"/>
      <c r="R401" s="2"/>
      <c r="S401" s="2"/>
      <c r="T401" s="2"/>
      <c r="U401" s="2"/>
      <c r="V401" s="2"/>
      <c r="W401" s="2"/>
    </row>
    <row r="402" spans="1:23" ht="75" customHeight="1" x14ac:dyDescent="0.15">
      <c r="A402" s="2">
        <v>464</v>
      </c>
      <c r="B402" s="2" t="s">
        <v>458</v>
      </c>
      <c r="C402" s="2" t="s">
        <v>459</v>
      </c>
      <c r="D402" s="2" t="s">
        <v>472</v>
      </c>
      <c r="E402" s="2" t="s">
        <v>162</v>
      </c>
      <c r="F402" s="2" t="s">
        <v>162</v>
      </c>
      <c r="G402" s="2"/>
      <c r="H402" s="2"/>
      <c r="I402" s="2" t="b">
        <f t="shared" si="1"/>
        <v>1</v>
      </c>
      <c r="J402" s="2"/>
      <c r="K402" s="2"/>
      <c r="L402" s="2"/>
      <c r="M402" s="2"/>
      <c r="N402" s="2"/>
      <c r="O402" s="2"/>
      <c r="P402" s="2"/>
      <c r="Q402" s="2"/>
      <c r="R402" s="2"/>
      <c r="S402" s="2"/>
      <c r="T402" s="2"/>
      <c r="U402" s="2"/>
      <c r="V402" s="2"/>
      <c r="W402" s="2"/>
    </row>
    <row r="403" spans="1:23" ht="75" customHeight="1" x14ac:dyDescent="0.15">
      <c r="A403" s="2">
        <v>465</v>
      </c>
      <c r="B403" s="2" t="s">
        <v>458</v>
      </c>
      <c r="C403" s="2" t="s">
        <v>459</v>
      </c>
      <c r="D403" s="2" t="s">
        <v>473</v>
      </c>
      <c r="E403" s="2" t="s">
        <v>162</v>
      </c>
      <c r="F403" s="2" t="s">
        <v>162</v>
      </c>
      <c r="G403" s="2"/>
      <c r="H403" s="2"/>
      <c r="I403" s="2" t="b">
        <f t="shared" si="1"/>
        <v>1</v>
      </c>
      <c r="J403" s="2"/>
      <c r="K403" s="2"/>
      <c r="L403" s="2"/>
      <c r="M403" s="2"/>
      <c r="N403" s="2"/>
      <c r="O403" s="2"/>
      <c r="P403" s="2"/>
      <c r="Q403" s="2"/>
      <c r="R403" s="2"/>
      <c r="S403" s="2"/>
      <c r="T403" s="2"/>
      <c r="U403" s="2"/>
      <c r="V403" s="2"/>
      <c r="W403" s="2"/>
    </row>
    <row r="404" spans="1:23" ht="75" customHeight="1" x14ac:dyDescent="0.15">
      <c r="A404" s="2">
        <v>466</v>
      </c>
      <c r="B404" s="2" t="s">
        <v>458</v>
      </c>
      <c r="C404" s="2" t="s">
        <v>459</v>
      </c>
      <c r="D404" s="2" t="s">
        <v>474</v>
      </c>
      <c r="E404" s="2" t="s">
        <v>162</v>
      </c>
      <c r="F404" s="2" t="s">
        <v>162</v>
      </c>
      <c r="G404" s="3" t="s">
        <v>162</v>
      </c>
      <c r="H404" s="4" t="s">
        <v>475</v>
      </c>
      <c r="I404" s="2" t="b">
        <f t="shared" si="1"/>
        <v>1</v>
      </c>
      <c r="J404" s="2"/>
      <c r="K404" s="2"/>
      <c r="L404" s="2"/>
      <c r="M404" s="2"/>
      <c r="N404" s="2"/>
      <c r="O404" s="2"/>
      <c r="P404" s="2"/>
      <c r="Q404" s="2"/>
      <c r="R404" s="2"/>
      <c r="S404" s="2"/>
      <c r="T404" s="2"/>
      <c r="U404" s="2"/>
      <c r="V404" s="2"/>
      <c r="W404" s="2"/>
    </row>
    <row r="405" spans="1:23" ht="75" customHeight="1" x14ac:dyDescent="0.15">
      <c r="A405" s="2">
        <v>467</v>
      </c>
      <c r="B405" s="2" t="s">
        <v>476</v>
      </c>
      <c r="C405" s="2" t="s">
        <v>477</v>
      </c>
      <c r="D405" s="2" t="s">
        <v>478</v>
      </c>
      <c r="E405" s="2">
        <v>-0.83</v>
      </c>
      <c r="F405" s="2">
        <v>-0.83</v>
      </c>
      <c r="G405" s="2"/>
      <c r="H405" s="2"/>
      <c r="I405" s="2" t="b">
        <f t="shared" si="1"/>
        <v>1</v>
      </c>
      <c r="J405" s="2"/>
      <c r="K405" s="2"/>
      <c r="L405" s="2"/>
      <c r="M405" s="2"/>
      <c r="N405" s="2"/>
      <c r="O405" s="2"/>
      <c r="P405" s="2"/>
      <c r="Q405" s="2"/>
      <c r="R405" s="2"/>
      <c r="S405" s="2"/>
      <c r="T405" s="2"/>
      <c r="U405" s="2"/>
      <c r="V405" s="2"/>
      <c r="W405" s="2"/>
    </row>
    <row r="406" spans="1:23" ht="75" customHeight="1" x14ac:dyDescent="0.15">
      <c r="A406" s="2">
        <v>468</v>
      </c>
      <c r="B406" s="2" t="s">
        <v>476</v>
      </c>
      <c r="C406" s="2" t="s">
        <v>477</v>
      </c>
      <c r="D406" s="2" t="s">
        <v>479</v>
      </c>
      <c r="E406" s="2">
        <v>-1.39</v>
      </c>
      <c r="F406" s="2">
        <v>-1.39</v>
      </c>
      <c r="G406" s="2"/>
      <c r="H406" s="2"/>
      <c r="I406" s="2" t="b">
        <f t="shared" si="1"/>
        <v>1</v>
      </c>
      <c r="J406" s="2"/>
      <c r="K406" s="2"/>
      <c r="L406" s="2"/>
      <c r="M406" s="2"/>
      <c r="N406" s="2"/>
      <c r="O406" s="2"/>
      <c r="P406" s="2"/>
      <c r="Q406" s="2"/>
      <c r="R406" s="2"/>
      <c r="S406" s="2"/>
      <c r="T406" s="2"/>
      <c r="U406" s="2"/>
      <c r="V406" s="2"/>
      <c r="W406" s="2"/>
    </row>
    <row r="407" spans="1:23" ht="75" customHeight="1" x14ac:dyDescent="0.15">
      <c r="A407" s="2">
        <v>469</v>
      </c>
      <c r="B407" s="2" t="s">
        <v>476</v>
      </c>
      <c r="C407" s="2" t="s">
        <v>477</v>
      </c>
      <c r="D407" s="2" t="s">
        <v>480</v>
      </c>
      <c r="E407" s="2">
        <v>-0.31</v>
      </c>
      <c r="F407" s="2">
        <v>-0.31</v>
      </c>
      <c r="G407" s="3">
        <v>-0.31</v>
      </c>
      <c r="H407" s="4" t="s">
        <v>481</v>
      </c>
      <c r="I407" s="2" t="b">
        <f t="shared" si="1"/>
        <v>1</v>
      </c>
      <c r="J407" s="2"/>
      <c r="K407" s="2"/>
      <c r="L407" s="2"/>
      <c r="M407" s="2"/>
      <c r="N407" s="2"/>
      <c r="O407" s="2"/>
      <c r="P407" s="2"/>
      <c r="Q407" s="2"/>
      <c r="R407" s="2"/>
      <c r="S407" s="2"/>
      <c r="T407" s="2"/>
      <c r="U407" s="2"/>
      <c r="V407" s="2"/>
      <c r="W407" s="2"/>
    </row>
    <row r="408" spans="1:23" ht="75" customHeight="1" x14ac:dyDescent="0.15">
      <c r="A408" s="2">
        <v>471</v>
      </c>
      <c r="B408" s="2" t="s">
        <v>476</v>
      </c>
      <c r="C408" s="2" t="s">
        <v>477</v>
      </c>
      <c r="D408" s="2" t="s">
        <v>482</v>
      </c>
      <c r="E408" s="2">
        <v>-0.76</v>
      </c>
      <c r="F408" s="2">
        <v>-0.76</v>
      </c>
      <c r="G408" s="2"/>
      <c r="H408" s="2"/>
      <c r="I408" s="2" t="b">
        <f t="shared" si="1"/>
        <v>1</v>
      </c>
      <c r="J408" s="2"/>
      <c r="K408" s="2"/>
      <c r="L408" s="2"/>
      <c r="M408" s="2"/>
      <c r="N408" s="2"/>
      <c r="O408" s="2"/>
      <c r="P408" s="2"/>
      <c r="Q408" s="2"/>
      <c r="R408" s="2"/>
      <c r="S408" s="2"/>
      <c r="T408" s="2"/>
      <c r="U408" s="2"/>
      <c r="V408" s="2"/>
      <c r="W408" s="2"/>
    </row>
    <row r="409" spans="1:23" ht="75" customHeight="1" x14ac:dyDescent="0.15">
      <c r="A409" s="2">
        <v>472</v>
      </c>
      <c r="B409" s="2" t="s">
        <v>476</v>
      </c>
      <c r="C409" s="2" t="s">
        <v>477</v>
      </c>
      <c r="D409" s="2" t="s">
        <v>483</v>
      </c>
      <c r="E409" s="2">
        <v>-2.14</v>
      </c>
      <c r="F409" s="2">
        <v>-2.14</v>
      </c>
      <c r="G409" s="2"/>
      <c r="H409" s="2"/>
      <c r="I409" s="2" t="b">
        <f t="shared" si="1"/>
        <v>1</v>
      </c>
      <c r="J409" s="2"/>
      <c r="K409" s="2"/>
      <c r="L409" s="2"/>
      <c r="M409" s="2"/>
      <c r="N409" s="2"/>
      <c r="O409" s="2"/>
      <c r="P409" s="2"/>
      <c r="Q409" s="2"/>
      <c r="R409" s="2"/>
      <c r="S409" s="2"/>
      <c r="T409" s="2"/>
      <c r="U409" s="2"/>
      <c r="V409" s="2"/>
      <c r="W409" s="2"/>
    </row>
    <row r="410" spans="1:23" ht="75" customHeight="1" x14ac:dyDescent="0.15">
      <c r="A410" s="2">
        <v>473</v>
      </c>
      <c r="B410" s="2" t="s">
        <v>476</v>
      </c>
      <c r="C410" s="2" t="s">
        <v>477</v>
      </c>
      <c r="D410" s="2" t="s">
        <v>484</v>
      </c>
      <c r="E410" s="2" t="s">
        <v>162</v>
      </c>
      <c r="F410" s="2" t="s">
        <v>162</v>
      </c>
      <c r="G410" s="2" t="s">
        <v>162</v>
      </c>
      <c r="H410" s="4" t="s">
        <v>485</v>
      </c>
      <c r="I410" s="2" t="b">
        <f t="shared" si="1"/>
        <v>1</v>
      </c>
      <c r="J410" s="2"/>
      <c r="K410" s="2"/>
      <c r="L410" s="2"/>
      <c r="M410" s="2"/>
      <c r="N410" s="2"/>
      <c r="O410" s="2"/>
      <c r="P410" s="2"/>
      <c r="Q410" s="2"/>
      <c r="R410" s="2"/>
      <c r="S410" s="2"/>
      <c r="T410" s="2"/>
      <c r="U410" s="2"/>
      <c r="V410" s="2"/>
      <c r="W410" s="2"/>
    </row>
    <row r="411" spans="1:23" ht="75" customHeight="1" x14ac:dyDescent="0.15">
      <c r="A411" s="2">
        <v>474</v>
      </c>
      <c r="B411" s="2" t="s">
        <v>476</v>
      </c>
      <c r="C411" s="2" t="s">
        <v>477</v>
      </c>
      <c r="D411" s="2" t="s">
        <v>486</v>
      </c>
      <c r="E411" s="2">
        <v>-0.89</v>
      </c>
      <c r="F411" s="2">
        <v>-0.89</v>
      </c>
      <c r="G411" s="2"/>
      <c r="H411" s="2"/>
      <c r="I411" s="2" t="b">
        <f t="shared" si="1"/>
        <v>1</v>
      </c>
      <c r="J411" s="2"/>
      <c r="K411" s="2"/>
      <c r="L411" s="2"/>
      <c r="M411" s="2"/>
      <c r="N411" s="2"/>
      <c r="O411" s="2"/>
      <c r="P411" s="2"/>
      <c r="Q411" s="2"/>
      <c r="R411" s="2"/>
      <c r="S411" s="2"/>
      <c r="T411" s="2"/>
      <c r="U411" s="2"/>
      <c r="V411" s="2"/>
      <c r="W411" s="2"/>
    </row>
    <row r="412" spans="1:23" ht="75" customHeight="1" x14ac:dyDescent="0.15">
      <c r="A412" s="2">
        <v>475</v>
      </c>
      <c r="B412" s="2" t="s">
        <v>476</v>
      </c>
      <c r="C412" s="2" t="s">
        <v>477</v>
      </c>
      <c r="D412" s="2" t="s">
        <v>487</v>
      </c>
      <c r="E412" s="2">
        <v>-0.13</v>
      </c>
      <c r="F412" s="2">
        <v>-0.13</v>
      </c>
      <c r="G412" s="2"/>
      <c r="H412" s="2"/>
      <c r="I412" s="2" t="b">
        <f t="shared" si="1"/>
        <v>1</v>
      </c>
      <c r="J412" s="2"/>
      <c r="K412" s="2"/>
      <c r="L412" s="2"/>
      <c r="M412" s="2"/>
      <c r="N412" s="2"/>
      <c r="O412" s="2"/>
      <c r="P412" s="2"/>
      <c r="Q412" s="2"/>
      <c r="R412" s="2"/>
      <c r="S412" s="2"/>
      <c r="T412" s="2"/>
      <c r="U412" s="2"/>
      <c r="V412" s="2"/>
      <c r="W412" s="2"/>
    </row>
    <row r="413" spans="1:23" ht="75" customHeight="1" x14ac:dyDescent="0.15">
      <c r="A413" s="2">
        <v>476</v>
      </c>
      <c r="B413" s="2" t="s">
        <v>476</v>
      </c>
      <c r="C413" s="2" t="s">
        <v>477</v>
      </c>
      <c r="D413" s="2" t="s">
        <v>488</v>
      </c>
      <c r="E413" s="2">
        <v>0.34</v>
      </c>
      <c r="F413" s="2">
        <v>0.34</v>
      </c>
      <c r="G413" s="2"/>
      <c r="H413" s="2"/>
      <c r="I413" s="2" t="b">
        <f t="shared" si="1"/>
        <v>1</v>
      </c>
      <c r="J413" s="2"/>
      <c r="K413" s="2"/>
      <c r="L413" s="2"/>
      <c r="M413" s="2"/>
      <c r="N413" s="2"/>
      <c r="O413" s="2"/>
      <c r="P413" s="2"/>
      <c r="Q413" s="2"/>
      <c r="R413" s="2"/>
      <c r="S413" s="2"/>
      <c r="T413" s="2"/>
      <c r="U413" s="2"/>
      <c r="V413" s="2"/>
      <c r="W413" s="2"/>
    </row>
    <row r="414" spans="1:23" ht="75" customHeight="1" x14ac:dyDescent="0.15">
      <c r="A414" s="2">
        <v>477</v>
      </c>
      <c r="B414" s="2" t="s">
        <v>476</v>
      </c>
      <c r="C414" s="2" t="s">
        <v>477</v>
      </c>
      <c r="D414" s="2" t="s">
        <v>489</v>
      </c>
      <c r="E414" s="2">
        <v>-2.46</v>
      </c>
      <c r="F414" s="2">
        <v>-2.46</v>
      </c>
      <c r="G414" s="2"/>
      <c r="H414" s="2"/>
      <c r="I414" s="2" t="b">
        <f t="shared" si="1"/>
        <v>1</v>
      </c>
      <c r="J414" s="2"/>
      <c r="K414" s="2"/>
      <c r="L414" s="2"/>
      <c r="M414" s="2"/>
      <c r="N414" s="2"/>
      <c r="O414" s="2"/>
      <c r="P414" s="2"/>
      <c r="Q414" s="2"/>
      <c r="R414" s="2"/>
      <c r="S414" s="2"/>
      <c r="T414" s="2"/>
      <c r="U414" s="2"/>
      <c r="V414" s="2"/>
      <c r="W414" s="2"/>
    </row>
    <row r="415" spans="1:23" ht="75" customHeight="1" x14ac:dyDescent="0.15">
      <c r="A415" s="2">
        <v>478</v>
      </c>
      <c r="B415" s="2" t="s">
        <v>476</v>
      </c>
      <c r="C415" s="2" t="s">
        <v>477</v>
      </c>
      <c r="D415" s="2" t="s">
        <v>490</v>
      </c>
      <c r="E415" s="2">
        <v>0.51</v>
      </c>
      <c r="F415" s="2">
        <v>0.51</v>
      </c>
      <c r="G415" s="2"/>
      <c r="H415" s="2"/>
      <c r="I415" s="2" t="b">
        <f t="shared" si="1"/>
        <v>1</v>
      </c>
      <c r="J415" s="2"/>
      <c r="K415" s="2"/>
      <c r="L415" s="2"/>
      <c r="M415" s="2"/>
      <c r="N415" s="2"/>
      <c r="O415" s="2"/>
      <c r="P415" s="2"/>
      <c r="Q415" s="2"/>
      <c r="R415" s="2"/>
      <c r="S415" s="2"/>
      <c r="T415" s="2"/>
      <c r="U415" s="2"/>
      <c r="V415" s="2"/>
      <c r="W415" s="2"/>
    </row>
    <row r="416" spans="1:23" ht="75" customHeight="1" x14ac:dyDescent="0.15">
      <c r="A416" s="2">
        <v>479</v>
      </c>
      <c r="B416" s="2" t="s">
        <v>476</v>
      </c>
      <c r="C416" s="2" t="s">
        <v>477</v>
      </c>
      <c r="D416" s="2" t="s">
        <v>491</v>
      </c>
      <c r="E416" s="2">
        <v>-6.56</v>
      </c>
      <c r="F416" s="2">
        <v>-6.56</v>
      </c>
      <c r="G416" s="2"/>
      <c r="H416" s="2"/>
      <c r="I416" s="2" t="b">
        <f t="shared" si="1"/>
        <v>1</v>
      </c>
      <c r="J416" s="2"/>
      <c r="K416" s="2"/>
      <c r="L416" s="2"/>
      <c r="M416" s="2"/>
      <c r="N416" s="2"/>
      <c r="O416" s="2"/>
      <c r="P416" s="2"/>
      <c r="Q416" s="2"/>
      <c r="R416" s="2"/>
      <c r="S416" s="2"/>
      <c r="T416" s="2"/>
      <c r="U416" s="2"/>
      <c r="V416" s="2"/>
      <c r="W416" s="2"/>
    </row>
    <row r="417" spans="1:23" ht="75" customHeight="1" x14ac:dyDescent="0.15">
      <c r="A417" s="2">
        <v>480</v>
      </c>
      <c r="B417" s="2" t="s">
        <v>476</v>
      </c>
      <c r="C417" s="2" t="s">
        <v>477</v>
      </c>
      <c r="D417" s="2" t="s">
        <v>492</v>
      </c>
      <c r="E417" s="2">
        <v>-1.56</v>
      </c>
      <c r="F417" s="2">
        <v>-1.56</v>
      </c>
      <c r="G417" s="2"/>
      <c r="H417" s="2"/>
      <c r="I417" s="2" t="b">
        <f t="shared" si="1"/>
        <v>1</v>
      </c>
      <c r="J417" s="2"/>
      <c r="K417" s="2"/>
      <c r="L417" s="2"/>
      <c r="M417" s="2"/>
      <c r="N417" s="2"/>
      <c r="O417" s="2"/>
      <c r="P417" s="2"/>
      <c r="Q417" s="2"/>
      <c r="R417" s="2"/>
      <c r="S417" s="2"/>
      <c r="T417" s="2"/>
      <c r="U417" s="2"/>
      <c r="V417" s="2"/>
      <c r="W417" s="2"/>
    </row>
    <row r="418" spans="1:23" ht="75" customHeight="1" x14ac:dyDescent="0.15">
      <c r="A418" s="2">
        <v>481</v>
      </c>
      <c r="B418" s="2" t="s">
        <v>476</v>
      </c>
      <c r="C418" s="2" t="s">
        <v>477</v>
      </c>
      <c r="D418" s="2" t="s">
        <v>493</v>
      </c>
      <c r="E418" s="2" t="s">
        <v>162</v>
      </c>
      <c r="F418" s="2" t="s">
        <v>162</v>
      </c>
      <c r="G418" s="2" t="s">
        <v>162</v>
      </c>
      <c r="H418" s="4" t="s">
        <v>485</v>
      </c>
      <c r="I418" s="2" t="b">
        <f t="shared" si="1"/>
        <v>1</v>
      </c>
      <c r="J418" s="2"/>
      <c r="K418" s="2"/>
      <c r="L418" s="2"/>
      <c r="M418" s="2"/>
      <c r="N418" s="2"/>
      <c r="O418" s="2"/>
      <c r="P418" s="2"/>
      <c r="Q418" s="2"/>
      <c r="R418" s="2"/>
      <c r="S418" s="2"/>
      <c r="T418" s="2"/>
      <c r="U418" s="2"/>
      <c r="V418" s="2"/>
      <c r="W418" s="2"/>
    </row>
    <row r="419" spans="1:23" ht="75" customHeight="1" x14ac:dyDescent="0.15">
      <c r="A419" s="2">
        <v>482</v>
      </c>
      <c r="B419" s="2" t="s">
        <v>476</v>
      </c>
      <c r="C419" s="2" t="s">
        <v>477</v>
      </c>
      <c r="D419" s="2" t="s">
        <v>494</v>
      </c>
      <c r="E419" s="2" t="s">
        <v>162</v>
      </c>
      <c r="F419" s="2" t="s">
        <v>162</v>
      </c>
      <c r="G419" s="2"/>
      <c r="H419" s="2"/>
      <c r="I419" s="2" t="b">
        <f t="shared" si="1"/>
        <v>1</v>
      </c>
      <c r="J419" s="2"/>
      <c r="K419" s="2"/>
      <c r="L419" s="2"/>
      <c r="M419" s="2"/>
      <c r="N419" s="2"/>
      <c r="O419" s="2"/>
      <c r="P419" s="2"/>
      <c r="Q419" s="2"/>
      <c r="R419" s="2"/>
      <c r="S419" s="2"/>
      <c r="T419" s="2"/>
      <c r="U419" s="2"/>
      <c r="V419" s="2"/>
      <c r="W419" s="2"/>
    </row>
    <row r="420" spans="1:23" ht="75" customHeight="1" x14ac:dyDescent="0.15">
      <c r="A420" s="2">
        <v>483</v>
      </c>
      <c r="B420" s="2" t="s">
        <v>476</v>
      </c>
      <c r="C420" s="2" t="s">
        <v>477</v>
      </c>
      <c r="D420" s="2" t="s">
        <v>495</v>
      </c>
      <c r="E420" s="2">
        <v>0.51</v>
      </c>
      <c r="F420" s="2">
        <v>0.51</v>
      </c>
      <c r="G420" s="2"/>
      <c r="H420" s="2"/>
      <c r="I420" s="2" t="b">
        <f t="shared" si="1"/>
        <v>1</v>
      </c>
      <c r="J420" s="2"/>
      <c r="K420" s="2"/>
      <c r="L420" s="2"/>
      <c r="M420" s="2"/>
      <c r="N420" s="2"/>
      <c r="O420" s="2"/>
      <c r="P420" s="2"/>
      <c r="Q420" s="2"/>
      <c r="R420" s="2"/>
      <c r="S420" s="2"/>
      <c r="T420" s="2"/>
      <c r="U420" s="2"/>
      <c r="V420" s="2"/>
      <c r="W420" s="2"/>
    </row>
    <row r="421" spans="1:23" ht="75" customHeight="1" x14ac:dyDescent="0.15">
      <c r="A421" s="2">
        <v>484</v>
      </c>
      <c r="B421" s="2" t="s">
        <v>476</v>
      </c>
      <c r="C421" s="2" t="s">
        <v>477</v>
      </c>
      <c r="D421" s="2" t="s">
        <v>496</v>
      </c>
      <c r="E421" s="2">
        <v>0.31</v>
      </c>
      <c r="F421" s="2">
        <v>0.31</v>
      </c>
      <c r="G421" s="2"/>
      <c r="H421" s="2"/>
      <c r="I421" s="2" t="b">
        <f t="shared" si="1"/>
        <v>1</v>
      </c>
      <c r="J421" s="2"/>
      <c r="K421" s="2"/>
      <c r="L421" s="2"/>
      <c r="M421" s="2"/>
      <c r="N421" s="2"/>
      <c r="O421" s="2"/>
      <c r="P421" s="2"/>
      <c r="Q421" s="2"/>
      <c r="R421" s="2"/>
      <c r="S421" s="2"/>
      <c r="T421" s="2"/>
      <c r="U421" s="2"/>
      <c r="V421" s="2"/>
      <c r="W421" s="2"/>
    </row>
    <row r="422" spans="1:23" ht="75" customHeight="1" x14ac:dyDescent="0.15">
      <c r="A422" s="2">
        <v>485</v>
      </c>
      <c r="B422" s="2" t="s">
        <v>476</v>
      </c>
      <c r="C422" s="2" t="s">
        <v>477</v>
      </c>
      <c r="D422" s="2" t="s">
        <v>497</v>
      </c>
      <c r="E422" s="2">
        <v>-1.3</v>
      </c>
      <c r="F422" s="2">
        <v>-1.3</v>
      </c>
      <c r="G422" s="2"/>
      <c r="H422" s="2"/>
      <c r="I422" s="2" t="b">
        <f t="shared" si="1"/>
        <v>1</v>
      </c>
      <c r="J422" s="2"/>
      <c r="K422" s="2"/>
      <c r="L422" s="2"/>
      <c r="M422" s="2"/>
      <c r="N422" s="2"/>
      <c r="O422" s="2"/>
      <c r="P422" s="2"/>
      <c r="Q422" s="2"/>
      <c r="R422" s="2"/>
      <c r="S422" s="2"/>
      <c r="T422" s="2"/>
      <c r="U422" s="2"/>
      <c r="V422" s="2"/>
      <c r="W422" s="2"/>
    </row>
    <row r="423" spans="1:23" ht="75" customHeight="1" x14ac:dyDescent="0.15">
      <c r="A423" s="2">
        <v>486</v>
      </c>
      <c r="B423" s="2" t="s">
        <v>476</v>
      </c>
      <c r="C423" s="2" t="s">
        <v>477</v>
      </c>
      <c r="D423" s="2" t="s">
        <v>498</v>
      </c>
      <c r="E423" s="2" t="s">
        <v>162</v>
      </c>
      <c r="F423" s="2" t="s">
        <v>162</v>
      </c>
      <c r="G423" s="2"/>
      <c r="H423" s="2"/>
      <c r="I423" s="2" t="b">
        <f t="shared" si="1"/>
        <v>1</v>
      </c>
      <c r="J423" s="2"/>
      <c r="K423" s="2"/>
      <c r="L423" s="2"/>
      <c r="M423" s="2"/>
      <c r="N423" s="2"/>
      <c r="O423" s="2"/>
      <c r="P423" s="2"/>
      <c r="Q423" s="2"/>
      <c r="R423" s="2"/>
      <c r="S423" s="2"/>
      <c r="T423" s="2"/>
      <c r="U423" s="2"/>
      <c r="V423" s="2"/>
      <c r="W423" s="2"/>
    </row>
    <row r="424" spans="1:23" ht="75" customHeight="1" x14ac:dyDescent="0.15">
      <c r="A424" s="2">
        <v>487</v>
      </c>
      <c r="B424" s="2" t="s">
        <v>499</v>
      </c>
      <c r="C424" s="2" t="s">
        <v>500</v>
      </c>
      <c r="D424" s="2" t="s">
        <v>501</v>
      </c>
      <c r="E424" s="2">
        <v>15</v>
      </c>
      <c r="F424" s="2">
        <v>15</v>
      </c>
      <c r="G424" s="2"/>
      <c r="H424" s="2"/>
      <c r="I424" s="2" t="b">
        <f t="shared" si="1"/>
        <v>1</v>
      </c>
      <c r="J424" s="2"/>
      <c r="K424" s="2"/>
      <c r="L424" s="2"/>
      <c r="M424" s="2"/>
      <c r="N424" s="2"/>
      <c r="O424" s="2"/>
      <c r="P424" s="2"/>
      <c r="Q424" s="2"/>
      <c r="R424" s="2"/>
      <c r="S424" s="2"/>
      <c r="T424" s="2"/>
      <c r="U424" s="2"/>
      <c r="V424" s="2"/>
      <c r="W424" s="2"/>
    </row>
    <row r="425" spans="1:23" ht="75" customHeight="1" x14ac:dyDescent="0.15">
      <c r="A425" s="2">
        <v>488</v>
      </c>
      <c r="B425" s="2" t="s">
        <v>499</v>
      </c>
      <c r="C425" s="2" t="s">
        <v>500</v>
      </c>
      <c r="D425" s="2" t="s">
        <v>502</v>
      </c>
      <c r="E425" s="2">
        <v>28</v>
      </c>
      <c r="F425" s="2">
        <v>28</v>
      </c>
      <c r="G425" s="2"/>
      <c r="H425" s="2"/>
      <c r="I425" s="2" t="b">
        <f t="shared" si="1"/>
        <v>1</v>
      </c>
      <c r="J425" s="2"/>
      <c r="K425" s="2"/>
      <c r="L425" s="2"/>
      <c r="M425" s="2"/>
      <c r="N425" s="2"/>
      <c r="O425" s="2"/>
      <c r="P425" s="2"/>
      <c r="Q425" s="2"/>
      <c r="R425" s="2"/>
      <c r="S425" s="2"/>
      <c r="T425" s="2"/>
      <c r="U425" s="2"/>
      <c r="V425" s="2"/>
      <c r="W425" s="2"/>
    </row>
    <row r="426" spans="1:23" ht="75" customHeight="1" x14ac:dyDescent="0.15">
      <c r="A426" s="2">
        <v>489</v>
      </c>
      <c r="B426" s="2" t="s">
        <v>499</v>
      </c>
      <c r="C426" s="2" t="s">
        <v>500</v>
      </c>
      <c r="D426" s="2" t="s">
        <v>503</v>
      </c>
      <c r="E426" s="2">
        <v>11</v>
      </c>
      <c r="F426" s="2">
        <v>11</v>
      </c>
      <c r="G426" s="3">
        <v>11</v>
      </c>
      <c r="H426" s="4" t="s">
        <v>504</v>
      </c>
      <c r="I426" s="2" t="b">
        <f t="shared" si="1"/>
        <v>1</v>
      </c>
      <c r="J426" s="2"/>
      <c r="K426" s="2"/>
      <c r="L426" s="2"/>
      <c r="M426" s="2"/>
      <c r="N426" s="2"/>
      <c r="O426" s="2"/>
      <c r="P426" s="2"/>
      <c r="Q426" s="2"/>
      <c r="R426" s="2"/>
      <c r="S426" s="2"/>
      <c r="T426" s="2"/>
      <c r="U426" s="2"/>
      <c r="V426" s="2"/>
      <c r="W426" s="2"/>
    </row>
    <row r="427" spans="1:23" ht="75" customHeight="1" x14ac:dyDescent="0.15">
      <c r="A427" s="2">
        <v>490</v>
      </c>
      <c r="B427" s="2" t="s">
        <v>499</v>
      </c>
      <c r="C427" s="2" t="s">
        <v>500</v>
      </c>
      <c r="D427" s="2" t="s">
        <v>505</v>
      </c>
      <c r="E427" s="2">
        <v>30</v>
      </c>
      <c r="F427" s="2">
        <v>30</v>
      </c>
      <c r="G427" s="2"/>
      <c r="H427" s="2"/>
      <c r="I427" s="2" t="b">
        <f t="shared" si="1"/>
        <v>1</v>
      </c>
      <c r="J427" s="2"/>
      <c r="K427" s="2"/>
      <c r="L427" s="2"/>
      <c r="M427" s="2"/>
      <c r="N427" s="2"/>
      <c r="O427" s="2"/>
      <c r="P427" s="2"/>
      <c r="Q427" s="2"/>
      <c r="R427" s="2"/>
      <c r="S427" s="2"/>
      <c r="T427" s="2"/>
      <c r="U427" s="2"/>
      <c r="V427" s="2"/>
      <c r="W427" s="2"/>
    </row>
    <row r="428" spans="1:23" ht="75" customHeight="1" x14ac:dyDescent="0.15">
      <c r="A428" s="2">
        <v>491</v>
      </c>
      <c r="B428" s="2" t="s">
        <v>499</v>
      </c>
      <c r="C428" s="2" t="s">
        <v>500</v>
      </c>
      <c r="D428" s="2" t="s">
        <v>391</v>
      </c>
      <c r="E428" s="2">
        <v>39.200000000000003</v>
      </c>
      <c r="F428" s="2">
        <v>39.200000000000003</v>
      </c>
      <c r="G428" s="2"/>
      <c r="H428" s="2"/>
      <c r="I428" s="2" t="b">
        <f t="shared" si="1"/>
        <v>1</v>
      </c>
      <c r="J428" s="2"/>
      <c r="K428" s="2"/>
      <c r="L428" s="2"/>
      <c r="M428" s="2"/>
      <c r="N428" s="2"/>
      <c r="O428" s="2"/>
      <c r="P428" s="2"/>
      <c r="Q428" s="2"/>
      <c r="R428" s="2"/>
      <c r="S428" s="2"/>
      <c r="T428" s="2"/>
      <c r="U428" s="2"/>
      <c r="V428" s="2"/>
      <c r="W428" s="2"/>
    </row>
    <row r="429" spans="1:23" ht="75" customHeight="1" x14ac:dyDescent="0.15">
      <c r="A429" s="2">
        <v>493</v>
      </c>
      <c r="B429" s="2" t="s">
        <v>499</v>
      </c>
      <c r="C429" s="2" t="s">
        <v>500</v>
      </c>
      <c r="D429" s="2" t="s">
        <v>506</v>
      </c>
      <c r="E429" s="2">
        <v>20.5</v>
      </c>
      <c r="F429" s="2">
        <v>20.5</v>
      </c>
      <c r="G429" s="2"/>
      <c r="H429" s="2"/>
      <c r="I429" s="2" t="b">
        <f t="shared" si="1"/>
        <v>1</v>
      </c>
      <c r="J429" s="2"/>
      <c r="K429" s="2"/>
      <c r="L429" s="2"/>
      <c r="M429" s="2"/>
      <c r="N429" s="2"/>
      <c r="O429" s="2"/>
      <c r="P429" s="2"/>
      <c r="Q429" s="2"/>
      <c r="R429" s="2"/>
      <c r="S429" s="2"/>
      <c r="T429" s="2"/>
      <c r="U429" s="2"/>
      <c r="V429" s="2"/>
      <c r="W429" s="2"/>
    </row>
    <row r="430" spans="1:23" ht="75" customHeight="1" x14ac:dyDescent="0.15">
      <c r="A430" s="2">
        <v>494</v>
      </c>
      <c r="B430" s="2" t="s">
        <v>499</v>
      </c>
      <c r="C430" s="2" t="s">
        <v>500</v>
      </c>
      <c r="D430" s="2" t="s">
        <v>507</v>
      </c>
      <c r="E430" s="2">
        <v>15.2</v>
      </c>
      <c r="F430" s="2">
        <v>15.2</v>
      </c>
      <c r="G430" s="2"/>
      <c r="H430" s="2"/>
      <c r="I430" s="2" t="b">
        <f t="shared" si="1"/>
        <v>1</v>
      </c>
      <c r="J430" s="2"/>
      <c r="K430" s="2"/>
      <c r="L430" s="2"/>
      <c r="M430" s="2"/>
      <c r="N430" s="2"/>
      <c r="O430" s="2"/>
      <c r="P430" s="2"/>
      <c r="Q430" s="2"/>
      <c r="R430" s="2"/>
      <c r="S430" s="2"/>
      <c r="T430" s="2"/>
      <c r="U430" s="2"/>
      <c r="V430" s="2"/>
      <c r="W430" s="2"/>
    </row>
    <row r="431" spans="1:23" ht="75" customHeight="1" x14ac:dyDescent="0.15">
      <c r="A431" s="2">
        <v>495</v>
      </c>
      <c r="B431" s="2" t="s">
        <v>499</v>
      </c>
      <c r="C431" s="2" t="s">
        <v>500</v>
      </c>
      <c r="D431" s="2" t="s">
        <v>508</v>
      </c>
      <c r="E431" s="2">
        <v>14</v>
      </c>
      <c r="F431" s="2">
        <v>14</v>
      </c>
      <c r="G431" s="3">
        <v>14</v>
      </c>
      <c r="H431" s="3"/>
      <c r="I431" s="2" t="b">
        <f t="shared" si="1"/>
        <v>1</v>
      </c>
      <c r="J431" s="2"/>
      <c r="K431" s="2"/>
      <c r="L431" s="2"/>
      <c r="M431" s="2"/>
      <c r="N431" s="2"/>
      <c r="O431" s="2"/>
      <c r="P431" s="2"/>
      <c r="Q431" s="2"/>
      <c r="R431" s="2"/>
      <c r="S431" s="2"/>
      <c r="T431" s="2"/>
      <c r="U431" s="2"/>
      <c r="V431" s="2"/>
      <c r="W431" s="2"/>
    </row>
    <row r="432" spans="1:23" ht="75" customHeight="1" x14ac:dyDescent="0.15">
      <c r="A432" s="2">
        <v>497</v>
      </c>
      <c r="B432" s="2" t="s">
        <v>499</v>
      </c>
      <c r="C432" s="2" t="s">
        <v>500</v>
      </c>
      <c r="D432" s="2" t="s">
        <v>509</v>
      </c>
      <c r="E432" s="2">
        <v>12</v>
      </c>
      <c r="F432" s="2">
        <v>12</v>
      </c>
      <c r="G432" s="2"/>
      <c r="H432" s="2"/>
      <c r="I432" s="2" t="b">
        <f t="shared" si="1"/>
        <v>1</v>
      </c>
      <c r="J432" s="2"/>
      <c r="K432" s="2"/>
      <c r="L432" s="2"/>
      <c r="M432" s="2"/>
      <c r="N432" s="2"/>
      <c r="O432" s="2"/>
      <c r="P432" s="2"/>
      <c r="Q432" s="2"/>
      <c r="R432" s="2"/>
      <c r="S432" s="2"/>
      <c r="T432" s="2"/>
      <c r="U432" s="2"/>
      <c r="V432" s="2"/>
      <c r="W432" s="2"/>
    </row>
    <row r="433" spans="1:23" ht="75" customHeight="1" x14ac:dyDescent="0.15">
      <c r="A433" s="2">
        <v>498</v>
      </c>
      <c r="B433" s="2" t="s">
        <v>499</v>
      </c>
      <c r="C433" s="2" t="s">
        <v>500</v>
      </c>
      <c r="D433" s="2" t="s">
        <v>510</v>
      </c>
      <c r="E433" s="2">
        <v>17</v>
      </c>
      <c r="F433" s="2">
        <v>17</v>
      </c>
      <c r="G433" s="2"/>
      <c r="H433" s="2"/>
      <c r="I433" s="2" t="b">
        <f t="shared" si="1"/>
        <v>1</v>
      </c>
      <c r="J433" s="2"/>
      <c r="K433" s="2"/>
      <c r="L433" s="2"/>
      <c r="M433" s="2"/>
      <c r="N433" s="2"/>
      <c r="O433" s="2"/>
      <c r="P433" s="2"/>
      <c r="Q433" s="2"/>
      <c r="R433" s="2"/>
      <c r="S433" s="2"/>
      <c r="T433" s="2"/>
      <c r="U433" s="2"/>
      <c r="V433" s="2"/>
      <c r="W433" s="2"/>
    </row>
    <row r="434" spans="1:23" ht="75" customHeight="1" x14ac:dyDescent="0.15">
      <c r="A434" s="2">
        <v>500</v>
      </c>
      <c r="B434" s="2" t="s">
        <v>499</v>
      </c>
      <c r="C434" s="2" t="s">
        <v>500</v>
      </c>
      <c r="D434" s="2" t="s">
        <v>511</v>
      </c>
      <c r="E434" s="2">
        <v>18</v>
      </c>
      <c r="F434" s="2">
        <v>18</v>
      </c>
      <c r="G434" s="2"/>
      <c r="H434" s="2"/>
      <c r="I434" s="2" t="b">
        <f t="shared" si="1"/>
        <v>1</v>
      </c>
      <c r="J434" s="2"/>
      <c r="K434" s="2"/>
      <c r="L434" s="2"/>
      <c r="M434" s="2"/>
      <c r="N434" s="2"/>
      <c r="O434" s="2"/>
      <c r="P434" s="2"/>
      <c r="Q434" s="2"/>
      <c r="R434" s="2"/>
      <c r="S434" s="2"/>
      <c r="T434" s="2"/>
      <c r="U434" s="2"/>
      <c r="V434" s="2"/>
      <c r="W434" s="2"/>
    </row>
    <row r="435" spans="1:23" ht="75" customHeight="1" x14ac:dyDescent="0.15">
      <c r="A435" s="2">
        <v>501</v>
      </c>
      <c r="B435" s="2" t="s">
        <v>499</v>
      </c>
      <c r="C435" s="2" t="s">
        <v>500</v>
      </c>
      <c r="D435" s="2" t="s">
        <v>512</v>
      </c>
      <c r="E435" s="2">
        <v>10</v>
      </c>
      <c r="F435" s="2">
        <v>10</v>
      </c>
      <c r="G435" s="2"/>
      <c r="H435" s="2"/>
      <c r="I435" s="2" t="b">
        <f t="shared" si="1"/>
        <v>1</v>
      </c>
      <c r="J435" s="2"/>
      <c r="K435" s="2"/>
      <c r="L435" s="2"/>
      <c r="M435" s="2"/>
      <c r="N435" s="2"/>
      <c r="O435" s="2"/>
      <c r="P435" s="2"/>
      <c r="Q435" s="2"/>
      <c r="R435" s="2"/>
      <c r="S435" s="2"/>
      <c r="T435" s="2"/>
      <c r="U435" s="2"/>
      <c r="V435" s="2"/>
      <c r="W435" s="2"/>
    </row>
    <row r="436" spans="1:23" ht="75" customHeight="1" x14ac:dyDescent="0.15">
      <c r="A436" s="2">
        <v>503</v>
      </c>
      <c r="B436" s="2" t="s">
        <v>499</v>
      </c>
      <c r="C436" s="2" t="s">
        <v>500</v>
      </c>
      <c r="D436" s="2" t="s">
        <v>513</v>
      </c>
      <c r="E436" s="2" t="s">
        <v>162</v>
      </c>
      <c r="F436" s="2" t="s">
        <v>162</v>
      </c>
      <c r="G436" s="2" t="s">
        <v>162</v>
      </c>
      <c r="H436" s="4" t="s">
        <v>514</v>
      </c>
      <c r="I436" s="2" t="b">
        <f t="shared" si="1"/>
        <v>1</v>
      </c>
      <c r="J436" s="2"/>
      <c r="K436" s="2"/>
      <c r="L436" s="2"/>
      <c r="M436" s="2"/>
      <c r="N436" s="2"/>
      <c r="O436" s="2"/>
      <c r="P436" s="2"/>
      <c r="Q436" s="2"/>
      <c r="R436" s="2"/>
      <c r="S436" s="2"/>
      <c r="T436" s="2"/>
      <c r="U436" s="2"/>
      <c r="V436" s="2"/>
      <c r="W436" s="2"/>
    </row>
    <row r="437" spans="1:23" ht="75" customHeight="1" x14ac:dyDescent="0.15">
      <c r="A437" s="2">
        <v>504</v>
      </c>
      <c r="B437" s="2" t="s">
        <v>499</v>
      </c>
      <c r="C437" s="2" t="s">
        <v>500</v>
      </c>
      <c r="D437" s="2" t="s">
        <v>515</v>
      </c>
      <c r="E437" s="2">
        <v>13</v>
      </c>
      <c r="F437" s="2">
        <v>13</v>
      </c>
      <c r="G437" s="2"/>
      <c r="H437" s="2"/>
      <c r="I437" s="2" t="b">
        <f t="shared" si="1"/>
        <v>1</v>
      </c>
      <c r="J437" s="2"/>
      <c r="K437" s="2"/>
      <c r="L437" s="2"/>
      <c r="M437" s="2"/>
      <c r="N437" s="2"/>
      <c r="O437" s="2"/>
      <c r="P437" s="2"/>
      <c r="Q437" s="2"/>
      <c r="R437" s="2"/>
      <c r="S437" s="2"/>
      <c r="T437" s="2"/>
      <c r="U437" s="2"/>
      <c r="V437" s="2"/>
      <c r="W437" s="2"/>
    </row>
    <row r="438" spans="1:23" ht="75" customHeight="1" x14ac:dyDescent="0.15">
      <c r="A438" s="2">
        <v>505</v>
      </c>
      <c r="B438" s="2" t="s">
        <v>499</v>
      </c>
      <c r="C438" s="2" t="s">
        <v>500</v>
      </c>
      <c r="D438" s="2" t="s">
        <v>516</v>
      </c>
      <c r="E438" s="2">
        <v>16</v>
      </c>
      <c r="F438" s="2">
        <v>16</v>
      </c>
      <c r="G438" s="2"/>
      <c r="H438" s="2"/>
      <c r="I438" s="2" t="b">
        <f t="shared" si="1"/>
        <v>1</v>
      </c>
      <c r="J438" s="2"/>
      <c r="K438" s="2"/>
      <c r="L438" s="2"/>
      <c r="M438" s="2"/>
      <c r="N438" s="2"/>
      <c r="O438" s="2"/>
      <c r="P438" s="2"/>
      <c r="Q438" s="2"/>
      <c r="R438" s="2"/>
      <c r="S438" s="2"/>
      <c r="T438" s="2"/>
      <c r="U438" s="2"/>
      <c r="V438" s="2"/>
      <c r="W438" s="2"/>
    </row>
    <row r="439" spans="1:23" ht="75" customHeight="1" x14ac:dyDescent="0.15">
      <c r="A439" s="2">
        <v>506</v>
      </c>
      <c r="B439" s="2" t="s">
        <v>499</v>
      </c>
      <c r="C439" s="2" t="s">
        <v>500</v>
      </c>
      <c r="D439" s="2" t="s">
        <v>517</v>
      </c>
      <c r="E439" s="2">
        <v>9</v>
      </c>
      <c r="F439" s="2">
        <v>9</v>
      </c>
      <c r="G439" s="2"/>
      <c r="H439" s="2"/>
      <c r="I439" s="2" t="b">
        <f t="shared" si="1"/>
        <v>1</v>
      </c>
      <c r="J439" s="2"/>
      <c r="K439" s="2"/>
      <c r="L439" s="2"/>
      <c r="M439" s="2"/>
      <c r="N439" s="2"/>
      <c r="O439" s="2"/>
      <c r="P439" s="2"/>
      <c r="Q439" s="2"/>
      <c r="R439" s="2"/>
      <c r="S439" s="2"/>
      <c r="T439" s="2"/>
      <c r="U439" s="2"/>
      <c r="V439" s="2"/>
      <c r="W439" s="2"/>
    </row>
    <row r="440" spans="1:23" ht="75" customHeight="1" x14ac:dyDescent="0.15">
      <c r="A440" s="2">
        <v>507</v>
      </c>
      <c r="B440" s="2" t="s">
        <v>518</v>
      </c>
      <c r="C440" s="2" t="s">
        <v>519</v>
      </c>
      <c r="D440" s="2" t="s">
        <v>520</v>
      </c>
      <c r="E440" s="2" t="s">
        <v>162</v>
      </c>
      <c r="F440" s="2" t="s">
        <v>162</v>
      </c>
      <c r="G440" s="2"/>
      <c r="H440" s="2"/>
      <c r="I440" s="2" t="b">
        <f t="shared" si="1"/>
        <v>1</v>
      </c>
      <c r="J440" s="2"/>
      <c r="K440" s="2"/>
      <c r="L440" s="2"/>
      <c r="M440" s="2"/>
      <c r="N440" s="2"/>
      <c r="O440" s="2"/>
      <c r="P440" s="2"/>
      <c r="Q440" s="2"/>
      <c r="R440" s="2"/>
      <c r="S440" s="2"/>
      <c r="T440" s="2"/>
      <c r="U440" s="2"/>
      <c r="V440" s="2"/>
      <c r="W440" s="2"/>
    </row>
    <row r="441" spans="1:23" ht="75" customHeight="1" x14ac:dyDescent="0.15">
      <c r="A441" s="2">
        <v>508</v>
      </c>
      <c r="B441" s="2" t="s">
        <v>518</v>
      </c>
      <c r="C441" s="2" t="s">
        <v>519</v>
      </c>
      <c r="D441" s="2" t="s">
        <v>521</v>
      </c>
      <c r="E441" s="2">
        <v>0.49</v>
      </c>
      <c r="F441" s="2">
        <v>0.49</v>
      </c>
      <c r="G441" s="2"/>
      <c r="H441" s="2"/>
      <c r="I441" s="2" t="b">
        <f t="shared" si="1"/>
        <v>1</v>
      </c>
      <c r="J441" s="2"/>
      <c r="K441" s="2"/>
      <c r="L441" s="2"/>
      <c r="M441" s="2"/>
      <c r="N441" s="2"/>
      <c r="O441" s="2"/>
      <c r="P441" s="2"/>
      <c r="Q441" s="2"/>
      <c r="R441" s="2"/>
      <c r="S441" s="2"/>
      <c r="T441" s="2"/>
      <c r="U441" s="2"/>
      <c r="V441" s="2"/>
      <c r="W441" s="2"/>
    </row>
    <row r="442" spans="1:23" ht="75" customHeight="1" x14ac:dyDescent="0.15">
      <c r="A442" s="2">
        <v>509</v>
      </c>
      <c r="B442" s="2" t="s">
        <v>518</v>
      </c>
      <c r="C442" s="2" t="s">
        <v>519</v>
      </c>
      <c r="D442" s="2" t="s">
        <v>522</v>
      </c>
      <c r="E442" s="2" t="s">
        <v>162</v>
      </c>
      <c r="F442" s="2" t="s">
        <v>162</v>
      </c>
      <c r="G442" s="3" t="s">
        <v>162</v>
      </c>
      <c r="H442" s="4" t="s">
        <v>523</v>
      </c>
      <c r="I442" s="2" t="b">
        <f t="shared" si="1"/>
        <v>1</v>
      </c>
      <c r="J442" s="2"/>
      <c r="K442" s="2"/>
      <c r="L442" s="2"/>
      <c r="M442" s="2"/>
      <c r="N442" s="2"/>
      <c r="O442" s="2"/>
      <c r="P442" s="2"/>
      <c r="Q442" s="2"/>
      <c r="R442" s="2"/>
      <c r="S442" s="2"/>
      <c r="T442" s="2"/>
      <c r="U442" s="2"/>
      <c r="V442" s="2"/>
      <c r="W442" s="2"/>
    </row>
    <row r="443" spans="1:23" ht="75" customHeight="1" x14ac:dyDescent="0.15">
      <c r="A443" s="2">
        <v>510</v>
      </c>
      <c r="B443" s="2" t="s">
        <v>518</v>
      </c>
      <c r="C443" s="2" t="s">
        <v>519</v>
      </c>
      <c r="D443" s="2" t="s">
        <v>524</v>
      </c>
      <c r="E443" s="2">
        <v>1.27</v>
      </c>
      <c r="F443" s="2">
        <v>1.27</v>
      </c>
      <c r="G443" s="2"/>
      <c r="H443" s="2"/>
      <c r="I443" s="2" t="b">
        <f t="shared" si="1"/>
        <v>1</v>
      </c>
      <c r="J443" s="2"/>
      <c r="K443" s="2"/>
      <c r="L443" s="2"/>
      <c r="M443" s="2"/>
      <c r="N443" s="2"/>
      <c r="O443" s="2"/>
      <c r="P443" s="2"/>
      <c r="Q443" s="2"/>
      <c r="R443" s="2"/>
      <c r="S443" s="2"/>
      <c r="T443" s="2"/>
      <c r="U443" s="2"/>
      <c r="V443" s="2"/>
      <c r="W443" s="2"/>
    </row>
    <row r="444" spans="1:23" ht="75" customHeight="1" x14ac:dyDescent="0.15">
      <c r="A444" s="2">
        <v>511</v>
      </c>
      <c r="B444" s="2" t="s">
        <v>518</v>
      </c>
      <c r="C444" s="2" t="s">
        <v>519</v>
      </c>
      <c r="D444" s="2" t="s">
        <v>525</v>
      </c>
      <c r="E444" s="2">
        <v>2.35</v>
      </c>
      <c r="F444" s="2">
        <v>2.35</v>
      </c>
      <c r="G444" s="2"/>
      <c r="H444" s="2"/>
      <c r="I444" s="2" t="b">
        <f t="shared" si="1"/>
        <v>1</v>
      </c>
      <c r="J444" s="2"/>
      <c r="K444" s="2"/>
      <c r="L444" s="2"/>
      <c r="M444" s="2"/>
      <c r="N444" s="2"/>
      <c r="O444" s="2"/>
      <c r="P444" s="2"/>
      <c r="Q444" s="2"/>
      <c r="R444" s="2"/>
      <c r="S444" s="2"/>
      <c r="T444" s="2"/>
      <c r="U444" s="2"/>
      <c r="V444" s="2"/>
      <c r="W444" s="2"/>
    </row>
    <row r="445" spans="1:23" ht="75" customHeight="1" x14ac:dyDescent="0.15">
      <c r="A445" s="2">
        <v>512</v>
      </c>
      <c r="B445" s="2" t="s">
        <v>526</v>
      </c>
      <c r="C445" s="2" t="s">
        <v>527</v>
      </c>
      <c r="D445" s="2" t="s">
        <v>528</v>
      </c>
      <c r="E445" s="2">
        <v>103.8</v>
      </c>
      <c r="F445" s="2">
        <v>103.8</v>
      </c>
      <c r="G445" s="2"/>
      <c r="H445" s="2"/>
      <c r="I445" s="2" t="b">
        <f t="shared" si="1"/>
        <v>1</v>
      </c>
      <c r="J445" s="2"/>
      <c r="K445" s="2"/>
      <c r="L445" s="2"/>
      <c r="M445" s="2"/>
      <c r="N445" s="2"/>
      <c r="O445" s="2"/>
      <c r="P445" s="2"/>
      <c r="Q445" s="2"/>
      <c r="R445" s="2"/>
      <c r="S445" s="2"/>
      <c r="T445" s="2"/>
      <c r="U445" s="2"/>
      <c r="V445" s="2"/>
      <c r="W445" s="2"/>
    </row>
    <row r="446" spans="1:23" ht="75" customHeight="1" x14ac:dyDescent="0.15">
      <c r="A446" s="2">
        <v>513</v>
      </c>
      <c r="B446" s="2" t="s">
        <v>526</v>
      </c>
      <c r="C446" s="2" t="s">
        <v>527</v>
      </c>
      <c r="D446" s="2" t="s">
        <v>529</v>
      </c>
      <c r="E446" s="2">
        <v>110.21</v>
      </c>
      <c r="F446" s="2">
        <v>110.21</v>
      </c>
      <c r="G446" s="2"/>
      <c r="H446" s="2"/>
      <c r="I446" s="2" t="b">
        <f t="shared" si="1"/>
        <v>1</v>
      </c>
      <c r="J446" s="2"/>
      <c r="K446" s="2"/>
      <c r="L446" s="2"/>
      <c r="M446" s="2"/>
      <c r="N446" s="2"/>
      <c r="O446" s="2"/>
      <c r="P446" s="2"/>
      <c r="Q446" s="2"/>
      <c r="R446" s="2"/>
      <c r="S446" s="2"/>
      <c r="T446" s="2"/>
      <c r="U446" s="2"/>
      <c r="V446" s="2"/>
      <c r="W446" s="2"/>
    </row>
    <row r="447" spans="1:23" ht="75" customHeight="1" x14ac:dyDescent="0.15">
      <c r="A447" s="2">
        <v>514</v>
      </c>
      <c r="B447" s="2" t="s">
        <v>526</v>
      </c>
      <c r="C447" s="2" t="s">
        <v>527</v>
      </c>
      <c r="D447" s="2" t="s">
        <v>530</v>
      </c>
      <c r="E447" s="2">
        <v>177</v>
      </c>
      <c r="F447" s="2">
        <v>177</v>
      </c>
      <c r="G447" s="2"/>
      <c r="H447" s="2"/>
      <c r="I447" s="2" t="b">
        <f t="shared" si="1"/>
        <v>1</v>
      </c>
      <c r="J447" s="2"/>
      <c r="K447" s="2"/>
      <c r="L447" s="2"/>
      <c r="M447" s="2"/>
      <c r="N447" s="2"/>
      <c r="O447" s="2"/>
      <c r="P447" s="2"/>
      <c r="Q447" s="2"/>
      <c r="R447" s="2"/>
      <c r="S447" s="2"/>
      <c r="T447" s="2"/>
      <c r="U447" s="2"/>
      <c r="V447" s="2"/>
      <c r="W447" s="2"/>
    </row>
    <row r="448" spans="1:23" ht="75" customHeight="1" x14ac:dyDescent="0.15">
      <c r="A448" s="2">
        <v>515</v>
      </c>
      <c r="B448" s="2" t="s">
        <v>526</v>
      </c>
      <c r="C448" s="2" t="s">
        <v>527</v>
      </c>
      <c r="D448" s="2" t="s">
        <v>479</v>
      </c>
      <c r="E448" s="2" t="s">
        <v>162</v>
      </c>
      <c r="F448" s="2" t="s">
        <v>162</v>
      </c>
      <c r="G448" s="2"/>
      <c r="H448" s="2"/>
      <c r="I448" s="2" t="b">
        <f t="shared" si="1"/>
        <v>1</v>
      </c>
      <c r="J448" s="2"/>
      <c r="K448" s="2"/>
      <c r="L448" s="2"/>
      <c r="M448" s="2"/>
      <c r="N448" s="2"/>
      <c r="O448" s="2"/>
      <c r="P448" s="2"/>
      <c r="Q448" s="2"/>
      <c r="R448" s="2"/>
      <c r="S448" s="2"/>
      <c r="T448" s="2"/>
      <c r="U448" s="2"/>
      <c r="V448" s="2"/>
      <c r="W448" s="2"/>
    </row>
    <row r="449" spans="1:23" ht="75" customHeight="1" x14ac:dyDescent="0.15">
      <c r="A449" s="2">
        <v>516</v>
      </c>
      <c r="B449" s="2" t="s">
        <v>526</v>
      </c>
      <c r="C449" s="2" t="s">
        <v>527</v>
      </c>
      <c r="D449" s="2" t="s">
        <v>531</v>
      </c>
      <c r="E449" s="2">
        <v>214.4</v>
      </c>
      <c r="F449" s="2">
        <v>214.4</v>
      </c>
      <c r="G449" s="2"/>
      <c r="H449" s="2"/>
      <c r="I449" s="2" t="b">
        <f t="shared" si="1"/>
        <v>1</v>
      </c>
      <c r="J449" s="2"/>
      <c r="K449" s="2"/>
      <c r="L449" s="2"/>
      <c r="M449" s="2"/>
      <c r="N449" s="2"/>
      <c r="O449" s="2"/>
      <c r="P449" s="2"/>
      <c r="Q449" s="2"/>
      <c r="R449" s="2"/>
      <c r="S449" s="2"/>
      <c r="T449" s="2"/>
      <c r="U449" s="2"/>
      <c r="V449" s="2"/>
      <c r="W449" s="2"/>
    </row>
    <row r="450" spans="1:23" ht="75" customHeight="1" x14ac:dyDescent="0.15">
      <c r="A450" s="2">
        <v>517</v>
      </c>
      <c r="B450" s="2" t="s">
        <v>526</v>
      </c>
      <c r="C450" s="2" t="s">
        <v>527</v>
      </c>
      <c r="D450" s="2" t="s">
        <v>532</v>
      </c>
      <c r="E450" s="2">
        <v>171.2</v>
      </c>
      <c r="F450" s="2">
        <v>171.2</v>
      </c>
      <c r="G450" s="2"/>
      <c r="H450" s="2"/>
      <c r="I450" s="2" t="b">
        <f t="shared" si="1"/>
        <v>1</v>
      </c>
      <c r="J450" s="2"/>
      <c r="K450" s="2"/>
      <c r="L450" s="2"/>
      <c r="M450" s="2"/>
      <c r="N450" s="2"/>
      <c r="O450" s="2"/>
      <c r="P450" s="2"/>
      <c r="Q450" s="2"/>
      <c r="R450" s="2"/>
      <c r="S450" s="2"/>
      <c r="T450" s="2"/>
      <c r="U450" s="2"/>
      <c r="V450" s="2"/>
      <c r="W450" s="2"/>
    </row>
    <row r="451" spans="1:23" ht="75" customHeight="1" x14ac:dyDescent="0.15">
      <c r="A451" s="2">
        <v>518</v>
      </c>
      <c r="B451" s="2" t="s">
        <v>526</v>
      </c>
      <c r="C451" s="2" t="s">
        <v>527</v>
      </c>
      <c r="D451" s="2" t="s">
        <v>533</v>
      </c>
      <c r="E451" s="2">
        <v>133.6</v>
      </c>
      <c r="F451" s="2">
        <v>133.6</v>
      </c>
      <c r="G451" s="2"/>
      <c r="H451" s="2"/>
      <c r="I451" s="2" t="b">
        <f t="shared" si="1"/>
        <v>1</v>
      </c>
      <c r="J451" s="2"/>
      <c r="K451" s="2"/>
      <c r="L451" s="2"/>
      <c r="M451" s="2"/>
      <c r="N451" s="2"/>
      <c r="O451" s="2"/>
      <c r="P451" s="2"/>
      <c r="Q451" s="2"/>
      <c r="R451" s="2"/>
      <c r="S451" s="2"/>
      <c r="T451" s="2"/>
      <c r="U451" s="2"/>
      <c r="V451" s="2"/>
      <c r="W451" s="2"/>
    </row>
    <row r="452" spans="1:23" ht="75" customHeight="1" x14ac:dyDescent="0.15">
      <c r="A452" s="2">
        <v>519</v>
      </c>
      <c r="B452" s="2" t="s">
        <v>526</v>
      </c>
      <c r="C452" s="2" t="s">
        <v>527</v>
      </c>
      <c r="D452" s="2" t="s">
        <v>534</v>
      </c>
      <c r="E452" s="2">
        <v>128</v>
      </c>
      <c r="F452" s="2">
        <v>128</v>
      </c>
      <c r="G452" s="2"/>
      <c r="H452" s="2"/>
      <c r="I452" s="2" t="b">
        <f t="shared" si="1"/>
        <v>1</v>
      </c>
      <c r="J452" s="2"/>
      <c r="K452" s="2"/>
      <c r="L452" s="2"/>
      <c r="M452" s="2"/>
      <c r="N452" s="2"/>
      <c r="O452" s="2"/>
      <c r="P452" s="2"/>
      <c r="Q452" s="2"/>
      <c r="R452" s="2"/>
      <c r="S452" s="2"/>
      <c r="T452" s="2"/>
      <c r="U452" s="2"/>
      <c r="V452" s="2"/>
      <c r="W452" s="2"/>
    </row>
    <row r="453" spans="1:23" ht="75" customHeight="1" x14ac:dyDescent="0.15">
      <c r="A453" s="2">
        <v>520</v>
      </c>
      <c r="B453" s="2" t="s">
        <v>526</v>
      </c>
      <c r="C453" s="2" t="s">
        <v>527</v>
      </c>
      <c r="D453" s="2" t="s">
        <v>535</v>
      </c>
      <c r="E453" s="2">
        <v>72</v>
      </c>
      <c r="F453" s="2">
        <v>169.2</v>
      </c>
      <c r="G453" s="3">
        <v>169.2</v>
      </c>
      <c r="H453" s="3" t="s">
        <v>66</v>
      </c>
      <c r="I453" s="2" t="b">
        <f t="shared" si="1"/>
        <v>0</v>
      </c>
      <c r="J453" s="2"/>
      <c r="K453" s="2"/>
      <c r="L453" s="2"/>
      <c r="M453" s="2"/>
      <c r="N453" s="2"/>
      <c r="O453" s="2"/>
      <c r="P453" s="2"/>
      <c r="Q453" s="2"/>
      <c r="R453" s="2"/>
      <c r="S453" s="2"/>
      <c r="T453" s="2"/>
      <c r="U453" s="2"/>
      <c r="V453" s="2"/>
      <c r="W453" s="2"/>
    </row>
    <row r="454" spans="1:23" ht="75" customHeight="1" x14ac:dyDescent="0.15">
      <c r="A454" s="2">
        <v>521</v>
      </c>
      <c r="B454" s="2" t="s">
        <v>526</v>
      </c>
      <c r="C454" s="2" t="s">
        <v>527</v>
      </c>
      <c r="D454" s="2" t="s">
        <v>536</v>
      </c>
      <c r="E454" s="2">
        <v>92.81</v>
      </c>
      <c r="F454" s="2">
        <v>92.81</v>
      </c>
      <c r="G454" s="2"/>
      <c r="H454" s="2"/>
      <c r="I454" s="2" t="b">
        <f t="shared" si="1"/>
        <v>1</v>
      </c>
      <c r="J454" s="2"/>
      <c r="K454" s="2"/>
      <c r="L454" s="2"/>
      <c r="M454" s="2"/>
      <c r="N454" s="2"/>
      <c r="O454" s="2"/>
      <c r="P454" s="2"/>
      <c r="Q454" s="2"/>
      <c r="R454" s="2"/>
      <c r="S454" s="2"/>
      <c r="T454" s="2"/>
      <c r="U454" s="2"/>
      <c r="V454" s="2"/>
      <c r="W454" s="2"/>
    </row>
    <row r="455" spans="1:23" ht="75" customHeight="1" x14ac:dyDescent="0.15">
      <c r="A455" s="2">
        <v>522</v>
      </c>
      <c r="B455" s="2" t="s">
        <v>526</v>
      </c>
      <c r="C455" s="2" t="s">
        <v>527</v>
      </c>
      <c r="D455" s="2" t="s">
        <v>537</v>
      </c>
      <c r="E455" s="2">
        <v>88</v>
      </c>
      <c r="F455" s="2">
        <v>88</v>
      </c>
      <c r="G455" s="2"/>
      <c r="H455" s="2"/>
      <c r="I455" s="2" t="b">
        <f t="shared" si="1"/>
        <v>1</v>
      </c>
      <c r="J455" s="2"/>
      <c r="K455" s="2"/>
      <c r="L455" s="2"/>
      <c r="M455" s="2"/>
      <c r="N455" s="2"/>
      <c r="O455" s="2"/>
      <c r="P455" s="2"/>
      <c r="Q455" s="2"/>
      <c r="R455" s="2"/>
      <c r="S455" s="2"/>
      <c r="T455" s="2"/>
      <c r="U455" s="2"/>
      <c r="V455" s="2"/>
      <c r="W455" s="2"/>
    </row>
    <row r="456" spans="1:23" ht="75" customHeight="1" x14ac:dyDescent="0.15">
      <c r="A456" s="2">
        <v>523</v>
      </c>
      <c r="B456" s="2" t="s">
        <v>526</v>
      </c>
      <c r="C456" s="2" t="s">
        <v>527</v>
      </c>
      <c r="D456" s="2" t="s">
        <v>538</v>
      </c>
      <c r="E456" s="2">
        <v>128</v>
      </c>
      <c r="F456" s="2">
        <v>128</v>
      </c>
      <c r="G456" s="2"/>
      <c r="H456" s="2"/>
      <c r="I456" s="2" t="b">
        <f t="shared" si="1"/>
        <v>1</v>
      </c>
      <c r="J456" s="2"/>
      <c r="K456" s="2"/>
      <c r="L456" s="2"/>
      <c r="M456" s="2"/>
      <c r="N456" s="2"/>
      <c r="O456" s="2"/>
      <c r="P456" s="2"/>
      <c r="Q456" s="2"/>
      <c r="R456" s="2"/>
      <c r="S456" s="2"/>
      <c r="T456" s="2"/>
      <c r="U456" s="2"/>
      <c r="V456" s="2"/>
      <c r="W456" s="2"/>
    </row>
    <row r="457" spans="1:23" ht="75" customHeight="1" x14ac:dyDescent="0.15">
      <c r="A457" s="2">
        <v>524</v>
      </c>
      <c r="B457" s="2" t="s">
        <v>526</v>
      </c>
      <c r="C457" s="2" t="s">
        <v>527</v>
      </c>
      <c r="D457" s="2" t="s">
        <v>539</v>
      </c>
      <c r="E457" s="2">
        <v>59</v>
      </c>
      <c r="F457" s="2">
        <v>59</v>
      </c>
      <c r="G457" s="2"/>
      <c r="H457" s="2"/>
      <c r="I457" s="2" t="b">
        <f t="shared" si="1"/>
        <v>1</v>
      </c>
      <c r="J457" s="2"/>
      <c r="K457" s="2"/>
      <c r="L457" s="2"/>
      <c r="M457" s="2"/>
      <c r="N457" s="2"/>
      <c r="O457" s="2"/>
      <c r="P457" s="2"/>
      <c r="Q457" s="2"/>
      <c r="R457" s="2"/>
      <c r="S457" s="2"/>
      <c r="T457" s="2"/>
      <c r="U457" s="2"/>
      <c r="V457" s="2"/>
      <c r="W457" s="2"/>
    </row>
    <row r="458" spans="1:23" ht="75" customHeight="1" x14ac:dyDescent="0.15">
      <c r="A458" s="2">
        <v>525</v>
      </c>
      <c r="B458" s="2" t="s">
        <v>526</v>
      </c>
      <c r="C458" s="2" t="s">
        <v>527</v>
      </c>
      <c r="D458" s="2" t="s">
        <v>540</v>
      </c>
      <c r="E458" s="2">
        <v>63</v>
      </c>
      <c r="F458" s="2">
        <v>63</v>
      </c>
      <c r="G458" s="2"/>
      <c r="H458" s="2"/>
      <c r="I458" s="2" t="b">
        <f t="shared" si="1"/>
        <v>1</v>
      </c>
      <c r="J458" s="2"/>
      <c r="K458" s="2"/>
      <c r="L458" s="2"/>
      <c r="M458" s="2"/>
      <c r="N458" s="2"/>
      <c r="O458" s="2"/>
      <c r="P458" s="2"/>
      <c r="Q458" s="2"/>
      <c r="R458" s="2"/>
      <c r="S458" s="2"/>
      <c r="T458" s="2"/>
      <c r="U458" s="2"/>
      <c r="V458" s="2"/>
      <c r="W458" s="2"/>
    </row>
    <row r="459" spans="1:23" ht="75" customHeight="1" x14ac:dyDescent="0.15">
      <c r="A459" s="2">
        <v>526</v>
      </c>
      <c r="B459" s="2" t="s">
        <v>526</v>
      </c>
      <c r="C459" s="2" t="s">
        <v>527</v>
      </c>
      <c r="D459" s="2" t="s">
        <v>541</v>
      </c>
      <c r="E459" s="2">
        <v>152</v>
      </c>
      <c r="F459" s="2">
        <v>152</v>
      </c>
      <c r="G459" s="2"/>
      <c r="H459" s="2"/>
      <c r="I459" s="2" t="b">
        <f t="shared" si="1"/>
        <v>1</v>
      </c>
      <c r="J459" s="2"/>
      <c r="K459" s="2"/>
      <c r="L459" s="2"/>
      <c r="M459" s="2"/>
      <c r="N459" s="2"/>
      <c r="O459" s="2"/>
      <c r="P459" s="2"/>
      <c r="Q459" s="2"/>
      <c r="R459" s="2"/>
      <c r="S459" s="2"/>
      <c r="T459" s="2"/>
      <c r="U459" s="2"/>
      <c r="V459" s="2"/>
      <c r="W459" s="2"/>
    </row>
    <row r="460" spans="1:23" ht="75" customHeight="1" x14ac:dyDescent="0.15">
      <c r="A460" s="2">
        <v>527</v>
      </c>
      <c r="B460" s="2" t="s">
        <v>526</v>
      </c>
      <c r="C460" s="2" t="s">
        <v>527</v>
      </c>
      <c r="D460" s="2" t="s">
        <v>542</v>
      </c>
      <c r="E460" s="2">
        <v>83</v>
      </c>
      <c r="F460" s="2">
        <v>83</v>
      </c>
      <c r="G460" s="2"/>
      <c r="H460" s="2"/>
      <c r="I460" s="2" t="b">
        <f t="shared" si="1"/>
        <v>1</v>
      </c>
      <c r="J460" s="2"/>
      <c r="K460" s="2"/>
      <c r="L460" s="2"/>
      <c r="M460" s="2"/>
      <c r="N460" s="2"/>
      <c r="O460" s="2"/>
      <c r="P460" s="2"/>
      <c r="Q460" s="2"/>
      <c r="R460" s="2"/>
      <c r="S460" s="2"/>
      <c r="T460" s="2"/>
      <c r="U460" s="2"/>
      <c r="V460" s="2"/>
      <c r="W460" s="2"/>
    </row>
    <row r="461" spans="1:23" ht="75" customHeight="1" x14ac:dyDescent="0.15">
      <c r="A461" s="2">
        <v>528</v>
      </c>
      <c r="B461" s="2" t="s">
        <v>526</v>
      </c>
      <c r="C461" s="2" t="s">
        <v>527</v>
      </c>
      <c r="D461" s="2" t="s">
        <v>543</v>
      </c>
      <c r="E461" s="2">
        <v>89</v>
      </c>
      <c r="F461" s="2">
        <v>89</v>
      </c>
      <c r="G461" s="2"/>
      <c r="H461" s="2"/>
      <c r="I461" s="2" t="b">
        <f t="shared" si="1"/>
        <v>1</v>
      </c>
      <c r="J461" s="2"/>
      <c r="K461" s="2"/>
      <c r="L461" s="2"/>
      <c r="M461" s="2"/>
      <c r="N461" s="2"/>
      <c r="O461" s="2"/>
      <c r="P461" s="2"/>
      <c r="Q461" s="2"/>
      <c r="R461" s="2"/>
      <c r="S461" s="2"/>
      <c r="T461" s="2"/>
      <c r="U461" s="2"/>
      <c r="V461" s="2"/>
      <c r="W461" s="2"/>
    </row>
    <row r="462" spans="1:23" ht="75" customHeight="1" x14ac:dyDescent="0.15">
      <c r="A462" s="2">
        <v>529</v>
      </c>
      <c r="B462" s="2" t="s">
        <v>526</v>
      </c>
      <c r="C462" s="2" t="s">
        <v>527</v>
      </c>
      <c r="D462" s="2" t="s">
        <v>544</v>
      </c>
      <c r="E462" s="2">
        <v>90</v>
      </c>
      <c r="F462" s="2">
        <v>90</v>
      </c>
      <c r="G462" s="2"/>
      <c r="H462" s="2"/>
      <c r="I462" s="2" t="b">
        <f t="shared" si="1"/>
        <v>1</v>
      </c>
      <c r="J462" s="2"/>
      <c r="K462" s="2"/>
      <c r="L462" s="2"/>
      <c r="M462" s="2"/>
      <c r="N462" s="2"/>
      <c r="O462" s="2"/>
      <c r="P462" s="2"/>
      <c r="Q462" s="2"/>
      <c r="R462" s="2"/>
      <c r="S462" s="2"/>
      <c r="T462" s="2"/>
      <c r="U462" s="2"/>
      <c r="V462" s="2"/>
      <c r="W462" s="2"/>
    </row>
    <row r="463" spans="1:23" ht="75" customHeight="1" x14ac:dyDescent="0.15">
      <c r="A463" s="2">
        <v>530</v>
      </c>
      <c r="B463" s="2" t="s">
        <v>526</v>
      </c>
      <c r="C463" s="2" t="s">
        <v>527</v>
      </c>
      <c r="D463" s="2" t="s">
        <v>545</v>
      </c>
      <c r="E463" s="2">
        <v>106</v>
      </c>
      <c r="F463" s="2">
        <v>106</v>
      </c>
      <c r="G463" s="2"/>
      <c r="H463" s="2"/>
      <c r="I463" s="2" t="b">
        <f t="shared" si="1"/>
        <v>1</v>
      </c>
      <c r="J463" s="2"/>
      <c r="K463" s="2"/>
      <c r="L463" s="2"/>
      <c r="M463" s="2"/>
      <c r="N463" s="2"/>
      <c r="O463" s="2"/>
      <c r="P463" s="2"/>
      <c r="Q463" s="2"/>
      <c r="R463" s="2"/>
      <c r="S463" s="2"/>
      <c r="T463" s="2"/>
      <c r="U463" s="2"/>
      <c r="V463" s="2"/>
      <c r="W463" s="2"/>
    </row>
    <row r="464" spans="1:23" ht="75" customHeight="1" x14ac:dyDescent="0.15">
      <c r="A464" s="2">
        <v>531</v>
      </c>
      <c r="B464" s="2" t="s">
        <v>526</v>
      </c>
      <c r="C464" s="2" t="s">
        <v>527</v>
      </c>
      <c r="D464" s="2" t="s">
        <v>546</v>
      </c>
      <c r="E464" s="2">
        <v>83</v>
      </c>
      <c r="F464" s="2">
        <v>83</v>
      </c>
      <c r="G464" s="2"/>
      <c r="H464" s="2"/>
      <c r="I464" s="2" t="b">
        <f t="shared" si="1"/>
        <v>1</v>
      </c>
      <c r="J464" s="2"/>
      <c r="K464" s="2"/>
      <c r="L464" s="2"/>
      <c r="M464" s="2"/>
      <c r="N464" s="2"/>
      <c r="O464" s="2"/>
      <c r="P464" s="2"/>
      <c r="Q464" s="2"/>
      <c r="R464" s="2"/>
      <c r="S464" s="2"/>
      <c r="T464" s="2"/>
      <c r="U464" s="2"/>
      <c r="V464" s="2"/>
      <c r="W464" s="2"/>
    </row>
    <row r="465" spans="1:23" ht="75" customHeight="1" x14ac:dyDescent="0.15">
      <c r="A465" s="2">
        <v>532</v>
      </c>
      <c r="B465" s="2" t="s">
        <v>547</v>
      </c>
      <c r="C465" s="2" t="s">
        <v>548</v>
      </c>
      <c r="D465" s="2" t="s">
        <v>549</v>
      </c>
      <c r="E465" s="2">
        <v>1</v>
      </c>
      <c r="F465" s="2">
        <v>1</v>
      </c>
      <c r="G465" s="2"/>
      <c r="H465" s="2"/>
      <c r="I465" s="2" t="b">
        <f t="shared" si="1"/>
        <v>1</v>
      </c>
      <c r="J465" s="2"/>
      <c r="K465" s="2"/>
      <c r="L465" s="2"/>
      <c r="M465" s="2"/>
      <c r="N465" s="2"/>
      <c r="O465" s="2"/>
      <c r="P465" s="2"/>
      <c r="Q465" s="2"/>
      <c r="R465" s="2"/>
      <c r="S465" s="2"/>
      <c r="T465" s="2"/>
      <c r="U465" s="2"/>
      <c r="V465" s="2"/>
      <c r="W465" s="2"/>
    </row>
    <row r="466" spans="1:23" ht="75" customHeight="1" x14ac:dyDescent="0.15">
      <c r="A466" s="2">
        <v>533</v>
      </c>
      <c r="B466" s="2" t="s">
        <v>547</v>
      </c>
      <c r="C466" s="2" t="s">
        <v>548</v>
      </c>
      <c r="D466" s="2" t="s">
        <v>550</v>
      </c>
      <c r="E466" s="2">
        <v>2</v>
      </c>
      <c r="F466" s="2">
        <v>2</v>
      </c>
      <c r="G466" s="2"/>
      <c r="H466" s="2"/>
      <c r="I466" s="2" t="b">
        <f t="shared" si="1"/>
        <v>1</v>
      </c>
      <c r="J466" s="2"/>
      <c r="K466" s="2"/>
      <c r="L466" s="2"/>
      <c r="M466" s="2"/>
      <c r="N466" s="2"/>
      <c r="O466" s="2"/>
      <c r="P466" s="2"/>
      <c r="Q466" s="2"/>
      <c r="R466" s="2"/>
      <c r="S466" s="2"/>
      <c r="T466" s="2"/>
      <c r="U466" s="2"/>
      <c r="V466" s="2"/>
      <c r="W466" s="2"/>
    </row>
    <row r="467" spans="1:23" ht="75" customHeight="1" x14ac:dyDescent="0.15">
      <c r="A467" s="2">
        <v>534</v>
      </c>
      <c r="B467" s="2" t="s">
        <v>547</v>
      </c>
      <c r="C467" s="2" t="s">
        <v>548</v>
      </c>
      <c r="D467" s="2" t="s">
        <v>551</v>
      </c>
      <c r="E467" s="2">
        <v>1</v>
      </c>
      <c r="F467" s="2">
        <v>1</v>
      </c>
      <c r="G467" s="2"/>
      <c r="H467" s="2"/>
      <c r="I467" s="2" t="b">
        <f t="shared" si="1"/>
        <v>1</v>
      </c>
      <c r="J467" s="2"/>
      <c r="K467" s="2"/>
      <c r="L467" s="2"/>
      <c r="M467" s="2"/>
      <c r="N467" s="2"/>
      <c r="O467" s="2"/>
      <c r="P467" s="2"/>
      <c r="Q467" s="2"/>
      <c r="R467" s="2"/>
      <c r="S467" s="2"/>
      <c r="T467" s="2"/>
      <c r="U467" s="2"/>
      <c r="V467" s="2"/>
      <c r="W467" s="2"/>
    </row>
    <row r="468" spans="1:23" ht="75" customHeight="1" x14ac:dyDescent="0.15">
      <c r="A468" s="2">
        <v>535</v>
      </c>
      <c r="B468" s="2" t="s">
        <v>547</v>
      </c>
      <c r="C468" s="2" t="s">
        <v>548</v>
      </c>
      <c r="D468" s="2" t="s">
        <v>48</v>
      </c>
      <c r="E468" s="2">
        <v>5</v>
      </c>
      <c r="F468" s="2">
        <v>5</v>
      </c>
      <c r="G468" s="2"/>
      <c r="H468" s="2"/>
      <c r="I468" s="2" t="b">
        <f t="shared" si="1"/>
        <v>1</v>
      </c>
      <c r="J468" s="2"/>
      <c r="K468" s="2"/>
      <c r="L468" s="2"/>
      <c r="M468" s="2"/>
      <c r="N468" s="2"/>
      <c r="O468" s="2"/>
      <c r="P468" s="2"/>
      <c r="Q468" s="2"/>
      <c r="R468" s="2"/>
      <c r="S468" s="2"/>
      <c r="T468" s="2"/>
      <c r="U468" s="2"/>
      <c r="V468" s="2"/>
      <c r="W468" s="2"/>
    </row>
    <row r="469" spans="1:23" ht="75" customHeight="1" x14ac:dyDescent="0.15">
      <c r="A469" s="2">
        <v>536</v>
      </c>
      <c r="B469" s="2" t="s">
        <v>547</v>
      </c>
      <c r="C469" s="2" t="s">
        <v>548</v>
      </c>
      <c r="D469" s="2" t="s">
        <v>552</v>
      </c>
      <c r="E469" s="2">
        <v>1</v>
      </c>
      <c r="F469" s="2">
        <v>1</v>
      </c>
      <c r="G469" s="2"/>
      <c r="H469" s="2"/>
      <c r="I469" s="2" t="b">
        <f t="shared" si="1"/>
        <v>1</v>
      </c>
      <c r="J469" s="2"/>
      <c r="K469" s="2"/>
      <c r="L469" s="2"/>
      <c r="M469" s="2"/>
      <c r="N469" s="2"/>
      <c r="O469" s="2"/>
      <c r="P469" s="2"/>
      <c r="Q469" s="2"/>
      <c r="R469" s="2"/>
      <c r="S469" s="2"/>
      <c r="T469" s="2"/>
      <c r="U469" s="2"/>
      <c r="V469" s="2"/>
      <c r="W469" s="2"/>
    </row>
    <row r="470" spans="1:23" ht="75" customHeight="1" x14ac:dyDescent="0.15">
      <c r="A470" s="2">
        <v>537</v>
      </c>
      <c r="B470" s="2" t="s">
        <v>547</v>
      </c>
      <c r="C470" s="2" t="s">
        <v>548</v>
      </c>
      <c r="D470" s="2" t="s">
        <v>553</v>
      </c>
      <c r="E470" s="2">
        <v>3</v>
      </c>
      <c r="F470" s="2">
        <v>3</v>
      </c>
      <c r="G470" s="2"/>
      <c r="H470" s="2"/>
      <c r="I470" s="2" t="b">
        <f t="shared" si="1"/>
        <v>1</v>
      </c>
      <c r="J470" s="2"/>
      <c r="K470" s="2"/>
      <c r="L470" s="2"/>
      <c r="M470" s="2"/>
      <c r="N470" s="2"/>
      <c r="O470" s="2"/>
      <c r="P470" s="2"/>
      <c r="Q470" s="2"/>
      <c r="R470" s="2"/>
      <c r="S470" s="2"/>
      <c r="T470" s="2"/>
      <c r="U470" s="2"/>
      <c r="V470" s="2"/>
      <c r="W470" s="2"/>
    </row>
    <row r="471" spans="1:23" ht="75" customHeight="1" x14ac:dyDescent="0.15">
      <c r="A471" s="2">
        <v>538</v>
      </c>
      <c r="B471" s="2" t="s">
        <v>547</v>
      </c>
      <c r="C471" s="2" t="s">
        <v>548</v>
      </c>
      <c r="D471" s="2" t="s">
        <v>554</v>
      </c>
      <c r="E471" s="2">
        <v>2</v>
      </c>
      <c r="F471" s="2">
        <v>2</v>
      </c>
      <c r="G471" s="2"/>
      <c r="H471" s="2"/>
      <c r="I471" s="2" t="b">
        <f t="shared" si="1"/>
        <v>1</v>
      </c>
      <c r="J471" s="2"/>
      <c r="K471" s="2"/>
      <c r="L471" s="2"/>
      <c r="M471" s="2"/>
      <c r="N471" s="2"/>
      <c r="O471" s="2"/>
      <c r="P471" s="2"/>
      <c r="Q471" s="2"/>
      <c r="R471" s="2"/>
      <c r="S471" s="2"/>
      <c r="T471" s="2"/>
      <c r="U471" s="2"/>
      <c r="V471" s="2"/>
      <c r="W471" s="2"/>
    </row>
    <row r="472" spans="1:23" ht="75" customHeight="1" x14ac:dyDescent="0.15">
      <c r="A472" s="2">
        <v>539</v>
      </c>
      <c r="B472" s="2" t="s">
        <v>547</v>
      </c>
      <c r="C472" s="2" t="s">
        <v>548</v>
      </c>
      <c r="D472" s="2" t="s">
        <v>555</v>
      </c>
      <c r="E472" s="2">
        <v>1</v>
      </c>
      <c r="F472" s="2">
        <v>1</v>
      </c>
      <c r="G472" s="2"/>
      <c r="H472" s="2"/>
      <c r="I472" s="2" t="b">
        <f t="shared" si="1"/>
        <v>1</v>
      </c>
      <c r="J472" s="2"/>
      <c r="K472" s="2"/>
      <c r="L472" s="2"/>
      <c r="M472" s="2"/>
      <c r="N472" s="2"/>
      <c r="O472" s="2"/>
      <c r="P472" s="2"/>
      <c r="Q472" s="2"/>
      <c r="R472" s="2"/>
      <c r="S472" s="2"/>
      <c r="T472" s="2"/>
      <c r="U472" s="2"/>
      <c r="V472" s="2"/>
      <c r="W472" s="2"/>
    </row>
    <row r="473" spans="1:23" ht="75" customHeight="1" x14ac:dyDescent="0.15">
      <c r="A473" s="2">
        <v>540</v>
      </c>
      <c r="B473" s="2" t="s">
        <v>547</v>
      </c>
      <c r="C473" s="2" t="s">
        <v>548</v>
      </c>
      <c r="D473" s="2" t="s">
        <v>556</v>
      </c>
      <c r="E473" s="2">
        <v>1</v>
      </c>
      <c r="F473" s="2">
        <v>1</v>
      </c>
      <c r="G473" s="2"/>
      <c r="H473" s="2"/>
      <c r="I473" s="2" t="b">
        <f t="shared" si="1"/>
        <v>1</v>
      </c>
      <c r="J473" s="2"/>
      <c r="K473" s="2"/>
      <c r="L473" s="2"/>
      <c r="M473" s="2"/>
      <c r="N473" s="2"/>
      <c r="O473" s="2"/>
      <c r="P473" s="2"/>
      <c r="Q473" s="2"/>
      <c r="R473" s="2"/>
      <c r="S473" s="2"/>
      <c r="T473" s="2"/>
      <c r="U473" s="2"/>
      <c r="V473" s="2"/>
      <c r="W473" s="2"/>
    </row>
    <row r="474" spans="1:23" ht="75" customHeight="1" x14ac:dyDescent="0.15">
      <c r="A474" s="2">
        <v>541</v>
      </c>
      <c r="B474" s="2" t="s">
        <v>547</v>
      </c>
      <c r="C474" s="2" t="s">
        <v>548</v>
      </c>
      <c r="D474" s="2" t="s">
        <v>557</v>
      </c>
      <c r="E474" s="2">
        <v>1</v>
      </c>
      <c r="F474" s="2">
        <v>1</v>
      </c>
      <c r="G474" s="2"/>
      <c r="H474" s="2"/>
      <c r="I474" s="2" t="b">
        <f t="shared" si="1"/>
        <v>1</v>
      </c>
      <c r="J474" s="2"/>
      <c r="K474" s="2"/>
      <c r="L474" s="2"/>
      <c r="M474" s="2"/>
      <c r="N474" s="2"/>
      <c r="O474" s="2"/>
      <c r="P474" s="2"/>
      <c r="Q474" s="2"/>
      <c r="R474" s="2"/>
      <c r="S474" s="2"/>
      <c r="T474" s="2"/>
      <c r="U474" s="2"/>
      <c r="V474" s="2"/>
      <c r="W474" s="2"/>
    </row>
    <row r="475" spans="1:23" ht="75" customHeight="1" x14ac:dyDescent="0.15">
      <c r="A475" s="2">
        <v>542</v>
      </c>
      <c r="B475" s="2" t="s">
        <v>547</v>
      </c>
      <c r="C475" s="2" t="s">
        <v>548</v>
      </c>
      <c r="D475" s="2" t="s">
        <v>558</v>
      </c>
      <c r="E475" s="2">
        <v>2</v>
      </c>
      <c r="F475" s="2">
        <v>2</v>
      </c>
      <c r="G475" s="2"/>
      <c r="H475" s="2"/>
      <c r="I475" s="2" t="b">
        <f t="shared" si="1"/>
        <v>1</v>
      </c>
      <c r="J475" s="2"/>
      <c r="K475" s="2"/>
      <c r="L475" s="2"/>
      <c r="M475" s="2"/>
      <c r="N475" s="2"/>
      <c r="O475" s="2"/>
      <c r="P475" s="2"/>
      <c r="Q475" s="2"/>
      <c r="R475" s="2"/>
      <c r="S475" s="2"/>
      <c r="T475" s="2"/>
      <c r="U475" s="2"/>
      <c r="V475" s="2"/>
      <c r="W475" s="2"/>
    </row>
    <row r="476" spans="1:23" ht="75" customHeight="1" x14ac:dyDescent="0.15">
      <c r="A476" s="2">
        <v>543</v>
      </c>
      <c r="B476" s="2" t="s">
        <v>547</v>
      </c>
      <c r="C476" s="2" t="s">
        <v>548</v>
      </c>
      <c r="D476" s="2" t="s">
        <v>559</v>
      </c>
      <c r="E476" s="2">
        <v>2</v>
      </c>
      <c r="F476" s="2">
        <v>2</v>
      </c>
      <c r="G476" s="2"/>
      <c r="H476" s="2"/>
      <c r="I476" s="2" t="b">
        <f t="shared" si="1"/>
        <v>1</v>
      </c>
      <c r="J476" s="2"/>
      <c r="K476" s="2"/>
      <c r="L476" s="2"/>
      <c r="M476" s="2"/>
      <c r="N476" s="2"/>
      <c r="O476" s="2"/>
      <c r="P476" s="2"/>
      <c r="Q476" s="2"/>
      <c r="R476" s="2"/>
      <c r="S476" s="2"/>
      <c r="T476" s="2"/>
      <c r="U476" s="2"/>
      <c r="V476" s="2"/>
      <c r="W476" s="2"/>
    </row>
    <row r="477" spans="1:23" ht="75" customHeight="1" x14ac:dyDescent="0.15">
      <c r="A477" s="2">
        <v>544</v>
      </c>
      <c r="B477" s="2" t="s">
        <v>547</v>
      </c>
      <c r="C477" s="2" t="s">
        <v>548</v>
      </c>
      <c r="D477" s="2" t="s">
        <v>560</v>
      </c>
      <c r="E477" s="2">
        <v>3</v>
      </c>
      <c r="F477" s="2">
        <v>3</v>
      </c>
      <c r="G477" s="2"/>
      <c r="H477" s="2"/>
      <c r="I477" s="2" t="b">
        <f t="shared" si="1"/>
        <v>1</v>
      </c>
      <c r="J477" s="2"/>
      <c r="K477" s="2"/>
      <c r="L477" s="2"/>
      <c r="M477" s="2"/>
      <c r="N477" s="2"/>
      <c r="O477" s="2"/>
      <c r="P477" s="2"/>
      <c r="Q477" s="2"/>
      <c r="R477" s="2"/>
      <c r="S477" s="2"/>
      <c r="T477" s="2"/>
      <c r="U477" s="2"/>
      <c r="V477" s="2"/>
      <c r="W477" s="2"/>
    </row>
    <row r="478" spans="1:23" ht="75" customHeight="1" x14ac:dyDescent="0.15">
      <c r="A478" s="2">
        <v>546</v>
      </c>
      <c r="B478" s="2" t="s">
        <v>547</v>
      </c>
      <c r="C478" s="2" t="s">
        <v>548</v>
      </c>
      <c r="D478" s="2" t="s">
        <v>561</v>
      </c>
      <c r="E478" s="2">
        <v>2</v>
      </c>
      <c r="F478" s="2">
        <v>2</v>
      </c>
      <c r="G478" s="2"/>
      <c r="H478" s="2"/>
      <c r="I478" s="2" t="b">
        <f t="shared" si="1"/>
        <v>1</v>
      </c>
      <c r="J478" s="2"/>
      <c r="K478" s="2"/>
      <c r="L478" s="2"/>
      <c r="M478" s="2"/>
      <c r="N478" s="2"/>
      <c r="O478" s="2"/>
      <c r="P478" s="2"/>
      <c r="Q478" s="2"/>
      <c r="R478" s="2"/>
      <c r="S478" s="2"/>
      <c r="T478" s="2"/>
      <c r="U478" s="2"/>
      <c r="V478" s="2"/>
      <c r="W478" s="2"/>
    </row>
    <row r="479" spans="1:23" ht="75" customHeight="1" x14ac:dyDescent="0.15">
      <c r="A479" s="2">
        <v>547</v>
      </c>
      <c r="B479" s="2" t="s">
        <v>547</v>
      </c>
      <c r="C479" s="2" t="s">
        <v>548</v>
      </c>
      <c r="D479" s="2" t="s">
        <v>562</v>
      </c>
      <c r="E479" s="2">
        <v>2</v>
      </c>
      <c r="F479" s="2">
        <v>2</v>
      </c>
      <c r="G479" s="2"/>
      <c r="H479" s="2"/>
      <c r="I479" s="2" t="b">
        <f t="shared" si="1"/>
        <v>1</v>
      </c>
      <c r="J479" s="2"/>
      <c r="K479" s="2"/>
      <c r="L479" s="2"/>
      <c r="M479" s="2"/>
      <c r="N479" s="2"/>
      <c r="O479" s="2"/>
      <c r="P479" s="2"/>
      <c r="Q479" s="2"/>
      <c r="R479" s="2"/>
      <c r="S479" s="2"/>
      <c r="T479" s="2"/>
      <c r="U479" s="2"/>
      <c r="V479" s="2"/>
      <c r="W479" s="2"/>
    </row>
    <row r="480" spans="1:23" ht="75" customHeight="1" x14ac:dyDescent="0.15">
      <c r="A480" s="2">
        <v>548</v>
      </c>
      <c r="B480" s="2" t="s">
        <v>547</v>
      </c>
      <c r="C480" s="2" t="s">
        <v>548</v>
      </c>
      <c r="D480" s="2" t="s">
        <v>563</v>
      </c>
      <c r="E480" s="2">
        <v>1</v>
      </c>
      <c r="F480" s="2">
        <v>1</v>
      </c>
      <c r="G480" s="2"/>
      <c r="H480" s="2"/>
      <c r="I480" s="2" t="b">
        <f t="shared" si="1"/>
        <v>1</v>
      </c>
      <c r="J480" s="2"/>
      <c r="K480" s="2"/>
      <c r="L480" s="2"/>
      <c r="M480" s="2"/>
      <c r="N480" s="2"/>
      <c r="O480" s="2"/>
      <c r="P480" s="2"/>
      <c r="Q480" s="2"/>
      <c r="R480" s="2"/>
      <c r="S480" s="2"/>
      <c r="T480" s="2"/>
      <c r="U480" s="2"/>
      <c r="V480" s="2"/>
      <c r="W480" s="2"/>
    </row>
    <row r="481" spans="1:23" ht="75" customHeight="1" x14ac:dyDescent="0.15">
      <c r="A481" s="2">
        <v>549</v>
      </c>
      <c r="B481" s="2" t="s">
        <v>547</v>
      </c>
      <c r="C481" s="2" t="s">
        <v>548</v>
      </c>
      <c r="D481" s="2" t="s">
        <v>564</v>
      </c>
      <c r="E481" s="2">
        <v>2</v>
      </c>
      <c r="F481" s="2">
        <v>2</v>
      </c>
      <c r="G481" s="2"/>
      <c r="H481" s="2"/>
      <c r="I481" s="2" t="b">
        <f t="shared" si="1"/>
        <v>1</v>
      </c>
      <c r="J481" s="2"/>
      <c r="K481" s="2"/>
      <c r="L481" s="2"/>
      <c r="M481" s="2"/>
      <c r="N481" s="2"/>
      <c r="O481" s="2"/>
      <c r="P481" s="2"/>
      <c r="Q481" s="2"/>
      <c r="R481" s="2"/>
      <c r="S481" s="2"/>
      <c r="T481" s="2"/>
      <c r="U481" s="2"/>
      <c r="V481" s="2"/>
      <c r="W481" s="2"/>
    </row>
    <row r="482" spans="1:23" ht="75" customHeight="1" x14ac:dyDescent="0.15">
      <c r="A482" s="2">
        <v>550</v>
      </c>
      <c r="B482" s="2" t="s">
        <v>547</v>
      </c>
      <c r="C482" s="2" t="s">
        <v>548</v>
      </c>
      <c r="D482" s="2" t="s">
        <v>565</v>
      </c>
      <c r="E482" s="2">
        <v>0</v>
      </c>
      <c r="F482" s="2">
        <v>0</v>
      </c>
      <c r="G482" s="2"/>
      <c r="H482" s="2"/>
      <c r="I482" s="2" t="b">
        <f t="shared" si="1"/>
        <v>1</v>
      </c>
      <c r="J482" s="2"/>
      <c r="K482" s="2"/>
      <c r="L482" s="2"/>
      <c r="M482" s="2"/>
      <c r="N482" s="2"/>
      <c r="O482" s="2"/>
      <c r="P482" s="2"/>
      <c r="Q482" s="2"/>
      <c r="R482" s="2"/>
      <c r="S482" s="2"/>
      <c r="T482" s="2"/>
      <c r="U482" s="2"/>
      <c r="V482" s="2"/>
      <c r="W482" s="2"/>
    </row>
    <row r="483" spans="1:23" ht="75" customHeight="1" x14ac:dyDescent="0.15">
      <c r="A483" s="2">
        <v>551</v>
      </c>
      <c r="B483" s="2" t="s">
        <v>547</v>
      </c>
      <c r="C483" s="2" t="s">
        <v>548</v>
      </c>
      <c r="D483" s="2" t="s">
        <v>566</v>
      </c>
      <c r="E483" s="2">
        <v>1</v>
      </c>
      <c r="F483" s="2">
        <v>1</v>
      </c>
      <c r="G483" s="2"/>
      <c r="H483" s="2"/>
      <c r="I483" s="2" t="b">
        <f t="shared" si="1"/>
        <v>1</v>
      </c>
      <c r="J483" s="2"/>
      <c r="K483" s="2"/>
      <c r="L483" s="2"/>
      <c r="M483" s="2"/>
      <c r="N483" s="2"/>
      <c r="O483" s="2"/>
      <c r="P483" s="2"/>
      <c r="Q483" s="2"/>
      <c r="R483" s="2"/>
      <c r="S483" s="2"/>
      <c r="T483" s="2"/>
      <c r="U483" s="2"/>
      <c r="V483" s="2"/>
      <c r="W483" s="2"/>
    </row>
    <row r="484" spans="1:23" ht="75" customHeight="1" x14ac:dyDescent="0.15">
      <c r="A484" s="2">
        <v>555</v>
      </c>
      <c r="B484" s="2" t="s">
        <v>567</v>
      </c>
      <c r="C484" s="2" t="s">
        <v>568</v>
      </c>
      <c r="D484" s="2" t="s">
        <v>531</v>
      </c>
      <c r="E484" s="2" t="s">
        <v>162</v>
      </c>
      <c r="F484" s="2" t="s">
        <v>162</v>
      </c>
      <c r="G484" s="2"/>
      <c r="H484" s="2"/>
      <c r="I484" s="2" t="b">
        <f t="shared" si="1"/>
        <v>1</v>
      </c>
      <c r="J484" s="2"/>
      <c r="K484" s="2"/>
      <c r="L484" s="2"/>
      <c r="M484" s="2"/>
      <c r="N484" s="2"/>
      <c r="O484" s="2"/>
      <c r="P484" s="2"/>
      <c r="Q484" s="2"/>
      <c r="R484" s="2"/>
      <c r="S484" s="2"/>
      <c r="T484" s="2"/>
      <c r="U484" s="2"/>
      <c r="V484" s="2"/>
      <c r="W484" s="2"/>
    </row>
    <row r="485" spans="1:23" ht="75" customHeight="1" x14ac:dyDescent="0.15">
      <c r="A485" s="2">
        <v>556</v>
      </c>
      <c r="B485" s="2" t="s">
        <v>567</v>
      </c>
      <c r="C485" s="2" t="s">
        <v>568</v>
      </c>
      <c r="D485" s="2" t="s">
        <v>569</v>
      </c>
      <c r="E485" s="2" t="s">
        <v>162</v>
      </c>
      <c r="F485" s="2" t="s">
        <v>162</v>
      </c>
      <c r="G485" s="2"/>
      <c r="H485" s="2"/>
      <c r="I485" s="2" t="b">
        <f t="shared" si="1"/>
        <v>1</v>
      </c>
      <c r="J485" s="2"/>
      <c r="K485" s="2"/>
      <c r="L485" s="2"/>
      <c r="M485" s="2"/>
      <c r="N485" s="2"/>
      <c r="O485" s="2"/>
      <c r="P485" s="2"/>
      <c r="Q485" s="2"/>
      <c r="R485" s="2"/>
      <c r="S485" s="2"/>
      <c r="T485" s="2"/>
      <c r="U485" s="2"/>
      <c r="V485" s="2"/>
      <c r="W485" s="2"/>
    </row>
    <row r="486" spans="1:23" ht="75" customHeight="1" x14ac:dyDescent="0.15">
      <c r="A486" s="2">
        <v>560</v>
      </c>
      <c r="B486" s="2" t="s">
        <v>567</v>
      </c>
      <c r="C486" s="2" t="s">
        <v>568</v>
      </c>
      <c r="D486" s="2" t="s">
        <v>570</v>
      </c>
      <c r="E486" s="2" t="s">
        <v>162</v>
      </c>
      <c r="F486" s="2" t="s">
        <v>162</v>
      </c>
      <c r="G486" s="2"/>
      <c r="H486" s="2"/>
      <c r="I486" s="2" t="b">
        <f t="shared" si="1"/>
        <v>1</v>
      </c>
      <c r="J486" s="2"/>
      <c r="K486" s="2"/>
      <c r="L486" s="2"/>
      <c r="M486" s="2"/>
      <c r="N486" s="2"/>
      <c r="O486" s="2"/>
      <c r="P486" s="2"/>
      <c r="Q486" s="2"/>
      <c r="R486" s="2"/>
      <c r="S486" s="2"/>
      <c r="T486" s="2"/>
      <c r="U486" s="2"/>
      <c r="V486" s="2"/>
      <c r="W486" s="2"/>
    </row>
    <row r="487" spans="1:23" ht="75" customHeight="1" x14ac:dyDescent="0.15">
      <c r="A487" s="2">
        <v>562</v>
      </c>
      <c r="B487" s="2" t="s">
        <v>567</v>
      </c>
      <c r="C487" s="2" t="s">
        <v>568</v>
      </c>
      <c r="D487" s="2" t="s">
        <v>571</v>
      </c>
      <c r="E487" s="2" t="s">
        <v>162</v>
      </c>
      <c r="F487" s="2" t="s">
        <v>162</v>
      </c>
      <c r="G487" s="2"/>
      <c r="H487" s="2"/>
      <c r="I487" s="2" t="b">
        <f t="shared" si="1"/>
        <v>1</v>
      </c>
      <c r="J487" s="2"/>
      <c r="K487" s="2"/>
      <c r="L487" s="2"/>
      <c r="M487" s="2"/>
      <c r="N487" s="2"/>
      <c r="O487" s="2"/>
      <c r="P487" s="2"/>
      <c r="Q487" s="2"/>
      <c r="R487" s="2"/>
      <c r="S487" s="2"/>
      <c r="T487" s="2"/>
      <c r="U487" s="2"/>
      <c r="V487" s="2"/>
      <c r="W487" s="2"/>
    </row>
    <row r="488" spans="1:23" ht="75" customHeight="1" x14ac:dyDescent="0.15">
      <c r="A488" s="2">
        <v>565</v>
      </c>
      <c r="B488" s="2" t="s">
        <v>567</v>
      </c>
      <c r="C488" s="2" t="s">
        <v>568</v>
      </c>
      <c r="D488" s="2" t="s">
        <v>572</v>
      </c>
      <c r="E488" s="2" t="s">
        <v>162</v>
      </c>
      <c r="F488" s="2" t="s">
        <v>162</v>
      </c>
      <c r="G488" s="2"/>
      <c r="H488" s="2"/>
      <c r="I488" s="2" t="b">
        <f t="shared" si="1"/>
        <v>1</v>
      </c>
      <c r="J488" s="2"/>
      <c r="K488" s="2"/>
      <c r="L488" s="2"/>
      <c r="M488" s="2"/>
      <c r="N488" s="2"/>
      <c r="O488" s="2"/>
      <c r="P488" s="2"/>
      <c r="Q488" s="2"/>
      <c r="R488" s="2"/>
      <c r="S488" s="2"/>
      <c r="T488" s="2"/>
      <c r="U488" s="2"/>
      <c r="V488" s="2"/>
      <c r="W488" s="2"/>
    </row>
    <row r="489" spans="1:23" ht="75" customHeight="1" x14ac:dyDescent="0.15">
      <c r="A489" s="2">
        <v>566</v>
      </c>
      <c r="B489" s="2" t="s">
        <v>567</v>
      </c>
      <c r="C489" s="2" t="s">
        <v>568</v>
      </c>
      <c r="D489" s="2" t="s">
        <v>573</v>
      </c>
      <c r="E489" s="2" t="s">
        <v>162</v>
      </c>
      <c r="F489" s="2" t="s">
        <v>162</v>
      </c>
      <c r="G489" s="2"/>
      <c r="H489" s="2"/>
      <c r="I489" s="2" t="b">
        <f t="shared" si="1"/>
        <v>1</v>
      </c>
      <c r="J489" s="2"/>
      <c r="K489" s="2"/>
      <c r="L489" s="2"/>
      <c r="M489" s="2"/>
      <c r="N489" s="2"/>
      <c r="O489" s="2"/>
      <c r="P489" s="2"/>
      <c r="Q489" s="2"/>
      <c r="R489" s="2"/>
      <c r="S489" s="2"/>
      <c r="T489" s="2"/>
      <c r="U489" s="2"/>
      <c r="V489" s="2"/>
      <c r="W489" s="2"/>
    </row>
    <row r="490" spans="1:23" ht="75" customHeight="1" x14ac:dyDescent="0.15">
      <c r="A490" s="2">
        <v>567</v>
      </c>
      <c r="B490" s="2" t="s">
        <v>567</v>
      </c>
      <c r="C490" s="2" t="s">
        <v>568</v>
      </c>
      <c r="D490" s="2" t="s">
        <v>574</v>
      </c>
      <c r="E490" s="2" t="s">
        <v>162</v>
      </c>
      <c r="F490" s="2" t="s">
        <v>162</v>
      </c>
      <c r="G490" s="2"/>
      <c r="H490" s="2"/>
      <c r="I490" s="2" t="b">
        <f t="shared" si="1"/>
        <v>1</v>
      </c>
      <c r="J490" s="2"/>
      <c r="K490" s="2"/>
      <c r="L490" s="2"/>
      <c r="M490" s="2"/>
      <c r="N490" s="2"/>
      <c r="O490" s="2"/>
      <c r="P490" s="2"/>
      <c r="Q490" s="2"/>
      <c r="R490" s="2"/>
      <c r="S490" s="2"/>
      <c r="T490" s="2"/>
      <c r="U490" s="2"/>
      <c r="V490" s="2"/>
      <c r="W490" s="2"/>
    </row>
    <row r="491" spans="1:23" ht="75" customHeight="1" x14ac:dyDescent="0.15">
      <c r="A491" s="2">
        <v>568</v>
      </c>
      <c r="B491" s="2" t="s">
        <v>575</v>
      </c>
      <c r="C491" s="2" t="s">
        <v>576</v>
      </c>
      <c r="D491" s="2" t="s">
        <v>577</v>
      </c>
      <c r="E491" s="2">
        <v>3</v>
      </c>
      <c r="F491" s="2">
        <v>3</v>
      </c>
      <c r="G491" s="2"/>
      <c r="H491" s="2"/>
      <c r="I491" s="2" t="b">
        <f t="shared" si="1"/>
        <v>1</v>
      </c>
      <c r="J491" s="2"/>
      <c r="K491" s="2"/>
      <c r="L491" s="2"/>
      <c r="M491" s="2"/>
      <c r="N491" s="2"/>
      <c r="O491" s="2"/>
      <c r="P491" s="2"/>
      <c r="Q491" s="2"/>
      <c r="R491" s="2"/>
      <c r="S491" s="2"/>
      <c r="T491" s="2"/>
      <c r="U491" s="2"/>
      <c r="V491" s="2"/>
      <c r="W491" s="2"/>
    </row>
    <row r="492" spans="1:23" ht="75" customHeight="1" x14ac:dyDescent="0.15">
      <c r="A492" s="2">
        <v>569</v>
      </c>
      <c r="B492" s="2" t="s">
        <v>575</v>
      </c>
      <c r="C492" s="2" t="s">
        <v>576</v>
      </c>
      <c r="D492" s="2" t="s">
        <v>578</v>
      </c>
      <c r="E492" s="2">
        <v>2</v>
      </c>
      <c r="F492" s="2" t="s">
        <v>162</v>
      </c>
      <c r="G492" s="3" t="s">
        <v>162</v>
      </c>
      <c r="H492" s="4" t="s">
        <v>579</v>
      </c>
      <c r="I492" s="2" t="b">
        <f t="shared" si="1"/>
        <v>0</v>
      </c>
      <c r="J492" s="2"/>
      <c r="K492" s="2"/>
      <c r="L492" s="2"/>
      <c r="M492" s="2"/>
      <c r="N492" s="2"/>
      <c r="O492" s="2"/>
      <c r="P492" s="2"/>
      <c r="Q492" s="2"/>
      <c r="R492" s="2"/>
      <c r="S492" s="2"/>
      <c r="T492" s="2"/>
      <c r="U492" s="2"/>
      <c r="V492" s="2"/>
      <c r="W492" s="2"/>
    </row>
    <row r="493" spans="1:23" ht="75" customHeight="1" x14ac:dyDescent="0.15">
      <c r="A493" s="2">
        <v>570</v>
      </c>
      <c r="B493" s="2" t="s">
        <v>575</v>
      </c>
      <c r="C493" s="2" t="s">
        <v>576</v>
      </c>
      <c r="D493" s="2" t="s">
        <v>580</v>
      </c>
      <c r="E493" s="2">
        <v>0</v>
      </c>
      <c r="F493" s="2">
        <v>0</v>
      </c>
      <c r="G493" s="2"/>
      <c r="H493" s="2"/>
      <c r="I493" s="2" t="b">
        <f t="shared" si="1"/>
        <v>1</v>
      </c>
      <c r="J493" s="2"/>
      <c r="K493" s="2"/>
      <c r="L493" s="2"/>
      <c r="M493" s="2"/>
      <c r="N493" s="2"/>
      <c r="O493" s="2"/>
      <c r="P493" s="2"/>
      <c r="Q493" s="2"/>
      <c r="R493" s="2"/>
      <c r="S493" s="2"/>
      <c r="T493" s="2"/>
      <c r="U493" s="2"/>
      <c r="V493" s="2"/>
      <c r="W493" s="2"/>
    </row>
    <row r="494" spans="1:23" ht="75" customHeight="1" x14ac:dyDescent="0.15">
      <c r="A494" s="2">
        <v>571</v>
      </c>
      <c r="B494" s="2" t="s">
        <v>575</v>
      </c>
      <c r="C494" s="2" t="s">
        <v>576</v>
      </c>
      <c r="D494" s="2" t="s">
        <v>581</v>
      </c>
      <c r="E494" s="2">
        <v>0</v>
      </c>
      <c r="F494" s="2">
        <v>0</v>
      </c>
      <c r="G494" s="2"/>
      <c r="H494" s="2"/>
      <c r="I494" s="2" t="b">
        <f t="shared" si="1"/>
        <v>1</v>
      </c>
      <c r="J494" s="2"/>
      <c r="K494" s="2"/>
      <c r="L494" s="2"/>
      <c r="M494" s="2"/>
      <c r="N494" s="2"/>
      <c r="O494" s="2"/>
      <c r="P494" s="2"/>
      <c r="Q494" s="2"/>
      <c r="R494" s="2"/>
      <c r="S494" s="2"/>
      <c r="T494" s="2"/>
      <c r="U494" s="2"/>
      <c r="V494" s="2"/>
      <c r="W494" s="2"/>
    </row>
    <row r="495" spans="1:23" ht="75" customHeight="1" x14ac:dyDescent="0.15">
      <c r="A495" s="2">
        <v>574</v>
      </c>
      <c r="B495" s="2" t="s">
        <v>575</v>
      </c>
      <c r="C495" s="2" t="s">
        <v>576</v>
      </c>
      <c r="D495" s="2" t="s">
        <v>582</v>
      </c>
      <c r="E495" s="2">
        <v>1</v>
      </c>
      <c r="F495" s="2">
        <v>1</v>
      </c>
      <c r="G495" s="2"/>
      <c r="H495" s="2"/>
      <c r="I495" s="2" t="b">
        <f t="shared" si="1"/>
        <v>1</v>
      </c>
      <c r="J495" s="2"/>
      <c r="K495" s="2"/>
      <c r="L495" s="2"/>
      <c r="M495" s="2"/>
      <c r="N495" s="2"/>
      <c r="O495" s="2"/>
      <c r="P495" s="2"/>
      <c r="Q495" s="2"/>
      <c r="R495" s="2"/>
      <c r="S495" s="2"/>
      <c r="T495" s="2"/>
      <c r="U495" s="2"/>
      <c r="V495" s="2"/>
      <c r="W495" s="2"/>
    </row>
    <row r="496" spans="1:23" ht="75" customHeight="1" x14ac:dyDescent="0.15">
      <c r="A496" s="2">
        <v>575</v>
      </c>
      <c r="B496" s="2" t="s">
        <v>575</v>
      </c>
      <c r="C496" s="2" t="s">
        <v>576</v>
      </c>
      <c r="D496" s="2" t="s">
        <v>583</v>
      </c>
      <c r="E496" s="2">
        <v>2</v>
      </c>
      <c r="F496" s="2">
        <v>2</v>
      </c>
      <c r="G496" s="2"/>
      <c r="H496" s="2"/>
      <c r="I496" s="2" t="b">
        <f t="shared" si="1"/>
        <v>1</v>
      </c>
      <c r="J496" s="2"/>
      <c r="K496" s="2"/>
      <c r="L496" s="2"/>
      <c r="M496" s="2"/>
      <c r="N496" s="2"/>
      <c r="O496" s="2"/>
      <c r="P496" s="2"/>
      <c r="Q496" s="2"/>
      <c r="R496" s="2"/>
      <c r="S496" s="2"/>
      <c r="T496" s="2"/>
      <c r="U496" s="2"/>
      <c r="V496" s="2"/>
      <c r="W496" s="2"/>
    </row>
    <row r="497" spans="1:23" ht="75" customHeight="1" x14ac:dyDescent="0.15">
      <c r="A497" s="2">
        <v>576</v>
      </c>
      <c r="B497" s="2" t="s">
        <v>575</v>
      </c>
      <c r="C497" s="2" t="s">
        <v>576</v>
      </c>
      <c r="D497" s="2" t="s">
        <v>584</v>
      </c>
      <c r="E497" s="2">
        <v>1</v>
      </c>
      <c r="F497" s="2">
        <v>1</v>
      </c>
      <c r="G497" s="2"/>
      <c r="H497" s="2"/>
      <c r="I497" s="2" t="b">
        <f t="shared" si="1"/>
        <v>1</v>
      </c>
      <c r="J497" s="2"/>
      <c r="K497" s="2"/>
      <c r="L497" s="2"/>
      <c r="M497" s="2"/>
      <c r="N497" s="2"/>
      <c r="O497" s="2"/>
      <c r="P497" s="2"/>
      <c r="Q497" s="2"/>
      <c r="R497" s="2"/>
      <c r="S497" s="2"/>
      <c r="T497" s="2"/>
      <c r="U497" s="2"/>
      <c r="V497" s="2"/>
      <c r="W497" s="2"/>
    </row>
    <row r="498" spans="1:23" ht="75" customHeight="1" x14ac:dyDescent="0.15">
      <c r="A498" s="2">
        <v>578</v>
      </c>
      <c r="B498" s="2" t="s">
        <v>575</v>
      </c>
      <c r="C498" s="2" t="s">
        <v>576</v>
      </c>
      <c r="D498" s="2" t="s">
        <v>585</v>
      </c>
      <c r="E498" s="2">
        <v>4</v>
      </c>
      <c r="F498" s="2">
        <v>4</v>
      </c>
      <c r="G498" s="2"/>
      <c r="H498" s="2"/>
      <c r="I498" s="2" t="b">
        <f t="shared" si="1"/>
        <v>1</v>
      </c>
      <c r="J498" s="2"/>
      <c r="K498" s="2"/>
      <c r="L498" s="2"/>
      <c r="M498" s="2"/>
      <c r="N498" s="2"/>
      <c r="O498" s="2"/>
      <c r="P498" s="2"/>
      <c r="Q498" s="2"/>
      <c r="R498" s="2"/>
      <c r="S498" s="2"/>
      <c r="T498" s="2"/>
      <c r="U498" s="2"/>
      <c r="V498" s="2"/>
      <c r="W498" s="2"/>
    </row>
    <row r="499" spans="1:23" ht="75" customHeight="1" x14ac:dyDescent="0.15">
      <c r="A499" s="2">
        <v>579</v>
      </c>
      <c r="B499" s="2" t="s">
        <v>575</v>
      </c>
      <c r="C499" s="2" t="s">
        <v>576</v>
      </c>
      <c r="D499" s="2" t="s">
        <v>586</v>
      </c>
      <c r="E499" s="2">
        <v>1</v>
      </c>
      <c r="F499" s="2">
        <v>1</v>
      </c>
      <c r="G499" s="2"/>
      <c r="H499" s="2"/>
      <c r="I499" s="2" t="b">
        <f t="shared" si="1"/>
        <v>1</v>
      </c>
      <c r="J499" s="2"/>
      <c r="K499" s="2"/>
      <c r="L499" s="2"/>
      <c r="M499" s="2"/>
      <c r="N499" s="2"/>
      <c r="O499" s="2"/>
      <c r="P499" s="2"/>
      <c r="Q499" s="2"/>
      <c r="R499" s="2"/>
      <c r="S499" s="2"/>
      <c r="T499" s="2"/>
      <c r="U499" s="2"/>
      <c r="V499" s="2"/>
      <c r="W499" s="2"/>
    </row>
    <row r="500" spans="1:23" ht="75" customHeight="1" x14ac:dyDescent="0.15">
      <c r="A500" s="2">
        <v>580</v>
      </c>
      <c r="B500" s="2" t="s">
        <v>575</v>
      </c>
      <c r="C500" s="2" t="s">
        <v>576</v>
      </c>
      <c r="D500" s="2" t="s">
        <v>587</v>
      </c>
      <c r="E500" s="2">
        <v>1</v>
      </c>
      <c r="F500" s="2">
        <v>1</v>
      </c>
      <c r="G500" s="2"/>
      <c r="H500" s="2"/>
      <c r="I500" s="2" t="b">
        <f t="shared" si="1"/>
        <v>1</v>
      </c>
      <c r="J500" s="2"/>
      <c r="K500" s="2"/>
      <c r="L500" s="2"/>
      <c r="M500" s="2"/>
      <c r="N500" s="2"/>
      <c r="O500" s="2"/>
      <c r="P500" s="2"/>
      <c r="Q500" s="2"/>
      <c r="R500" s="2"/>
      <c r="S500" s="2"/>
      <c r="T500" s="2"/>
      <c r="U500" s="2"/>
      <c r="V500" s="2"/>
      <c r="W500" s="2"/>
    </row>
    <row r="501" spans="1:23" ht="75" customHeight="1" x14ac:dyDescent="0.15">
      <c r="A501" s="2">
        <v>581</v>
      </c>
      <c r="B501" s="2" t="s">
        <v>575</v>
      </c>
      <c r="C501" s="2" t="s">
        <v>576</v>
      </c>
      <c r="D501" s="2" t="s">
        <v>588</v>
      </c>
      <c r="E501" s="2">
        <v>3</v>
      </c>
      <c r="F501" s="2">
        <v>3</v>
      </c>
      <c r="G501" s="2"/>
      <c r="H501" s="2"/>
      <c r="I501" s="2" t="b">
        <f t="shared" si="1"/>
        <v>1</v>
      </c>
      <c r="J501" s="2"/>
      <c r="K501" s="2"/>
      <c r="L501" s="2"/>
      <c r="M501" s="2"/>
      <c r="N501" s="2"/>
      <c r="O501" s="2"/>
      <c r="P501" s="2"/>
      <c r="Q501" s="2"/>
      <c r="R501" s="2"/>
      <c r="S501" s="2"/>
      <c r="T501" s="2"/>
      <c r="U501" s="2"/>
      <c r="V501" s="2"/>
      <c r="W501" s="2"/>
    </row>
    <row r="502" spans="1:23" ht="75" customHeight="1" x14ac:dyDescent="0.15">
      <c r="A502" s="2">
        <v>582</v>
      </c>
      <c r="B502" s="2" t="s">
        <v>575</v>
      </c>
      <c r="C502" s="2" t="s">
        <v>576</v>
      </c>
      <c r="D502" s="2" t="s">
        <v>589</v>
      </c>
      <c r="E502" s="2">
        <v>2</v>
      </c>
      <c r="F502" s="2">
        <v>2</v>
      </c>
      <c r="G502" s="2"/>
      <c r="H502" s="2"/>
      <c r="I502" s="2" t="b">
        <f t="shared" si="1"/>
        <v>1</v>
      </c>
      <c r="J502" s="2"/>
      <c r="K502" s="2"/>
      <c r="L502" s="2"/>
      <c r="M502" s="2"/>
      <c r="N502" s="2"/>
      <c r="O502" s="2"/>
      <c r="P502" s="2"/>
      <c r="Q502" s="2"/>
      <c r="R502" s="2"/>
      <c r="S502" s="2"/>
      <c r="T502" s="2"/>
      <c r="U502" s="2"/>
      <c r="V502" s="2"/>
      <c r="W502" s="2"/>
    </row>
    <row r="503" spans="1:23" ht="75" customHeight="1" x14ac:dyDescent="0.15">
      <c r="A503" s="2">
        <v>583</v>
      </c>
      <c r="B503" s="2" t="s">
        <v>575</v>
      </c>
      <c r="C503" s="2" t="s">
        <v>576</v>
      </c>
      <c r="D503" s="2" t="s">
        <v>590</v>
      </c>
      <c r="E503" s="2">
        <v>3</v>
      </c>
      <c r="F503" s="2">
        <v>3</v>
      </c>
      <c r="G503" s="2"/>
      <c r="H503" s="2"/>
      <c r="I503" s="2" t="b">
        <f t="shared" si="1"/>
        <v>1</v>
      </c>
      <c r="J503" s="2"/>
      <c r="K503" s="2"/>
      <c r="L503" s="2"/>
      <c r="M503" s="2"/>
      <c r="N503" s="2"/>
      <c r="O503" s="2"/>
      <c r="P503" s="2"/>
      <c r="Q503" s="2"/>
      <c r="R503" s="2"/>
      <c r="S503" s="2"/>
      <c r="T503" s="2"/>
      <c r="U503" s="2"/>
      <c r="V503" s="2"/>
      <c r="W503" s="2"/>
    </row>
    <row r="504" spans="1:23" ht="75" customHeight="1" x14ac:dyDescent="0.15">
      <c r="A504" s="2">
        <v>584</v>
      </c>
      <c r="B504" s="2" t="s">
        <v>575</v>
      </c>
      <c r="C504" s="2" t="s">
        <v>576</v>
      </c>
      <c r="D504" s="2" t="s">
        <v>591</v>
      </c>
      <c r="E504" s="2">
        <v>1</v>
      </c>
      <c r="F504" s="2">
        <v>1</v>
      </c>
      <c r="G504" s="2"/>
      <c r="H504" s="2"/>
      <c r="I504" s="2" t="b">
        <f t="shared" si="1"/>
        <v>1</v>
      </c>
      <c r="J504" s="2"/>
      <c r="K504" s="2"/>
      <c r="L504" s="2"/>
      <c r="M504" s="2"/>
      <c r="N504" s="2"/>
      <c r="O504" s="2"/>
      <c r="P504" s="2"/>
      <c r="Q504" s="2"/>
      <c r="R504" s="2"/>
      <c r="S504" s="2"/>
      <c r="T504" s="2"/>
      <c r="U504" s="2"/>
      <c r="V504" s="2"/>
      <c r="W504" s="2"/>
    </row>
    <row r="505" spans="1:23" ht="75" customHeight="1" x14ac:dyDescent="0.15">
      <c r="A505" s="2">
        <v>585</v>
      </c>
      <c r="B505" s="2" t="s">
        <v>575</v>
      </c>
      <c r="C505" s="2" t="s">
        <v>576</v>
      </c>
      <c r="D505" s="2" t="s">
        <v>592</v>
      </c>
      <c r="E505" s="2">
        <v>3</v>
      </c>
      <c r="F505" s="2">
        <v>3</v>
      </c>
      <c r="G505" s="2"/>
      <c r="H505" s="2"/>
      <c r="I505" s="2" t="b">
        <f t="shared" si="1"/>
        <v>1</v>
      </c>
      <c r="J505" s="2"/>
      <c r="K505" s="2"/>
      <c r="L505" s="2"/>
      <c r="M505" s="2"/>
      <c r="N505" s="2"/>
      <c r="O505" s="2"/>
      <c r="P505" s="2"/>
      <c r="Q505" s="2"/>
      <c r="R505" s="2"/>
      <c r="S505" s="2"/>
      <c r="T505" s="2"/>
      <c r="U505" s="2"/>
      <c r="V505" s="2"/>
      <c r="W505" s="2"/>
    </row>
    <row r="506" spans="1:23" ht="75" customHeight="1" x14ac:dyDescent="0.15">
      <c r="A506" s="2">
        <v>586</v>
      </c>
      <c r="B506" s="2" t="s">
        <v>575</v>
      </c>
      <c r="C506" s="2" t="s">
        <v>576</v>
      </c>
      <c r="D506" s="2" t="s">
        <v>593</v>
      </c>
      <c r="E506" s="2">
        <v>0</v>
      </c>
      <c r="F506" s="2">
        <v>0</v>
      </c>
      <c r="G506" s="2"/>
      <c r="H506" s="2"/>
      <c r="I506" s="2" t="b">
        <f t="shared" si="1"/>
        <v>1</v>
      </c>
      <c r="J506" s="2"/>
      <c r="K506" s="2"/>
      <c r="L506" s="2"/>
      <c r="M506" s="2"/>
      <c r="N506" s="2"/>
      <c r="O506" s="2"/>
      <c r="P506" s="2"/>
      <c r="Q506" s="2"/>
      <c r="R506" s="2"/>
      <c r="S506" s="2"/>
      <c r="T506" s="2"/>
      <c r="U506" s="2"/>
      <c r="V506" s="2"/>
      <c r="W506" s="2"/>
    </row>
    <row r="507" spans="1:23" ht="75" customHeight="1" x14ac:dyDescent="0.15">
      <c r="A507" s="2">
        <v>587</v>
      </c>
      <c r="B507" s="2" t="s">
        <v>575</v>
      </c>
      <c r="C507" s="2" t="s">
        <v>576</v>
      </c>
      <c r="D507" s="2" t="s">
        <v>594</v>
      </c>
      <c r="E507" s="2">
        <v>2</v>
      </c>
      <c r="F507" s="2">
        <v>2</v>
      </c>
      <c r="G507" s="2"/>
      <c r="H507" s="2"/>
      <c r="I507" s="2" t="b">
        <f t="shared" si="1"/>
        <v>1</v>
      </c>
      <c r="J507" s="2"/>
      <c r="K507" s="2"/>
      <c r="L507" s="2"/>
      <c r="M507" s="2"/>
      <c r="N507" s="2"/>
      <c r="O507" s="2"/>
      <c r="P507" s="2"/>
      <c r="Q507" s="2"/>
      <c r="R507" s="2"/>
      <c r="S507" s="2"/>
      <c r="T507" s="2"/>
      <c r="U507" s="2"/>
      <c r="V507" s="2"/>
      <c r="W507" s="2"/>
    </row>
    <row r="508" spans="1:23" ht="75" customHeight="1" x14ac:dyDescent="0.15">
      <c r="A508" s="2">
        <v>589</v>
      </c>
      <c r="B508" s="2" t="s">
        <v>595</v>
      </c>
      <c r="C508" s="2" t="s">
        <v>596</v>
      </c>
      <c r="D508" s="2" t="s">
        <v>597</v>
      </c>
      <c r="E508" s="2">
        <v>1</v>
      </c>
      <c r="F508" s="2">
        <v>1</v>
      </c>
      <c r="G508" s="2"/>
      <c r="H508" s="2"/>
      <c r="I508" s="2" t="b">
        <f t="shared" si="1"/>
        <v>1</v>
      </c>
      <c r="J508" s="2"/>
      <c r="K508" s="2"/>
      <c r="L508" s="2"/>
      <c r="M508" s="2"/>
      <c r="N508" s="2"/>
      <c r="O508" s="2"/>
      <c r="P508" s="2"/>
      <c r="Q508" s="2"/>
      <c r="R508" s="2"/>
      <c r="S508" s="2"/>
      <c r="T508" s="2"/>
      <c r="U508" s="2"/>
      <c r="V508" s="2"/>
      <c r="W508" s="2"/>
    </row>
    <row r="509" spans="1:23" ht="75" customHeight="1" x14ac:dyDescent="0.15">
      <c r="A509" s="2">
        <v>590</v>
      </c>
      <c r="B509" s="2" t="s">
        <v>595</v>
      </c>
      <c r="C509" s="2" t="s">
        <v>596</v>
      </c>
      <c r="D509" s="2" t="s">
        <v>598</v>
      </c>
      <c r="E509" s="2">
        <v>3</v>
      </c>
      <c r="F509" s="2">
        <v>3</v>
      </c>
      <c r="G509" s="2"/>
      <c r="H509" s="2"/>
      <c r="I509" s="2" t="b">
        <f t="shared" si="1"/>
        <v>1</v>
      </c>
      <c r="J509" s="2"/>
      <c r="K509" s="2"/>
      <c r="L509" s="2"/>
      <c r="M509" s="2"/>
      <c r="N509" s="2"/>
      <c r="O509" s="2"/>
      <c r="P509" s="2"/>
      <c r="Q509" s="2"/>
      <c r="R509" s="2"/>
      <c r="S509" s="2"/>
      <c r="T509" s="2"/>
      <c r="U509" s="2"/>
      <c r="V509" s="2"/>
      <c r="W509" s="2"/>
    </row>
    <row r="510" spans="1:23" ht="75" customHeight="1" x14ac:dyDescent="0.15">
      <c r="A510" s="2">
        <v>591</v>
      </c>
      <c r="B510" s="2" t="s">
        <v>595</v>
      </c>
      <c r="C510" s="2" t="s">
        <v>596</v>
      </c>
      <c r="D510" s="2" t="s">
        <v>599</v>
      </c>
      <c r="E510" s="2">
        <v>1</v>
      </c>
      <c r="F510" s="2">
        <v>1</v>
      </c>
      <c r="G510" s="2"/>
      <c r="H510" s="2"/>
      <c r="I510" s="2" t="b">
        <f t="shared" si="1"/>
        <v>1</v>
      </c>
      <c r="J510" s="2"/>
      <c r="K510" s="2"/>
      <c r="L510" s="2"/>
      <c r="M510" s="2"/>
      <c r="N510" s="2"/>
      <c r="O510" s="2"/>
      <c r="P510" s="2"/>
      <c r="Q510" s="2"/>
      <c r="R510" s="2"/>
      <c r="S510" s="2"/>
      <c r="T510" s="2"/>
      <c r="U510" s="2"/>
      <c r="V510" s="2"/>
      <c r="W510" s="2"/>
    </row>
    <row r="511" spans="1:23" ht="75" customHeight="1" x14ac:dyDescent="0.15">
      <c r="A511" s="2">
        <v>592</v>
      </c>
      <c r="B511" s="2" t="s">
        <v>595</v>
      </c>
      <c r="C511" s="2" t="s">
        <v>596</v>
      </c>
      <c r="D511" s="2" t="s">
        <v>600</v>
      </c>
      <c r="E511" s="2">
        <v>0</v>
      </c>
      <c r="F511" s="2">
        <v>0</v>
      </c>
      <c r="G511" s="3">
        <v>0</v>
      </c>
      <c r="H511" s="4" t="s">
        <v>601</v>
      </c>
      <c r="I511" s="2" t="b">
        <f t="shared" si="1"/>
        <v>1</v>
      </c>
      <c r="J511" s="2"/>
      <c r="K511" s="2"/>
      <c r="L511" s="2"/>
      <c r="M511" s="2"/>
      <c r="N511" s="2"/>
      <c r="O511" s="2"/>
      <c r="P511" s="2"/>
      <c r="Q511" s="2"/>
      <c r="R511" s="2"/>
      <c r="S511" s="2"/>
      <c r="T511" s="2"/>
      <c r="U511" s="2"/>
      <c r="V511" s="2"/>
      <c r="W511" s="2"/>
    </row>
    <row r="512" spans="1:23" ht="75" customHeight="1" x14ac:dyDescent="0.15">
      <c r="A512" s="2">
        <v>593</v>
      </c>
      <c r="B512" s="2" t="s">
        <v>595</v>
      </c>
      <c r="C512" s="2" t="s">
        <v>596</v>
      </c>
      <c r="D512" s="2" t="s">
        <v>602</v>
      </c>
      <c r="E512" s="2">
        <v>1</v>
      </c>
      <c r="F512" s="2">
        <v>1</v>
      </c>
      <c r="G512" s="2"/>
      <c r="H512" s="2"/>
      <c r="I512" s="2" t="b">
        <f t="shared" ref="I512:I766" si="2">E512=F512</f>
        <v>1</v>
      </c>
      <c r="J512" s="2"/>
      <c r="K512" s="2"/>
      <c r="L512" s="2"/>
      <c r="M512" s="2"/>
      <c r="N512" s="2"/>
      <c r="O512" s="2"/>
      <c r="P512" s="2"/>
      <c r="Q512" s="2"/>
      <c r="R512" s="2"/>
      <c r="S512" s="2"/>
      <c r="T512" s="2"/>
      <c r="U512" s="2"/>
      <c r="V512" s="2"/>
      <c r="W512" s="2"/>
    </row>
    <row r="513" spans="1:23" ht="75" customHeight="1" x14ac:dyDescent="0.15">
      <c r="A513" s="2">
        <v>594</v>
      </c>
      <c r="B513" s="2" t="s">
        <v>595</v>
      </c>
      <c r="C513" s="2" t="s">
        <v>596</v>
      </c>
      <c r="D513" s="2" t="s">
        <v>603</v>
      </c>
      <c r="E513" s="2">
        <v>3</v>
      </c>
      <c r="F513" s="2">
        <v>3</v>
      </c>
      <c r="G513" s="2"/>
      <c r="H513" s="2"/>
      <c r="I513" s="2" t="b">
        <f t="shared" si="2"/>
        <v>1</v>
      </c>
      <c r="J513" s="2"/>
      <c r="K513" s="2"/>
      <c r="L513" s="2"/>
      <c r="M513" s="2"/>
      <c r="N513" s="2"/>
      <c r="O513" s="2"/>
      <c r="P513" s="2"/>
      <c r="Q513" s="2"/>
      <c r="R513" s="2"/>
      <c r="S513" s="2"/>
      <c r="T513" s="2"/>
      <c r="U513" s="2"/>
      <c r="V513" s="2"/>
      <c r="W513" s="2"/>
    </row>
    <row r="514" spans="1:23" ht="75" customHeight="1" x14ac:dyDescent="0.15">
      <c r="A514" s="2">
        <v>595</v>
      </c>
      <c r="B514" s="2" t="s">
        <v>595</v>
      </c>
      <c r="C514" s="2" t="s">
        <v>596</v>
      </c>
      <c r="D514" s="2" t="s">
        <v>604</v>
      </c>
      <c r="E514" s="2">
        <v>2</v>
      </c>
      <c r="F514" s="2">
        <v>2</v>
      </c>
      <c r="G514" s="2"/>
      <c r="H514" s="2"/>
      <c r="I514" s="2" t="b">
        <f t="shared" si="2"/>
        <v>1</v>
      </c>
      <c r="J514" s="2"/>
      <c r="K514" s="2"/>
      <c r="L514" s="2"/>
      <c r="M514" s="2"/>
      <c r="N514" s="2"/>
      <c r="O514" s="2"/>
      <c r="P514" s="2"/>
      <c r="Q514" s="2"/>
      <c r="R514" s="2"/>
      <c r="S514" s="2"/>
      <c r="T514" s="2"/>
      <c r="U514" s="2"/>
      <c r="V514" s="2"/>
      <c r="W514" s="2"/>
    </row>
    <row r="515" spans="1:23" ht="75" customHeight="1" x14ac:dyDescent="0.15">
      <c r="A515" s="2">
        <v>596</v>
      </c>
      <c r="B515" s="2" t="s">
        <v>595</v>
      </c>
      <c r="C515" s="2" t="s">
        <v>596</v>
      </c>
      <c r="D515" s="2" t="s">
        <v>605</v>
      </c>
      <c r="E515" s="2">
        <v>1</v>
      </c>
      <c r="F515" s="2">
        <v>1</v>
      </c>
      <c r="G515" s="2"/>
      <c r="H515" s="2"/>
      <c r="I515" s="2" t="b">
        <f t="shared" si="2"/>
        <v>1</v>
      </c>
      <c r="J515" s="2"/>
      <c r="K515" s="2"/>
      <c r="L515" s="2"/>
      <c r="M515" s="2"/>
      <c r="N515" s="2"/>
      <c r="O515" s="2"/>
      <c r="P515" s="2"/>
      <c r="Q515" s="2"/>
      <c r="R515" s="2"/>
      <c r="S515" s="2"/>
      <c r="T515" s="2"/>
      <c r="U515" s="2"/>
      <c r="V515" s="2"/>
      <c r="W515" s="2"/>
    </row>
    <row r="516" spans="1:23" ht="75" customHeight="1" x14ac:dyDescent="0.15">
      <c r="A516" s="2">
        <v>597</v>
      </c>
      <c r="B516" s="2" t="s">
        <v>595</v>
      </c>
      <c r="C516" s="2" t="s">
        <v>596</v>
      </c>
      <c r="D516" s="2" t="s">
        <v>606</v>
      </c>
      <c r="E516" s="2">
        <v>3</v>
      </c>
      <c r="F516" s="2">
        <v>3</v>
      </c>
      <c r="G516" s="2"/>
      <c r="H516" s="2"/>
      <c r="I516" s="2" t="b">
        <f t="shared" si="2"/>
        <v>1</v>
      </c>
      <c r="J516" s="2"/>
      <c r="K516" s="2"/>
      <c r="L516" s="2"/>
      <c r="M516" s="2"/>
      <c r="N516" s="2"/>
      <c r="O516" s="2"/>
      <c r="P516" s="2"/>
      <c r="Q516" s="2"/>
      <c r="R516" s="2"/>
      <c r="S516" s="2"/>
      <c r="T516" s="2"/>
      <c r="U516" s="2"/>
      <c r="V516" s="2"/>
      <c r="W516" s="2"/>
    </row>
    <row r="517" spans="1:23" ht="75" customHeight="1" x14ac:dyDescent="0.15">
      <c r="A517" s="2">
        <v>598</v>
      </c>
      <c r="B517" s="2" t="s">
        <v>595</v>
      </c>
      <c r="C517" s="2" t="s">
        <v>596</v>
      </c>
      <c r="D517" s="2" t="s">
        <v>607</v>
      </c>
      <c r="E517" s="2">
        <v>1</v>
      </c>
      <c r="F517" s="2">
        <v>1</v>
      </c>
      <c r="G517" s="2"/>
      <c r="H517" s="2"/>
      <c r="I517" s="2" t="b">
        <f t="shared" si="2"/>
        <v>1</v>
      </c>
      <c r="J517" s="2"/>
      <c r="K517" s="2"/>
      <c r="L517" s="2"/>
      <c r="M517" s="2"/>
      <c r="N517" s="2"/>
      <c r="O517" s="2"/>
      <c r="P517" s="2"/>
      <c r="Q517" s="2"/>
      <c r="R517" s="2"/>
      <c r="S517" s="2"/>
      <c r="T517" s="2"/>
      <c r="U517" s="2"/>
      <c r="V517" s="2"/>
      <c r="W517" s="2"/>
    </row>
    <row r="518" spans="1:23" ht="75" customHeight="1" x14ac:dyDescent="0.15">
      <c r="A518" s="2">
        <v>599</v>
      </c>
      <c r="B518" s="2" t="s">
        <v>595</v>
      </c>
      <c r="C518" s="2" t="s">
        <v>596</v>
      </c>
      <c r="D518" s="2" t="s">
        <v>608</v>
      </c>
      <c r="E518" s="2">
        <v>0</v>
      </c>
      <c r="F518" s="2">
        <v>0</v>
      </c>
      <c r="G518" s="2"/>
      <c r="H518" s="2"/>
      <c r="I518" s="2" t="b">
        <f t="shared" si="2"/>
        <v>1</v>
      </c>
      <c r="J518" s="2"/>
      <c r="K518" s="2"/>
      <c r="L518" s="2"/>
      <c r="M518" s="2"/>
      <c r="N518" s="2"/>
      <c r="O518" s="2"/>
      <c r="P518" s="2"/>
      <c r="Q518" s="2"/>
      <c r="R518" s="2"/>
      <c r="S518" s="2"/>
      <c r="T518" s="2"/>
      <c r="U518" s="2"/>
      <c r="V518" s="2"/>
      <c r="W518" s="2"/>
    </row>
    <row r="519" spans="1:23" ht="75" customHeight="1" x14ac:dyDescent="0.15">
      <c r="A519" s="2">
        <v>600</v>
      </c>
      <c r="B519" s="2" t="s">
        <v>595</v>
      </c>
      <c r="C519" s="2" t="s">
        <v>596</v>
      </c>
      <c r="D519" s="2" t="s">
        <v>609</v>
      </c>
      <c r="E519" s="2">
        <v>0</v>
      </c>
      <c r="F519" s="2">
        <v>0</v>
      </c>
      <c r="G519" s="2"/>
      <c r="H519" s="2"/>
      <c r="I519" s="2" t="b">
        <f t="shared" si="2"/>
        <v>1</v>
      </c>
      <c r="J519" s="2"/>
      <c r="K519" s="2"/>
      <c r="L519" s="2"/>
      <c r="M519" s="2"/>
      <c r="N519" s="2"/>
      <c r="O519" s="2"/>
      <c r="P519" s="2"/>
      <c r="Q519" s="2"/>
      <c r="R519" s="2"/>
      <c r="S519" s="2"/>
      <c r="T519" s="2"/>
      <c r="U519" s="2"/>
      <c r="V519" s="2"/>
      <c r="W519" s="2"/>
    </row>
    <row r="520" spans="1:23" ht="75" customHeight="1" x14ac:dyDescent="0.15">
      <c r="A520" s="2">
        <v>601</v>
      </c>
      <c r="B520" s="2" t="s">
        <v>595</v>
      </c>
      <c r="C520" s="2" t="s">
        <v>596</v>
      </c>
      <c r="D520" s="2" t="s">
        <v>610</v>
      </c>
      <c r="E520" s="2">
        <v>2</v>
      </c>
      <c r="F520" s="2">
        <v>2</v>
      </c>
      <c r="G520" s="2"/>
      <c r="H520" s="2"/>
      <c r="I520" s="2" t="b">
        <f t="shared" si="2"/>
        <v>1</v>
      </c>
      <c r="J520" s="2"/>
      <c r="K520" s="2"/>
      <c r="L520" s="2"/>
      <c r="M520" s="2"/>
      <c r="N520" s="2"/>
      <c r="O520" s="2"/>
      <c r="P520" s="2"/>
      <c r="Q520" s="2"/>
      <c r="R520" s="2"/>
      <c r="S520" s="2"/>
      <c r="T520" s="2"/>
      <c r="U520" s="2"/>
      <c r="V520" s="2"/>
      <c r="W520" s="2"/>
    </row>
    <row r="521" spans="1:23" ht="75" customHeight="1" x14ac:dyDescent="0.15">
      <c r="A521" s="2">
        <v>602</v>
      </c>
      <c r="B521" s="2" t="s">
        <v>595</v>
      </c>
      <c r="C521" s="2" t="s">
        <v>596</v>
      </c>
      <c r="D521" s="2" t="s">
        <v>611</v>
      </c>
      <c r="E521" s="2">
        <v>3</v>
      </c>
      <c r="F521" s="2">
        <v>3</v>
      </c>
      <c r="G521" s="2"/>
      <c r="H521" s="2"/>
      <c r="I521" s="2" t="b">
        <f t="shared" si="2"/>
        <v>1</v>
      </c>
      <c r="J521" s="2"/>
      <c r="K521" s="2"/>
      <c r="L521" s="2"/>
      <c r="M521" s="2"/>
      <c r="N521" s="2"/>
      <c r="O521" s="2"/>
      <c r="P521" s="2"/>
      <c r="Q521" s="2"/>
      <c r="R521" s="2"/>
      <c r="S521" s="2"/>
      <c r="T521" s="2"/>
      <c r="U521" s="2"/>
      <c r="V521" s="2"/>
      <c r="W521" s="2"/>
    </row>
    <row r="522" spans="1:23" ht="75" customHeight="1" x14ac:dyDescent="0.15">
      <c r="A522" s="2">
        <v>604</v>
      </c>
      <c r="B522" s="2" t="s">
        <v>595</v>
      </c>
      <c r="C522" s="2" t="s">
        <v>596</v>
      </c>
      <c r="D522" s="2" t="s">
        <v>612</v>
      </c>
      <c r="E522" s="2">
        <v>3</v>
      </c>
      <c r="F522" s="2">
        <v>3</v>
      </c>
      <c r="G522" s="2"/>
      <c r="H522" s="2"/>
      <c r="I522" s="2" t="b">
        <f t="shared" si="2"/>
        <v>1</v>
      </c>
      <c r="J522" s="2"/>
      <c r="K522" s="2"/>
      <c r="L522" s="2"/>
      <c r="M522" s="2"/>
      <c r="N522" s="2"/>
      <c r="O522" s="2"/>
      <c r="P522" s="2"/>
      <c r="Q522" s="2"/>
      <c r="R522" s="2"/>
      <c r="S522" s="2"/>
      <c r="T522" s="2"/>
      <c r="U522" s="2"/>
      <c r="V522" s="2"/>
      <c r="W522" s="2"/>
    </row>
    <row r="523" spans="1:23" ht="75" customHeight="1" x14ac:dyDescent="0.15">
      <c r="A523" s="2">
        <v>606</v>
      </c>
      <c r="B523" s="2" t="s">
        <v>595</v>
      </c>
      <c r="C523" s="2" t="s">
        <v>596</v>
      </c>
      <c r="D523" s="2" t="s">
        <v>613</v>
      </c>
      <c r="E523" s="2">
        <v>1</v>
      </c>
      <c r="F523" s="2">
        <v>1</v>
      </c>
      <c r="G523" s="2"/>
      <c r="H523" s="2"/>
      <c r="I523" s="2" t="b">
        <f t="shared" si="2"/>
        <v>1</v>
      </c>
      <c r="J523" s="2"/>
      <c r="K523" s="2"/>
      <c r="L523" s="2"/>
      <c r="M523" s="2"/>
      <c r="N523" s="2"/>
      <c r="O523" s="2"/>
      <c r="P523" s="2"/>
      <c r="Q523" s="2"/>
      <c r="R523" s="2"/>
      <c r="S523" s="2"/>
      <c r="T523" s="2"/>
      <c r="U523" s="2"/>
      <c r="V523" s="2"/>
      <c r="W523" s="2"/>
    </row>
    <row r="524" spans="1:23" ht="75" customHeight="1" x14ac:dyDescent="0.15">
      <c r="A524" s="2">
        <v>607</v>
      </c>
      <c r="B524" s="2" t="s">
        <v>595</v>
      </c>
      <c r="C524" s="2" t="s">
        <v>596</v>
      </c>
      <c r="D524" s="2" t="s">
        <v>614</v>
      </c>
      <c r="E524" s="2">
        <v>1</v>
      </c>
      <c r="F524" s="2">
        <v>1</v>
      </c>
      <c r="G524" s="2"/>
      <c r="H524" s="2"/>
      <c r="I524" s="2" t="b">
        <f t="shared" si="2"/>
        <v>1</v>
      </c>
      <c r="J524" s="2"/>
      <c r="K524" s="2"/>
      <c r="L524" s="2"/>
      <c r="M524" s="2"/>
      <c r="N524" s="2"/>
      <c r="O524" s="2"/>
      <c r="P524" s="2"/>
      <c r="Q524" s="2"/>
      <c r="R524" s="2"/>
      <c r="S524" s="2"/>
      <c r="T524" s="2"/>
      <c r="U524" s="2"/>
      <c r="V524" s="2"/>
      <c r="W524" s="2"/>
    </row>
    <row r="525" spans="1:23" ht="75" customHeight="1" x14ac:dyDescent="0.15">
      <c r="A525" s="2">
        <v>608</v>
      </c>
      <c r="B525" s="2" t="s">
        <v>615</v>
      </c>
      <c r="C525" s="2" t="s">
        <v>616</v>
      </c>
      <c r="D525" s="2" t="s">
        <v>617</v>
      </c>
      <c r="E525" s="2">
        <v>413.45</v>
      </c>
      <c r="F525" s="2">
        <v>413.45</v>
      </c>
      <c r="G525" s="2"/>
      <c r="H525" s="2"/>
      <c r="I525" s="2" t="b">
        <f t="shared" si="2"/>
        <v>1</v>
      </c>
      <c r="J525" s="2"/>
      <c r="K525" s="2"/>
      <c r="L525" s="2"/>
      <c r="M525" s="2"/>
      <c r="N525" s="2"/>
      <c r="O525" s="2"/>
      <c r="P525" s="2"/>
      <c r="Q525" s="2"/>
      <c r="R525" s="2"/>
      <c r="S525" s="2"/>
      <c r="T525" s="2"/>
      <c r="U525" s="2"/>
      <c r="V525" s="2"/>
      <c r="W525" s="2"/>
    </row>
    <row r="526" spans="1:23" ht="75" customHeight="1" x14ac:dyDescent="0.15">
      <c r="A526" s="2">
        <v>609</v>
      </c>
      <c r="B526" s="2" t="s">
        <v>615</v>
      </c>
      <c r="C526" s="2" t="s">
        <v>616</v>
      </c>
      <c r="D526" s="2" t="s">
        <v>618</v>
      </c>
      <c r="E526" s="2">
        <v>447.88</v>
      </c>
      <c r="F526" s="2">
        <v>447.88</v>
      </c>
      <c r="G526" s="2"/>
      <c r="H526" s="2"/>
      <c r="I526" s="2" t="b">
        <f t="shared" si="2"/>
        <v>1</v>
      </c>
      <c r="J526" s="2"/>
      <c r="K526" s="2"/>
      <c r="L526" s="2"/>
      <c r="M526" s="2"/>
      <c r="N526" s="2"/>
      <c r="O526" s="2"/>
      <c r="P526" s="2"/>
      <c r="Q526" s="2"/>
      <c r="R526" s="2"/>
      <c r="S526" s="2"/>
      <c r="T526" s="2"/>
      <c r="U526" s="2"/>
      <c r="V526" s="2"/>
      <c r="W526" s="2"/>
    </row>
    <row r="527" spans="1:23" ht="75" customHeight="1" x14ac:dyDescent="0.15">
      <c r="A527" s="2">
        <v>610</v>
      </c>
      <c r="B527" s="2" t="s">
        <v>615</v>
      </c>
      <c r="C527" s="2" t="s">
        <v>616</v>
      </c>
      <c r="D527" s="2" t="s">
        <v>619</v>
      </c>
      <c r="E527" s="2">
        <v>412.28</v>
      </c>
      <c r="F527" s="2">
        <v>412.28</v>
      </c>
      <c r="G527" s="2"/>
      <c r="H527" s="2"/>
      <c r="I527" s="2" t="b">
        <f t="shared" si="2"/>
        <v>1</v>
      </c>
      <c r="J527" s="2"/>
      <c r="K527" s="2"/>
      <c r="L527" s="2"/>
      <c r="M527" s="2"/>
      <c r="N527" s="2"/>
      <c r="O527" s="2"/>
      <c r="P527" s="2"/>
      <c r="Q527" s="2"/>
      <c r="R527" s="2"/>
      <c r="S527" s="2"/>
      <c r="T527" s="2"/>
      <c r="U527" s="2"/>
      <c r="V527" s="2"/>
      <c r="W527" s="2"/>
    </row>
    <row r="528" spans="1:23" ht="75" customHeight="1" x14ac:dyDescent="0.15">
      <c r="A528" s="2">
        <v>611</v>
      </c>
      <c r="B528" s="2" t="s">
        <v>615</v>
      </c>
      <c r="C528" s="2" t="s">
        <v>616</v>
      </c>
      <c r="D528" s="2" t="s">
        <v>620</v>
      </c>
      <c r="E528" s="2">
        <v>299.82</v>
      </c>
      <c r="F528" s="2">
        <v>299.82</v>
      </c>
      <c r="G528" s="2"/>
      <c r="H528" s="2"/>
      <c r="I528" s="2" t="b">
        <f t="shared" si="2"/>
        <v>1</v>
      </c>
      <c r="J528" s="2"/>
      <c r="K528" s="2"/>
      <c r="L528" s="2"/>
      <c r="M528" s="2"/>
      <c r="N528" s="2"/>
      <c r="O528" s="2"/>
      <c r="P528" s="2"/>
      <c r="Q528" s="2"/>
      <c r="R528" s="2"/>
      <c r="S528" s="2"/>
      <c r="T528" s="2"/>
      <c r="U528" s="2"/>
      <c r="V528" s="2"/>
      <c r="W528" s="2"/>
    </row>
    <row r="529" spans="1:23" ht="75" customHeight="1" x14ac:dyDescent="0.15">
      <c r="A529" s="2">
        <v>612</v>
      </c>
      <c r="B529" s="2" t="s">
        <v>615</v>
      </c>
      <c r="C529" s="2" t="s">
        <v>616</v>
      </c>
      <c r="D529" s="2" t="s">
        <v>621</v>
      </c>
      <c r="E529" s="2">
        <v>376.35</v>
      </c>
      <c r="F529" s="2">
        <v>376.35</v>
      </c>
      <c r="G529" s="2"/>
      <c r="H529" s="2"/>
      <c r="I529" s="2" t="b">
        <f t="shared" si="2"/>
        <v>1</v>
      </c>
      <c r="J529" s="2"/>
      <c r="K529" s="2"/>
      <c r="L529" s="2"/>
      <c r="M529" s="2"/>
      <c r="N529" s="2"/>
      <c r="O529" s="2"/>
      <c r="P529" s="2"/>
      <c r="Q529" s="2"/>
      <c r="R529" s="2"/>
      <c r="S529" s="2"/>
      <c r="T529" s="2"/>
      <c r="U529" s="2"/>
      <c r="V529" s="2"/>
      <c r="W529" s="2"/>
    </row>
    <row r="530" spans="1:23" ht="75" customHeight="1" x14ac:dyDescent="0.15">
      <c r="A530" s="2">
        <v>613</v>
      </c>
      <c r="B530" s="2" t="s">
        <v>615</v>
      </c>
      <c r="C530" s="2" t="s">
        <v>616</v>
      </c>
      <c r="D530" s="2" t="s">
        <v>196</v>
      </c>
      <c r="E530" s="2">
        <v>306.33999999999997</v>
      </c>
      <c r="F530" s="2">
        <v>306.33999999999997</v>
      </c>
      <c r="G530" s="2"/>
      <c r="H530" s="2"/>
      <c r="I530" s="2" t="b">
        <f t="shared" si="2"/>
        <v>1</v>
      </c>
      <c r="J530" s="2"/>
      <c r="K530" s="2"/>
      <c r="L530" s="2"/>
      <c r="M530" s="2"/>
      <c r="N530" s="2"/>
      <c r="O530" s="2"/>
      <c r="P530" s="2"/>
      <c r="Q530" s="2"/>
      <c r="R530" s="2"/>
      <c r="S530" s="2"/>
      <c r="T530" s="2"/>
      <c r="U530" s="2"/>
      <c r="V530" s="2"/>
      <c r="W530" s="2"/>
    </row>
    <row r="531" spans="1:23" ht="75" customHeight="1" x14ac:dyDescent="0.15">
      <c r="A531" s="2">
        <v>614</v>
      </c>
      <c r="B531" s="2" t="s">
        <v>615</v>
      </c>
      <c r="C531" s="2" t="s">
        <v>616</v>
      </c>
      <c r="D531" s="2" t="s">
        <v>622</v>
      </c>
      <c r="E531" s="2">
        <v>466.96</v>
      </c>
      <c r="F531" s="2">
        <v>466.96</v>
      </c>
      <c r="G531" s="2"/>
      <c r="H531" s="2"/>
      <c r="I531" s="2" t="b">
        <f t="shared" si="2"/>
        <v>1</v>
      </c>
      <c r="J531" s="2"/>
      <c r="K531" s="2"/>
      <c r="L531" s="2"/>
      <c r="M531" s="2"/>
      <c r="N531" s="2"/>
      <c r="O531" s="2"/>
      <c r="P531" s="2"/>
      <c r="Q531" s="2"/>
      <c r="R531" s="2"/>
      <c r="S531" s="2"/>
      <c r="T531" s="2"/>
      <c r="U531" s="2"/>
      <c r="V531" s="2"/>
      <c r="W531" s="2"/>
    </row>
    <row r="532" spans="1:23" ht="75" customHeight="1" x14ac:dyDescent="0.15">
      <c r="A532" s="2">
        <v>615</v>
      </c>
      <c r="B532" s="2" t="s">
        <v>615</v>
      </c>
      <c r="C532" s="2" t="s">
        <v>616</v>
      </c>
      <c r="D532" s="2" t="s">
        <v>623</v>
      </c>
      <c r="E532" s="2">
        <v>461.4</v>
      </c>
      <c r="F532" s="2">
        <v>461.4</v>
      </c>
      <c r="G532" s="2"/>
      <c r="H532" s="2"/>
      <c r="I532" s="2" t="b">
        <f t="shared" si="2"/>
        <v>1</v>
      </c>
      <c r="J532" s="2"/>
      <c r="K532" s="2"/>
      <c r="L532" s="2"/>
      <c r="M532" s="2"/>
      <c r="N532" s="2"/>
      <c r="O532" s="2"/>
      <c r="P532" s="2"/>
      <c r="Q532" s="2"/>
      <c r="R532" s="2"/>
      <c r="S532" s="2"/>
      <c r="T532" s="2"/>
      <c r="U532" s="2"/>
      <c r="V532" s="2"/>
      <c r="W532" s="2"/>
    </row>
    <row r="533" spans="1:23" ht="75" customHeight="1" x14ac:dyDescent="0.15">
      <c r="A533" s="2">
        <v>616</v>
      </c>
      <c r="B533" s="2" t="s">
        <v>615</v>
      </c>
      <c r="C533" s="2" t="s">
        <v>616</v>
      </c>
      <c r="D533" s="2" t="s">
        <v>624</v>
      </c>
      <c r="E533" s="2">
        <v>454.74</v>
      </c>
      <c r="F533" s="2">
        <v>454.74</v>
      </c>
      <c r="G533" s="2"/>
      <c r="H533" s="2"/>
      <c r="I533" s="2" t="b">
        <f t="shared" si="2"/>
        <v>1</v>
      </c>
      <c r="J533" s="2"/>
      <c r="K533" s="2"/>
      <c r="L533" s="2"/>
      <c r="M533" s="2"/>
      <c r="N533" s="2"/>
      <c r="O533" s="2"/>
      <c r="P533" s="2"/>
      <c r="Q533" s="2"/>
      <c r="R533" s="2"/>
      <c r="S533" s="2"/>
      <c r="T533" s="2"/>
      <c r="U533" s="2"/>
      <c r="V533" s="2"/>
      <c r="W533" s="2"/>
    </row>
    <row r="534" spans="1:23" ht="75" customHeight="1" x14ac:dyDescent="0.15">
      <c r="A534" s="2">
        <v>617</v>
      </c>
      <c r="B534" s="2" t="s">
        <v>615</v>
      </c>
      <c r="C534" s="2" t="s">
        <v>616</v>
      </c>
      <c r="D534" s="2" t="s">
        <v>625</v>
      </c>
      <c r="E534" s="2">
        <v>373.51</v>
      </c>
      <c r="F534" s="2">
        <v>373.51</v>
      </c>
      <c r="G534" s="2"/>
      <c r="H534" s="2"/>
      <c r="I534" s="2" t="b">
        <f t="shared" si="2"/>
        <v>1</v>
      </c>
      <c r="J534" s="2"/>
      <c r="K534" s="2"/>
      <c r="L534" s="2"/>
      <c r="M534" s="2"/>
      <c r="N534" s="2"/>
      <c r="O534" s="2"/>
      <c r="P534" s="2"/>
      <c r="Q534" s="2"/>
      <c r="R534" s="2"/>
      <c r="S534" s="2"/>
      <c r="T534" s="2"/>
      <c r="U534" s="2"/>
      <c r="V534" s="2"/>
      <c r="W534" s="2"/>
    </row>
    <row r="535" spans="1:23" ht="75" customHeight="1" x14ac:dyDescent="0.15">
      <c r="A535" s="2">
        <v>618</v>
      </c>
      <c r="B535" s="2" t="s">
        <v>615</v>
      </c>
      <c r="C535" s="2" t="s">
        <v>616</v>
      </c>
      <c r="D535" s="2" t="s">
        <v>626</v>
      </c>
      <c r="E535" s="2">
        <v>316.63</v>
      </c>
      <c r="F535" s="2">
        <v>316.63</v>
      </c>
      <c r="G535" s="2"/>
      <c r="H535" s="2"/>
      <c r="I535" s="2" t="b">
        <f t="shared" si="2"/>
        <v>1</v>
      </c>
      <c r="J535" s="2"/>
      <c r="K535" s="2"/>
      <c r="L535" s="2"/>
      <c r="M535" s="2"/>
      <c r="N535" s="2"/>
      <c r="O535" s="2"/>
      <c r="P535" s="2"/>
      <c r="Q535" s="2"/>
      <c r="R535" s="2"/>
      <c r="S535" s="2"/>
      <c r="T535" s="2"/>
      <c r="U535" s="2"/>
      <c r="V535" s="2"/>
      <c r="W535" s="2"/>
    </row>
    <row r="536" spans="1:23" ht="75" customHeight="1" x14ac:dyDescent="0.15">
      <c r="A536" s="2">
        <v>619</v>
      </c>
      <c r="B536" s="2" t="s">
        <v>615</v>
      </c>
      <c r="C536" s="2" t="s">
        <v>616</v>
      </c>
      <c r="D536" s="2" t="s">
        <v>623</v>
      </c>
      <c r="E536" s="2">
        <v>461.4</v>
      </c>
      <c r="F536" s="2">
        <v>461.4</v>
      </c>
      <c r="G536" s="2"/>
      <c r="H536" s="2"/>
      <c r="I536" s="2" t="b">
        <f t="shared" si="2"/>
        <v>1</v>
      </c>
      <c r="J536" s="2"/>
      <c r="K536" s="2"/>
      <c r="L536" s="2"/>
      <c r="M536" s="2"/>
      <c r="N536" s="2"/>
      <c r="O536" s="2"/>
      <c r="P536" s="2"/>
      <c r="Q536" s="2"/>
      <c r="R536" s="2"/>
      <c r="S536" s="2"/>
      <c r="T536" s="2"/>
      <c r="U536" s="2"/>
      <c r="V536" s="2"/>
      <c r="W536" s="2"/>
    </row>
    <row r="537" spans="1:23" ht="75" customHeight="1" x14ac:dyDescent="0.15">
      <c r="A537" s="2">
        <v>620</v>
      </c>
      <c r="B537" s="2" t="s">
        <v>615</v>
      </c>
      <c r="C537" s="2" t="s">
        <v>616</v>
      </c>
      <c r="D537" s="2" t="s">
        <v>627</v>
      </c>
      <c r="E537" s="2">
        <v>469.69</v>
      </c>
      <c r="F537" s="2">
        <v>469.69</v>
      </c>
      <c r="G537" s="2"/>
      <c r="H537" s="2"/>
      <c r="I537" s="2" t="b">
        <f t="shared" si="2"/>
        <v>1</v>
      </c>
      <c r="J537" s="2"/>
      <c r="K537" s="2"/>
      <c r="L537" s="2"/>
      <c r="M537" s="2"/>
      <c r="N537" s="2"/>
      <c r="O537" s="2"/>
      <c r="P537" s="2"/>
      <c r="Q537" s="2"/>
      <c r="R537" s="2"/>
      <c r="S537" s="2"/>
      <c r="T537" s="2"/>
      <c r="U537" s="2"/>
      <c r="V537" s="2"/>
      <c r="W537" s="2"/>
    </row>
    <row r="538" spans="1:23" ht="75" customHeight="1" x14ac:dyDescent="0.15">
      <c r="A538" s="2">
        <v>621</v>
      </c>
      <c r="B538" s="2" t="s">
        <v>615</v>
      </c>
      <c r="C538" s="2" t="s">
        <v>616</v>
      </c>
      <c r="D538" s="2" t="s">
        <v>202</v>
      </c>
      <c r="E538" s="2">
        <v>324.41000000000003</v>
      </c>
      <c r="F538" s="2">
        <v>324.41000000000003</v>
      </c>
      <c r="G538" s="2"/>
      <c r="H538" s="2"/>
      <c r="I538" s="2" t="b">
        <f t="shared" si="2"/>
        <v>1</v>
      </c>
      <c r="J538" s="2"/>
      <c r="K538" s="2"/>
      <c r="L538" s="2"/>
      <c r="M538" s="2"/>
      <c r="N538" s="2"/>
      <c r="O538" s="2"/>
      <c r="P538" s="2"/>
      <c r="Q538" s="2"/>
      <c r="R538" s="2"/>
      <c r="S538" s="2"/>
      <c r="T538" s="2"/>
      <c r="U538" s="2"/>
      <c r="V538" s="2"/>
      <c r="W538" s="2"/>
    </row>
    <row r="539" spans="1:23" ht="75" customHeight="1" x14ac:dyDescent="0.15">
      <c r="A539" s="2">
        <v>622</v>
      </c>
      <c r="B539" s="2" t="s">
        <v>615</v>
      </c>
      <c r="C539" s="2" t="s">
        <v>616</v>
      </c>
      <c r="D539" s="2" t="s">
        <v>628</v>
      </c>
      <c r="E539" s="2">
        <v>405.11</v>
      </c>
      <c r="F539" s="2">
        <v>405.11</v>
      </c>
      <c r="G539" s="2"/>
      <c r="H539" s="2"/>
      <c r="I539" s="2" t="b">
        <f t="shared" si="2"/>
        <v>1</v>
      </c>
      <c r="J539" s="2"/>
      <c r="K539" s="2"/>
      <c r="L539" s="2"/>
      <c r="M539" s="2"/>
      <c r="N539" s="2"/>
      <c r="O539" s="2"/>
      <c r="P539" s="2"/>
      <c r="Q539" s="2"/>
      <c r="R539" s="2"/>
      <c r="S539" s="2"/>
      <c r="T539" s="2"/>
      <c r="U539" s="2"/>
      <c r="V539" s="2"/>
      <c r="W539" s="2"/>
    </row>
    <row r="540" spans="1:23" ht="75" customHeight="1" x14ac:dyDescent="0.15">
      <c r="A540" s="2">
        <v>623</v>
      </c>
      <c r="B540" s="2" t="s">
        <v>615</v>
      </c>
      <c r="C540" s="2" t="s">
        <v>616</v>
      </c>
      <c r="D540" s="2" t="s">
        <v>629</v>
      </c>
      <c r="E540" s="2">
        <v>318.61</v>
      </c>
      <c r="F540" s="2">
        <v>318.61</v>
      </c>
      <c r="G540" s="2"/>
      <c r="H540" s="2"/>
      <c r="I540" s="2" t="b">
        <f t="shared" si="2"/>
        <v>1</v>
      </c>
      <c r="J540" s="2"/>
      <c r="K540" s="2"/>
      <c r="L540" s="2"/>
      <c r="M540" s="2"/>
      <c r="N540" s="2"/>
      <c r="O540" s="2"/>
      <c r="P540" s="2"/>
      <c r="Q540" s="2"/>
      <c r="R540" s="2"/>
      <c r="S540" s="2"/>
      <c r="T540" s="2"/>
      <c r="U540" s="2"/>
      <c r="V540" s="2"/>
      <c r="W540" s="2"/>
    </row>
    <row r="541" spans="1:23" ht="75" customHeight="1" x14ac:dyDescent="0.15">
      <c r="A541" s="2">
        <v>624</v>
      </c>
      <c r="B541" s="2" t="s">
        <v>615</v>
      </c>
      <c r="C541" s="2" t="s">
        <v>616</v>
      </c>
      <c r="D541" s="2" t="s">
        <v>630</v>
      </c>
      <c r="E541" s="2">
        <v>445.88</v>
      </c>
      <c r="F541" s="2">
        <v>445.88</v>
      </c>
      <c r="G541" s="2"/>
      <c r="H541" s="2"/>
      <c r="I541" s="2" t="b">
        <f t="shared" si="2"/>
        <v>1</v>
      </c>
      <c r="J541" s="2"/>
      <c r="K541" s="2"/>
      <c r="L541" s="2"/>
      <c r="M541" s="2"/>
      <c r="N541" s="2"/>
      <c r="O541" s="2"/>
      <c r="P541" s="2"/>
      <c r="Q541" s="2"/>
      <c r="R541" s="2"/>
      <c r="S541" s="2"/>
      <c r="T541" s="2"/>
      <c r="U541" s="2"/>
      <c r="V541" s="2"/>
      <c r="W541" s="2"/>
    </row>
    <row r="542" spans="1:23" ht="75" customHeight="1" x14ac:dyDescent="0.15">
      <c r="A542" s="2">
        <v>625</v>
      </c>
      <c r="B542" s="2" t="s">
        <v>615</v>
      </c>
      <c r="C542" s="2" t="s">
        <v>616</v>
      </c>
      <c r="D542" s="2" t="s">
        <v>630</v>
      </c>
      <c r="E542" s="2">
        <v>445.88</v>
      </c>
      <c r="F542" s="2">
        <v>445.88</v>
      </c>
      <c r="G542" s="2"/>
      <c r="H542" s="2"/>
      <c r="I542" s="2" t="b">
        <f t="shared" si="2"/>
        <v>1</v>
      </c>
      <c r="J542" s="2"/>
      <c r="K542" s="2"/>
      <c r="L542" s="2"/>
      <c r="M542" s="2"/>
      <c r="N542" s="2"/>
      <c r="O542" s="2"/>
      <c r="P542" s="2"/>
      <c r="Q542" s="2"/>
      <c r="R542" s="2"/>
      <c r="S542" s="2"/>
      <c r="T542" s="2"/>
      <c r="U542" s="2"/>
      <c r="V542" s="2"/>
      <c r="W542" s="2"/>
    </row>
    <row r="543" spans="1:23" ht="75" customHeight="1" x14ac:dyDescent="0.15">
      <c r="A543" s="2">
        <v>626</v>
      </c>
      <c r="B543" s="2" t="s">
        <v>615</v>
      </c>
      <c r="C543" s="2" t="s">
        <v>616</v>
      </c>
      <c r="D543" s="2" t="s">
        <v>631</v>
      </c>
      <c r="E543" s="2">
        <v>333.63</v>
      </c>
      <c r="F543" s="2">
        <v>333.63</v>
      </c>
      <c r="G543" s="2"/>
      <c r="H543" s="2"/>
      <c r="I543" s="2" t="b">
        <f t="shared" si="2"/>
        <v>1</v>
      </c>
      <c r="J543" s="2"/>
      <c r="K543" s="2"/>
      <c r="L543" s="2"/>
      <c r="M543" s="2"/>
      <c r="N543" s="2"/>
      <c r="O543" s="2"/>
      <c r="P543" s="2"/>
      <c r="Q543" s="2"/>
      <c r="R543" s="2"/>
      <c r="S543" s="2"/>
      <c r="T543" s="2"/>
      <c r="U543" s="2"/>
      <c r="V543" s="2"/>
      <c r="W543" s="2"/>
    </row>
    <row r="544" spans="1:23" ht="75" customHeight="1" x14ac:dyDescent="0.15">
      <c r="A544" s="2">
        <v>627</v>
      </c>
      <c r="B544" s="2" t="s">
        <v>615</v>
      </c>
      <c r="C544" s="2" t="s">
        <v>616</v>
      </c>
      <c r="D544" s="2" t="s">
        <v>632</v>
      </c>
      <c r="E544" s="2">
        <v>402.66</v>
      </c>
      <c r="F544" s="2">
        <v>402.66</v>
      </c>
      <c r="G544" s="2"/>
      <c r="H544" s="2"/>
      <c r="I544" s="2" t="b">
        <f t="shared" si="2"/>
        <v>1</v>
      </c>
      <c r="J544" s="2"/>
      <c r="K544" s="2"/>
      <c r="L544" s="2"/>
      <c r="M544" s="2"/>
      <c r="N544" s="2"/>
      <c r="O544" s="2"/>
      <c r="P544" s="2"/>
      <c r="Q544" s="2"/>
      <c r="R544" s="2"/>
      <c r="S544" s="2"/>
      <c r="T544" s="2"/>
      <c r="U544" s="2"/>
      <c r="V544" s="2"/>
      <c r="W544" s="2"/>
    </row>
    <row r="545" spans="1:23" ht="75" customHeight="1" x14ac:dyDescent="0.15">
      <c r="A545" s="2">
        <v>628</v>
      </c>
      <c r="B545" s="2" t="s">
        <v>633</v>
      </c>
      <c r="C545" s="2" t="s">
        <v>634</v>
      </c>
      <c r="D545" s="2" t="s">
        <v>208</v>
      </c>
      <c r="E545" s="2">
        <v>406.35</v>
      </c>
      <c r="F545" s="2">
        <v>406.35</v>
      </c>
      <c r="G545" s="2"/>
      <c r="H545" s="2"/>
      <c r="I545" s="2" t="b">
        <f t="shared" si="2"/>
        <v>1</v>
      </c>
      <c r="J545" s="2"/>
      <c r="K545" s="2"/>
      <c r="L545" s="2"/>
      <c r="M545" s="2"/>
      <c r="N545" s="2"/>
      <c r="O545" s="2"/>
      <c r="P545" s="2"/>
      <c r="Q545" s="2"/>
      <c r="R545" s="2"/>
      <c r="S545" s="2"/>
      <c r="T545" s="2"/>
      <c r="U545" s="2"/>
      <c r="V545" s="2"/>
      <c r="W545" s="2"/>
    </row>
    <row r="546" spans="1:23" ht="75" customHeight="1" x14ac:dyDescent="0.15">
      <c r="A546" s="2">
        <v>629</v>
      </c>
      <c r="B546" s="2" t="s">
        <v>633</v>
      </c>
      <c r="C546" s="2" t="s">
        <v>634</v>
      </c>
      <c r="D546" s="2" t="s">
        <v>635</v>
      </c>
      <c r="E546" s="2">
        <v>369.93</v>
      </c>
      <c r="F546" s="2">
        <v>369.93</v>
      </c>
      <c r="G546" s="2"/>
      <c r="H546" s="2"/>
      <c r="I546" s="2" t="b">
        <f t="shared" si="2"/>
        <v>1</v>
      </c>
      <c r="J546" s="2"/>
      <c r="K546" s="2"/>
      <c r="L546" s="2"/>
      <c r="M546" s="2"/>
      <c r="N546" s="2"/>
      <c r="O546" s="2"/>
      <c r="P546" s="2"/>
      <c r="Q546" s="2"/>
      <c r="R546" s="2"/>
      <c r="S546" s="2"/>
      <c r="T546" s="2"/>
      <c r="U546" s="2"/>
      <c r="V546" s="2"/>
      <c r="W546" s="2"/>
    </row>
    <row r="547" spans="1:23" ht="75" customHeight="1" x14ac:dyDescent="0.15">
      <c r="A547" s="2">
        <v>630</v>
      </c>
      <c r="B547" s="2" t="s">
        <v>633</v>
      </c>
      <c r="C547" s="2" t="s">
        <v>634</v>
      </c>
      <c r="D547" s="2" t="s">
        <v>636</v>
      </c>
      <c r="E547" s="2">
        <v>427.31</v>
      </c>
      <c r="F547" s="2">
        <v>427.31</v>
      </c>
      <c r="G547" s="2"/>
      <c r="H547" s="2"/>
      <c r="I547" s="2" t="b">
        <f t="shared" si="2"/>
        <v>1</v>
      </c>
      <c r="J547" s="2"/>
      <c r="K547" s="2"/>
      <c r="L547" s="2"/>
      <c r="M547" s="2"/>
      <c r="N547" s="2"/>
      <c r="O547" s="2"/>
      <c r="P547" s="2"/>
      <c r="Q547" s="2"/>
      <c r="R547" s="2"/>
      <c r="S547" s="2"/>
      <c r="T547" s="2"/>
      <c r="U547" s="2"/>
      <c r="V547" s="2"/>
      <c r="W547" s="2"/>
    </row>
    <row r="548" spans="1:23" ht="75" customHeight="1" x14ac:dyDescent="0.15">
      <c r="A548" s="2">
        <v>631</v>
      </c>
      <c r="B548" s="2" t="s">
        <v>633</v>
      </c>
      <c r="C548" s="2" t="s">
        <v>634</v>
      </c>
      <c r="D548" s="2" t="s">
        <v>203</v>
      </c>
      <c r="E548" s="2">
        <v>393.41</v>
      </c>
      <c r="F548" s="2">
        <v>393.41</v>
      </c>
      <c r="G548" s="2"/>
      <c r="H548" s="2"/>
      <c r="I548" s="2" t="b">
        <f t="shared" si="2"/>
        <v>1</v>
      </c>
      <c r="J548" s="2"/>
      <c r="K548" s="2"/>
      <c r="L548" s="2"/>
      <c r="M548" s="2"/>
      <c r="N548" s="2"/>
      <c r="O548" s="2"/>
      <c r="P548" s="2"/>
      <c r="Q548" s="2"/>
      <c r="R548" s="2"/>
      <c r="S548" s="2"/>
      <c r="T548" s="2"/>
      <c r="U548" s="2"/>
      <c r="V548" s="2"/>
      <c r="W548" s="2"/>
    </row>
    <row r="549" spans="1:23" ht="75" customHeight="1" x14ac:dyDescent="0.15">
      <c r="A549" s="2">
        <v>632</v>
      </c>
      <c r="B549" s="2" t="s">
        <v>633</v>
      </c>
      <c r="C549" s="2" t="s">
        <v>634</v>
      </c>
      <c r="D549" s="2" t="s">
        <v>637</v>
      </c>
      <c r="E549" s="2">
        <v>359.14</v>
      </c>
      <c r="F549" s="2">
        <v>359.14</v>
      </c>
      <c r="G549" s="2"/>
      <c r="H549" s="2"/>
      <c r="I549" s="2" t="b">
        <f t="shared" si="2"/>
        <v>1</v>
      </c>
      <c r="J549" s="2"/>
      <c r="K549" s="2"/>
      <c r="L549" s="2"/>
      <c r="M549" s="2"/>
      <c r="N549" s="2"/>
      <c r="O549" s="2"/>
      <c r="P549" s="2"/>
      <c r="Q549" s="2"/>
      <c r="R549" s="2"/>
      <c r="S549" s="2"/>
      <c r="T549" s="2"/>
      <c r="U549" s="2"/>
      <c r="V549" s="2"/>
      <c r="W549" s="2"/>
    </row>
    <row r="550" spans="1:23" ht="75" customHeight="1" x14ac:dyDescent="0.15">
      <c r="A550" s="2">
        <v>633</v>
      </c>
      <c r="B550" s="2" t="s">
        <v>633</v>
      </c>
      <c r="C550" s="2" t="s">
        <v>634</v>
      </c>
      <c r="D550" s="2" t="s">
        <v>617</v>
      </c>
      <c r="E550" s="2">
        <v>405.69</v>
      </c>
      <c r="F550" s="2">
        <v>405.69</v>
      </c>
      <c r="G550" s="2"/>
      <c r="H550" s="2"/>
      <c r="I550" s="2" t="b">
        <f t="shared" si="2"/>
        <v>1</v>
      </c>
      <c r="J550" s="2"/>
      <c r="K550" s="2"/>
      <c r="L550" s="2"/>
      <c r="M550" s="2"/>
      <c r="N550" s="2"/>
      <c r="O550" s="2"/>
      <c r="P550" s="2"/>
      <c r="Q550" s="2"/>
      <c r="R550" s="2"/>
      <c r="S550" s="2"/>
      <c r="T550" s="2"/>
      <c r="U550" s="2"/>
      <c r="V550" s="2"/>
      <c r="W550" s="2"/>
    </row>
    <row r="551" spans="1:23" ht="75" customHeight="1" x14ac:dyDescent="0.15">
      <c r="A551" s="2">
        <v>634</v>
      </c>
      <c r="B551" s="2" t="s">
        <v>633</v>
      </c>
      <c r="C551" s="2" t="s">
        <v>634</v>
      </c>
      <c r="D551" s="2" t="s">
        <v>199</v>
      </c>
      <c r="E551" s="2">
        <v>419.83</v>
      </c>
      <c r="F551" s="2">
        <v>419.83</v>
      </c>
      <c r="G551" s="2"/>
      <c r="H551" s="2"/>
      <c r="I551" s="2" t="b">
        <f t="shared" si="2"/>
        <v>1</v>
      </c>
      <c r="J551" s="2"/>
      <c r="K551" s="2"/>
      <c r="L551" s="2"/>
      <c r="M551" s="2"/>
      <c r="N551" s="2"/>
      <c r="O551" s="2"/>
      <c r="P551" s="2"/>
      <c r="Q551" s="2"/>
      <c r="R551" s="2"/>
      <c r="S551" s="2"/>
      <c r="T551" s="2"/>
      <c r="U551" s="2"/>
      <c r="V551" s="2"/>
      <c r="W551" s="2"/>
    </row>
    <row r="552" spans="1:23" ht="75" customHeight="1" x14ac:dyDescent="0.15">
      <c r="A552" s="2">
        <v>635</v>
      </c>
      <c r="B552" s="2" t="s">
        <v>633</v>
      </c>
      <c r="C552" s="2" t="s">
        <v>634</v>
      </c>
      <c r="D552" s="2" t="s">
        <v>206</v>
      </c>
      <c r="E552" s="2">
        <v>355.67</v>
      </c>
      <c r="F552" s="2">
        <v>355.67</v>
      </c>
      <c r="G552" s="2"/>
      <c r="H552" s="2"/>
      <c r="I552" s="2" t="b">
        <f t="shared" si="2"/>
        <v>1</v>
      </c>
      <c r="J552" s="2"/>
      <c r="K552" s="2"/>
      <c r="L552" s="2"/>
      <c r="M552" s="2"/>
      <c r="N552" s="2"/>
      <c r="O552" s="2"/>
      <c r="P552" s="2"/>
      <c r="Q552" s="2"/>
      <c r="R552" s="2"/>
      <c r="S552" s="2"/>
      <c r="T552" s="2"/>
      <c r="U552" s="2"/>
      <c r="V552" s="2"/>
      <c r="W552" s="2"/>
    </row>
    <row r="553" spans="1:23" ht="75" customHeight="1" x14ac:dyDescent="0.15">
      <c r="A553" s="2">
        <v>636</v>
      </c>
      <c r="B553" s="2" t="s">
        <v>633</v>
      </c>
      <c r="C553" s="2" t="s">
        <v>634</v>
      </c>
      <c r="D553" s="2" t="s">
        <v>625</v>
      </c>
      <c r="E553" s="2">
        <v>377.79</v>
      </c>
      <c r="F553" s="2">
        <v>377.79</v>
      </c>
      <c r="G553" s="2"/>
      <c r="H553" s="2"/>
      <c r="I553" s="2" t="b">
        <f t="shared" si="2"/>
        <v>1</v>
      </c>
      <c r="J553" s="2"/>
      <c r="K553" s="2"/>
      <c r="L553" s="2"/>
      <c r="M553" s="2"/>
      <c r="N553" s="2"/>
      <c r="O553" s="2"/>
      <c r="P553" s="2"/>
      <c r="Q553" s="2"/>
      <c r="R553" s="2"/>
      <c r="S553" s="2"/>
      <c r="T553" s="2"/>
      <c r="U553" s="2"/>
      <c r="V553" s="2"/>
      <c r="W553" s="2"/>
    </row>
    <row r="554" spans="1:23" ht="75" customHeight="1" x14ac:dyDescent="0.15">
      <c r="A554" s="2">
        <v>637</v>
      </c>
      <c r="B554" s="2" t="s">
        <v>633</v>
      </c>
      <c r="C554" s="2" t="s">
        <v>634</v>
      </c>
      <c r="D554" s="2" t="s">
        <v>638</v>
      </c>
      <c r="E554" s="2">
        <v>432.38</v>
      </c>
      <c r="F554" s="2">
        <v>432.38</v>
      </c>
      <c r="G554" s="2"/>
      <c r="H554" s="2"/>
      <c r="I554" s="2" t="b">
        <f t="shared" si="2"/>
        <v>1</v>
      </c>
      <c r="J554" s="2"/>
      <c r="K554" s="2"/>
      <c r="L554" s="2"/>
      <c r="M554" s="2"/>
      <c r="N554" s="2"/>
      <c r="O554" s="2"/>
      <c r="P554" s="2"/>
      <c r="Q554" s="2"/>
      <c r="R554" s="2"/>
      <c r="S554" s="2"/>
      <c r="T554" s="2"/>
      <c r="U554" s="2"/>
      <c r="V554" s="2"/>
      <c r="W554" s="2"/>
    </row>
    <row r="555" spans="1:23" ht="75" customHeight="1" x14ac:dyDescent="0.15">
      <c r="A555" s="2">
        <v>638</v>
      </c>
      <c r="B555" s="2" t="s">
        <v>633</v>
      </c>
      <c r="C555" s="2" t="s">
        <v>634</v>
      </c>
      <c r="D555" s="2" t="s">
        <v>207</v>
      </c>
      <c r="E555" s="2">
        <v>414.53</v>
      </c>
      <c r="F555" s="2">
        <v>414.53</v>
      </c>
      <c r="G555" s="2"/>
      <c r="H555" s="2"/>
      <c r="I555" s="2" t="b">
        <f t="shared" si="2"/>
        <v>1</v>
      </c>
      <c r="J555" s="2"/>
      <c r="K555" s="2"/>
      <c r="L555" s="2"/>
      <c r="M555" s="2"/>
      <c r="N555" s="2"/>
      <c r="O555" s="2"/>
      <c r="P555" s="2"/>
      <c r="Q555" s="2"/>
      <c r="R555" s="2"/>
      <c r="S555" s="2"/>
      <c r="T555" s="2"/>
      <c r="U555" s="2"/>
      <c r="V555" s="2"/>
      <c r="W555" s="2"/>
    </row>
    <row r="556" spans="1:23" ht="75" customHeight="1" x14ac:dyDescent="0.15">
      <c r="A556" s="2">
        <v>639</v>
      </c>
      <c r="B556" s="2" t="s">
        <v>633</v>
      </c>
      <c r="C556" s="2" t="s">
        <v>634</v>
      </c>
      <c r="D556" s="2" t="s">
        <v>639</v>
      </c>
      <c r="E556" s="2">
        <v>395.15</v>
      </c>
      <c r="F556" s="2">
        <v>395.15</v>
      </c>
      <c r="G556" s="2"/>
      <c r="H556" s="2"/>
      <c r="I556" s="2" t="b">
        <f t="shared" si="2"/>
        <v>1</v>
      </c>
      <c r="J556" s="2"/>
      <c r="K556" s="2"/>
      <c r="L556" s="2"/>
      <c r="M556" s="2"/>
      <c r="N556" s="2"/>
      <c r="O556" s="2"/>
      <c r="P556" s="2"/>
      <c r="Q556" s="2"/>
      <c r="R556" s="2"/>
      <c r="S556" s="2"/>
      <c r="T556" s="2"/>
      <c r="U556" s="2"/>
      <c r="V556" s="2"/>
      <c r="W556" s="2"/>
    </row>
    <row r="557" spans="1:23" ht="75" customHeight="1" x14ac:dyDescent="0.15">
      <c r="A557" s="2">
        <v>640</v>
      </c>
      <c r="B557" s="2" t="s">
        <v>633</v>
      </c>
      <c r="C557" s="2" t="s">
        <v>634</v>
      </c>
      <c r="D557" s="2" t="s">
        <v>640</v>
      </c>
      <c r="E557" s="2">
        <v>403.65</v>
      </c>
      <c r="F557" s="2">
        <v>403.65</v>
      </c>
      <c r="G557" s="2"/>
      <c r="H557" s="2"/>
      <c r="I557" s="2" t="b">
        <f t="shared" si="2"/>
        <v>1</v>
      </c>
      <c r="J557" s="2"/>
      <c r="K557" s="2"/>
      <c r="L557" s="2"/>
      <c r="M557" s="2"/>
      <c r="N557" s="2"/>
      <c r="O557" s="2"/>
      <c r="P557" s="2"/>
      <c r="Q557" s="2"/>
      <c r="R557" s="2"/>
      <c r="S557" s="2"/>
      <c r="T557" s="2"/>
      <c r="U557" s="2"/>
      <c r="V557" s="2"/>
      <c r="W557" s="2"/>
    </row>
    <row r="558" spans="1:23" ht="75" customHeight="1" x14ac:dyDescent="0.15">
      <c r="A558" s="2">
        <v>641</v>
      </c>
      <c r="B558" s="2" t="s">
        <v>633</v>
      </c>
      <c r="C558" s="2" t="s">
        <v>634</v>
      </c>
      <c r="D558" s="2" t="s">
        <v>641</v>
      </c>
      <c r="E558" s="2">
        <v>332.52</v>
      </c>
      <c r="F558" s="2">
        <v>332.52</v>
      </c>
      <c r="G558" s="2"/>
      <c r="H558" s="2"/>
      <c r="I558" s="2" t="b">
        <f t="shared" si="2"/>
        <v>1</v>
      </c>
      <c r="J558" s="2"/>
      <c r="K558" s="2"/>
      <c r="L558" s="2"/>
      <c r="M558" s="2"/>
      <c r="N558" s="2"/>
      <c r="O558" s="2"/>
      <c r="P558" s="2"/>
      <c r="Q558" s="2"/>
      <c r="R558" s="2"/>
      <c r="S558" s="2"/>
      <c r="T558" s="2"/>
      <c r="U558" s="2"/>
      <c r="V558" s="2"/>
      <c r="W558" s="2"/>
    </row>
    <row r="559" spans="1:23" ht="75" customHeight="1" x14ac:dyDescent="0.15">
      <c r="A559" s="2">
        <v>642</v>
      </c>
      <c r="B559" s="2" t="s">
        <v>633</v>
      </c>
      <c r="C559" s="2" t="s">
        <v>634</v>
      </c>
      <c r="D559" s="2" t="s">
        <v>198</v>
      </c>
      <c r="E559" s="2">
        <v>360.8</v>
      </c>
      <c r="F559" s="2">
        <v>360.8</v>
      </c>
      <c r="G559" s="2"/>
      <c r="H559" s="2"/>
      <c r="I559" s="2" t="b">
        <f t="shared" si="2"/>
        <v>1</v>
      </c>
      <c r="J559" s="2"/>
      <c r="K559" s="2"/>
      <c r="L559" s="2"/>
      <c r="M559" s="2"/>
      <c r="N559" s="2"/>
      <c r="O559" s="2"/>
      <c r="P559" s="2"/>
      <c r="Q559" s="2"/>
      <c r="R559" s="2"/>
      <c r="S559" s="2"/>
      <c r="T559" s="2"/>
      <c r="U559" s="2"/>
      <c r="V559" s="2"/>
      <c r="W559" s="2"/>
    </row>
    <row r="560" spans="1:23" ht="75" customHeight="1" x14ac:dyDescent="0.15">
      <c r="A560" s="2">
        <v>643</v>
      </c>
      <c r="B560" s="2" t="s">
        <v>633</v>
      </c>
      <c r="C560" s="2" t="s">
        <v>634</v>
      </c>
      <c r="D560" s="2" t="s">
        <v>642</v>
      </c>
      <c r="E560" s="2">
        <v>382.46</v>
      </c>
      <c r="F560" s="2">
        <v>382.46</v>
      </c>
      <c r="G560" s="2"/>
      <c r="H560" s="2"/>
      <c r="I560" s="2" t="b">
        <f t="shared" si="2"/>
        <v>1</v>
      </c>
      <c r="J560" s="2"/>
      <c r="K560" s="2"/>
      <c r="L560" s="2"/>
      <c r="M560" s="2"/>
      <c r="N560" s="2"/>
      <c r="O560" s="2"/>
      <c r="P560" s="2"/>
      <c r="Q560" s="2"/>
      <c r="R560" s="2"/>
      <c r="S560" s="2"/>
      <c r="T560" s="2"/>
      <c r="U560" s="2"/>
      <c r="V560" s="2"/>
      <c r="W560" s="2"/>
    </row>
    <row r="561" spans="1:23" ht="75" customHeight="1" x14ac:dyDescent="0.15">
      <c r="A561" s="2">
        <v>644</v>
      </c>
      <c r="B561" s="2" t="s">
        <v>633</v>
      </c>
      <c r="C561" s="2" t="s">
        <v>634</v>
      </c>
      <c r="D561" s="2" t="s">
        <v>643</v>
      </c>
      <c r="E561" s="2">
        <v>409.48</v>
      </c>
      <c r="F561" s="2">
        <v>409.48</v>
      </c>
      <c r="G561" s="2"/>
      <c r="H561" s="2"/>
      <c r="I561" s="2" t="b">
        <f t="shared" si="2"/>
        <v>1</v>
      </c>
      <c r="J561" s="2"/>
      <c r="K561" s="2"/>
      <c r="L561" s="2"/>
      <c r="M561" s="2"/>
      <c r="N561" s="2"/>
      <c r="O561" s="2"/>
      <c r="P561" s="2"/>
      <c r="Q561" s="2"/>
      <c r="R561" s="2"/>
      <c r="S561" s="2"/>
      <c r="T561" s="2"/>
      <c r="U561" s="2"/>
      <c r="V561" s="2"/>
      <c r="W561" s="2"/>
    </row>
    <row r="562" spans="1:23" ht="75" customHeight="1" x14ac:dyDescent="0.15">
      <c r="A562" s="2">
        <v>645</v>
      </c>
      <c r="B562" s="2" t="s">
        <v>633</v>
      </c>
      <c r="C562" s="2" t="s">
        <v>634</v>
      </c>
      <c r="D562" s="2" t="s">
        <v>644</v>
      </c>
      <c r="E562" s="2">
        <v>362.42</v>
      </c>
      <c r="F562" s="2">
        <v>362.42</v>
      </c>
      <c r="G562" s="2"/>
      <c r="H562" s="2"/>
      <c r="I562" s="2" t="b">
        <f t="shared" si="2"/>
        <v>1</v>
      </c>
      <c r="J562" s="2"/>
      <c r="K562" s="2"/>
      <c r="L562" s="2"/>
      <c r="M562" s="2"/>
      <c r="N562" s="2"/>
      <c r="O562" s="2"/>
      <c r="P562" s="2"/>
      <c r="Q562" s="2"/>
      <c r="R562" s="2"/>
      <c r="S562" s="2"/>
      <c r="T562" s="2"/>
      <c r="U562" s="2"/>
      <c r="V562" s="2"/>
      <c r="W562" s="2"/>
    </row>
    <row r="563" spans="1:23" ht="75" customHeight="1" x14ac:dyDescent="0.15">
      <c r="A563" s="2">
        <v>646</v>
      </c>
      <c r="B563" s="2" t="s">
        <v>633</v>
      </c>
      <c r="C563" s="2" t="s">
        <v>634</v>
      </c>
      <c r="D563" s="2" t="s">
        <v>198</v>
      </c>
      <c r="E563" s="2">
        <v>360.8</v>
      </c>
      <c r="F563" s="2">
        <v>360.8</v>
      </c>
      <c r="G563" s="2"/>
      <c r="H563" s="2"/>
      <c r="I563" s="2" t="b">
        <f t="shared" si="2"/>
        <v>1</v>
      </c>
      <c r="J563" s="2"/>
      <c r="K563" s="2"/>
      <c r="L563" s="2"/>
      <c r="M563" s="2"/>
      <c r="N563" s="2"/>
      <c r="O563" s="2"/>
      <c r="P563" s="2"/>
      <c r="Q563" s="2"/>
      <c r="R563" s="2"/>
      <c r="S563" s="2"/>
      <c r="T563" s="2"/>
      <c r="U563" s="2"/>
      <c r="V563" s="2"/>
      <c r="W563" s="2"/>
    </row>
    <row r="564" spans="1:23" ht="75" customHeight="1" x14ac:dyDescent="0.15">
      <c r="A564" s="2">
        <v>647</v>
      </c>
      <c r="B564" s="2" t="s">
        <v>633</v>
      </c>
      <c r="C564" s="2" t="s">
        <v>634</v>
      </c>
      <c r="D564" s="2" t="s">
        <v>645</v>
      </c>
      <c r="E564" s="2">
        <v>316</v>
      </c>
      <c r="F564" s="2">
        <v>316</v>
      </c>
      <c r="G564" s="2"/>
      <c r="H564" s="2"/>
      <c r="I564" s="2" t="b">
        <f t="shared" si="2"/>
        <v>1</v>
      </c>
      <c r="J564" s="2"/>
      <c r="K564" s="2"/>
      <c r="L564" s="2"/>
      <c r="M564" s="2"/>
      <c r="N564" s="2"/>
      <c r="O564" s="2"/>
      <c r="P564" s="2"/>
      <c r="Q564" s="2"/>
      <c r="R564" s="2"/>
      <c r="S564" s="2"/>
      <c r="T564" s="2"/>
      <c r="U564" s="2"/>
      <c r="V564" s="2"/>
      <c r="W564" s="2"/>
    </row>
    <row r="565" spans="1:23" ht="75" customHeight="1" x14ac:dyDescent="0.15">
      <c r="A565" s="2">
        <v>648</v>
      </c>
      <c r="B565" s="2" t="s">
        <v>646</v>
      </c>
      <c r="C565" s="2" t="s">
        <v>647</v>
      </c>
      <c r="D565" s="2" t="s">
        <v>648</v>
      </c>
      <c r="E565" s="2">
        <v>452.5</v>
      </c>
      <c r="F565" s="2">
        <v>452.5</v>
      </c>
      <c r="G565" s="2"/>
      <c r="H565" s="2"/>
      <c r="I565" s="2" t="b">
        <f t="shared" si="2"/>
        <v>1</v>
      </c>
      <c r="J565" s="2"/>
      <c r="K565" s="2"/>
      <c r="L565" s="2"/>
      <c r="M565" s="2"/>
      <c r="N565" s="2"/>
      <c r="O565" s="2"/>
      <c r="P565" s="2"/>
      <c r="Q565" s="2"/>
      <c r="R565" s="2"/>
      <c r="S565" s="2"/>
      <c r="T565" s="2"/>
      <c r="U565" s="2"/>
      <c r="V565" s="2"/>
      <c r="W565" s="2"/>
    </row>
    <row r="566" spans="1:23" ht="75" customHeight="1" x14ac:dyDescent="0.15">
      <c r="A566" s="2">
        <v>649</v>
      </c>
      <c r="B566" s="2" t="s">
        <v>646</v>
      </c>
      <c r="C566" s="2" t="s">
        <v>647</v>
      </c>
      <c r="D566" s="2" t="s">
        <v>644</v>
      </c>
      <c r="E566" s="2">
        <v>358</v>
      </c>
      <c r="F566" s="2">
        <v>358</v>
      </c>
      <c r="G566" s="2"/>
      <c r="H566" s="2"/>
      <c r="I566" s="2" t="b">
        <f t="shared" si="2"/>
        <v>1</v>
      </c>
      <c r="J566" s="2"/>
      <c r="K566" s="2"/>
      <c r="L566" s="2"/>
      <c r="M566" s="2"/>
      <c r="N566" s="2"/>
      <c r="O566" s="2"/>
      <c r="P566" s="2"/>
      <c r="Q566" s="2"/>
      <c r="R566" s="2"/>
      <c r="S566" s="2"/>
      <c r="T566" s="2"/>
      <c r="U566" s="2"/>
      <c r="V566" s="2"/>
      <c r="W566" s="2"/>
    </row>
    <row r="567" spans="1:23" ht="75" customHeight="1" x14ac:dyDescent="0.15">
      <c r="A567" s="2">
        <v>650</v>
      </c>
      <c r="B567" s="2" t="s">
        <v>646</v>
      </c>
      <c r="C567" s="2" t="s">
        <v>647</v>
      </c>
      <c r="D567" s="2" t="s">
        <v>649</v>
      </c>
      <c r="E567" s="2">
        <v>517.25</v>
      </c>
      <c r="F567" s="2">
        <v>517.25</v>
      </c>
      <c r="G567" s="2"/>
      <c r="H567" s="2"/>
      <c r="I567" s="2" t="b">
        <f t="shared" si="2"/>
        <v>1</v>
      </c>
      <c r="J567" s="2"/>
      <c r="K567" s="2"/>
      <c r="L567" s="2"/>
      <c r="M567" s="2"/>
      <c r="N567" s="2"/>
      <c r="O567" s="2"/>
      <c r="P567" s="2"/>
      <c r="Q567" s="2"/>
      <c r="R567" s="2"/>
      <c r="S567" s="2"/>
      <c r="T567" s="2"/>
      <c r="U567" s="2"/>
      <c r="V567" s="2"/>
      <c r="W567" s="2"/>
    </row>
    <row r="568" spans="1:23" ht="75" customHeight="1" x14ac:dyDescent="0.15">
      <c r="A568" s="2">
        <v>651</v>
      </c>
      <c r="B568" s="2" t="s">
        <v>646</v>
      </c>
      <c r="C568" s="2" t="s">
        <v>647</v>
      </c>
      <c r="D568" s="2" t="s">
        <v>650</v>
      </c>
      <c r="E568" s="2">
        <v>506.75</v>
      </c>
      <c r="F568" s="2">
        <v>506.75</v>
      </c>
      <c r="G568" s="2"/>
      <c r="H568" s="2"/>
      <c r="I568" s="2" t="b">
        <f t="shared" si="2"/>
        <v>1</v>
      </c>
      <c r="J568" s="2"/>
      <c r="K568" s="2"/>
      <c r="L568" s="2"/>
      <c r="M568" s="2"/>
      <c r="N568" s="2"/>
      <c r="O568" s="2"/>
      <c r="P568" s="2"/>
      <c r="Q568" s="2"/>
      <c r="R568" s="2"/>
      <c r="S568" s="2"/>
      <c r="T568" s="2"/>
      <c r="U568" s="2"/>
      <c r="V568" s="2"/>
      <c r="W568" s="2"/>
    </row>
    <row r="569" spans="1:23" ht="75" customHeight="1" x14ac:dyDescent="0.15">
      <c r="A569" s="2">
        <v>652</v>
      </c>
      <c r="B569" s="2" t="s">
        <v>646</v>
      </c>
      <c r="C569" s="2" t="s">
        <v>647</v>
      </c>
      <c r="D569" s="2" t="s">
        <v>645</v>
      </c>
      <c r="E569" s="2">
        <v>321.25</v>
      </c>
      <c r="F569" s="2">
        <v>321.25</v>
      </c>
      <c r="G569" s="2"/>
      <c r="H569" s="2"/>
      <c r="I569" s="2" t="b">
        <f t="shared" si="2"/>
        <v>1</v>
      </c>
      <c r="J569" s="2"/>
      <c r="K569" s="2"/>
      <c r="L569" s="2"/>
      <c r="M569" s="2"/>
      <c r="N569" s="2"/>
      <c r="O569" s="2"/>
      <c r="P569" s="2"/>
      <c r="Q569" s="2"/>
      <c r="R569" s="2"/>
      <c r="S569" s="2"/>
      <c r="T569" s="2"/>
      <c r="U569" s="2"/>
      <c r="V569" s="2"/>
      <c r="W569" s="2"/>
    </row>
    <row r="570" spans="1:23" ht="75" customHeight="1" x14ac:dyDescent="0.15">
      <c r="A570" s="2">
        <v>653</v>
      </c>
      <c r="B570" s="2" t="s">
        <v>646</v>
      </c>
      <c r="C570" s="2" t="s">
        <v>647</v>
      </c>
      <c r="D570" s="2" t="s">
        <v>651</v>
      </c>
      <c r="E570" s="2">
        <v>359.75</v>
      </c>
      <c r="F570" s="2">
        <v>359.75</v>
      </c>
      <c r="G570" s="2"/>
      <c r="H570" s="2"/>
      <c r="I570" s="2" t="b">
        <f t="shared" si="2"/>
        <v>1</v>
      </c>
      <c r="J570" s="2"/>
      <c r="K570" s="2"/>
      <c r="L570" s="2"/>
      <c r="M570" s="2"/>
      <c r="N570" s="2"/>
      <c r="O570" s="2"/>
      <c r="P570" s="2"/>
      <c r="Q570" s="2"/>
      <c r="R570" s="2"/>
      <c r="S570" s="2"/>
      <c r="T570" s="2"/>
      <c r="U570" s="2"/>
      <c r="V570" s="2"/>
      <c r="W570" s="2"/>
    </row>
    <row r="571" spans="1:23" ht="75" customHeight="1" x14ac:dyDescent="0.15">
      <c r="A571" s="2">
        <v>654</v>
      </c>
      <c r="B571" s="2" t="s">
        <v>646</v>
      </c>
      <c r="C571" s="2" t="s">
        <v>647</v>
      </c>
      <c r="D571" s="2" t="s">
        <v>652</v>
      </c>
      <c r="E571" s="2">
        <v>461.25</v>
      </c>
      <c r="F571" s="2">
        <v>461.25</v>
      </c>
      <c r="G571" s="2"/>
      <c r="H571" s="2"/>
      <c r="I571" s="2" t="b">
        <f t="shared" si="2"/>
        <v>1</v>
      </c>
      <c r="J571" s="2"/>
      <c r="K571" s="2"/>
      <c r="L571" s="2"/>
      <c r="M571" s="2"/>
      <c r="N571" s="2"/>
      <c r="O571" s="2"/>
      <c r="P571" s="2"/>
      <c r="Q571" s="2"/>
      <c r="R571" s="2"/>
      <c r="S571" s="2"/>
      <c r="T571" s="2"/>
      <c r="U571" s="2"/>
      <c r="V571" s="2"/>
      <c r="W571" s="2"/>
    </row>
    <row r="572" spans="1:23" ht="75" customHeight="1" x14ac:dyDescent="0.15">
      <c r="A572" s="2">
        <v>655</v>
      </c>
      <c r="B572" s="2" t="s">
        <v>646</v>
      </c>
      <c r="C572" s="2" t="s">
        <v>647</v>
      </c>
      <c r="D572" s="2" t="s">
        <v>637</v>
      </c>
      <c r="E572" s="2">
        <v>354.5</v>
      </c>
      <c r="F572" s="2">
        <v>354.5</v>
      </c>
      <c r="G572" s="2"/>
      <c r="H572" s="2"/>
      <c r="I572" s="2" t="b">
        <f t="shared" si="2"/>
        <v>1</v>
      </c>
      <c r="J572" s="2"/>
      <c r="K572" s="2"/>
      <c r="L572" s="2"/>
      <c r="M572" s="2"/>
      <c r="N572" s="2"/>
      <c r="O572" s="2"/>
      <c r="P572" s="2"/>
      <c r="Q572" s="2"/>
      <c r="R572" s="2"/>
      <c r="S572" s="2"/>
      <c r="T572" s="2"/>
      <c r="U572" s="2"/>
      <c r="V572" s="2"/>
      <c r="W572" s="2"/>
    </row>
    <row r="573" spans="1:23" ht="75" customHeight="1" x14ac:dyDescent="0.15">
      <c r="A573" s="2">
        <v>656</v>
      </c>
      <c r="B573" s="2" t="s">
        <v>646</v>
      </c>
      <c r="C573" s="2" t="s">
        <v>647</v>
      </c>
      <c r="D573" s="2" t="s">
        <v>653</v>
      </c>
      <c r="E573" s="2">
        <v>335.25</v>
      </c>
      <c r="F573" s="2">
        <v>335.25</v>
      </c>
      <c r="G573" s="2"/>
      <c r="H573" s="2"/>
      <c r="I573" s="2" t="b">
        <f t="shared" si="2"/>
        <v>1</v>
      </c>
      <c r="J573" s="2"/>
      <c r="K573" s="2"/>
      <c r="L573" s="2"/>
      <c r="M573" s="2"/>
      <c r="N573" s="2"/>
      <c r="O573" s="2"/>
      <c r="P573" s="2"/>
      <c r="Q573" s="2"/>
      <c r="R573" s="2"/>
      <c r="S573" s="2"/>
      <c r="T573" s="2"/>
      <c r="U573" s="2"/>
      <c r="V573" s="2"/>
      <c r="W573" s="2"/>
    </row>
    <row r="574" spans="1:23" ht="75" customHeight="1" x14ac:dyDescent="0.15">
      <c r="A574" s="2">
        <v>657</v>
      </c>
      <c r="B574" s="2" t="s">
        <v>646</v>
      </c>
      <c r="C574" s="2" t="s">
        <v>647</v>
      </c>
      <c r="D574" s="2" t="s">
        <v>654</v>
      </c>
      <c r="E574" s="2">
        <v>524.25</v>
      </c>
      <c r="F574" s="2">
        <v>524.25</v>
      </c>
      <c r="G574" s="2"/>
      <c r="H574" s="2"/>
      <c r="I574" s="2" t="b">
        <f t="shared" si="2"/>
        <v>1</v>
      </c>
      <c r="J574" s="2"/>
      <c r="K574" s="2"/>
      <c r="L574" s="2"/>
      <c r="M574" s="2"/>
      <c r="N574" s="2"/>
      <c r="O574" s="2"/>
      <c r="P574" s="2"/>
      <c r="Q574" s="2"/>
      <c r="R574" s="2"/>
      <c r="S574" s="2"/>
      <c r="T574" s="2"/>
      <c r="U574" s="2"/>
      <c r="V574" s="2"/>
      <c r="W574" s="2"/>
    </row>
    <row r="575" spans="1:23" ht="75" customHeight="1" x14ac:dyDescent="0.15">
      <c r="A575" s="2">
        <v>658</v>
      </c>
      <c r="B575" s="2" t="s">
        <v>646</v>
      </c>
      <c r="C575" s="2" t="s">
        <v>647</v>
      </c>
      <c r="D575" s="2" t="s">
        <v>655</v>
      </c>
      <c r="E575" s="2">
        <v>438.5</v>
      </c>
      <c r="F575" s="2">
        <v>438.5</v>
      </c>
      <c r="G575" s="2"/>
      <c r="H575" s="2"/>
      <c r="I575" s="2" t="b">
        <f t="shared" si="2"/>
        <v>1</v>
      </c>
      <c r="J575" s="2"/>
      <c r="K575" s="2"/>
      <c r="L575" s="2"/>
      <c r="M575" s="2"/>
      <c r="N575" s="2"/>
      <c r="O575" s="2"/>
      <c r="P575" s="2"/>
      <c r="Q575" s="2"/>
      <c r="R575" s="2"/>
      <c r="S575" s="2"/>
      <c r="T575" s="2"/>
      <c r="U575" s="2"/>
      <c r="V575" s="2"/>
      <c r="W575" s="2"/>
    </row>
    <row r="576" spans="1:23" ht="75" customHeight="1" x14ac:dyDescent="0.15">
      <c r="A576" s="2">
        <v>659</v>
      </c>
      <c r="B576" s="2" t="s">
        <v>646</v>
      </c>
      <c r="C576" s="2" t="s">
        <v>647</v>
      </c>
      <c r="D576" s="2" t="s">
        <v>632</v>
      </c>
      <c r="E576" s="2">
        <v>415.75</v>
      </c>
      <c r="F576" s="2">
        <v>415.75</v>
      </c>
      <c r="G576" s="2"/>
      <c r="H576" s="2"/>
      <c r="I576" s="2" t="b">
        <f t="shared" si="2"/>
        <v>1</v>
      </c>
      <c r="J576" s="2"/>
      <c r="K576" s="2"/>
      <c r="L576" s="2"/>
      <c r="M576" s="2"/>
      <c r="N576" s="2"/>
      <c r="O576" s="2"/>
      <c r="P576" s="2"/>
      <c r="Q576" s="2"/>
      <c r="R576" s="2"/>
      <c r="S576" s="2"/>
      <c r="T576" s="2"/>
      <c r="U576" s="2"/>
      <c r="V576" s="2"/>
      <c r="W576" s="2"/>
    </row>
    <row r="577" spans="1:23" ht="75" customHeight="1" x14ac:dyDescent="0.15">
      <c r="A577" s="2">
        <v>660</v>
      </c>
      <c r="B577" s="2" t="s">
        <v>646</v>
      </c>
      <c r="C577" s="2" t="s">
        <v>647</v>
      </c>
      <c r="D577" s="2" t="s">
        <v>656</v>
      </c>
      <c r="E577" s="2">
        <v>489.25</v>
      </c>
      <c r="F577" s="2">
        <v>489.25</v>
      </c>
      <c r="G577" s="2"/>
      <c r="H577" s="2"/>
      <c r="I577" s="2" t="b">
        <f t="shared" si="2"/>
        <v>1</v>
      </c>
      <c r="J577" s="2"/>
      <c r="K577" s="2"/>
      <c r="L577" s="2"/>
      <c r="M577" s="2"/>
      <c r="N577" s="2"/>
      <c r="O577" s="2"/>
      <c r="P577" s="2"/>
      <c r="Q577" s="2"/>
      <c r="R577" s="2"/>
      <c r="S577" s="2"/>
      <c r="T577" s="2"/>
      <c r="U577" s="2"/>
      <c r="V577" s="2"/>
      <c r="W577" s="2"/>
    </row>
    <row r="578" spans="1:23" ht="75" customHeight="1" x14ac:dyDescent="0.15">
      <c r="A578" s="2">
        <v>661</v>
      </c>
      <c r="B578" s="2" t="s">
        <v>646</v>
      </c>
      <c r="C578" s="2" t="s">
        <v>647</v>
      </c>
      <c r="D578" s="2" t="s">
        <v>210</v>
      </c>
      <c r="E578" s="2">
        <v>494.5</v>
      </c>
      <c r="F578" s="2">
        <v>494.5</v>
      </c>
      <c r="G578" s="2"/>
      <c r="H578" s="2"/>
      <c r="I578" s="2" t="b">
        <f t="shared" si="2"/>
        <v>1</v>
      </c>
      <c r="J578" s="2"/>
      <c r="K578" s="2"/>
      <c r="L578" s="2"/>
      <c r="M578" s="2"/>
      <c r="N578" s="2"/>
      <c r="O578" s="2"/>
      <c r="P578" s="2"/>
      <c r="Q578" s="2"/>
      <c r="R578" s="2"/>
      <c r="S578" s="2"/>
      <c r="T578" s="2"/>
      <c r="U578" s="2"/>
      <c r="V578" s="2"/>
      <c r="W578" s="2"/>
    </row>
    <row r="579" spans="1:23" ht="75" customHeight="1" x14ac:dyDescent="0.15">
      <c r="A579" s="2">
        <v>662</v>
      </c>
      <c r="B579" s="2" t="s">
        <v>646</v>
      </c>
      <c r="C579" s="2" t="s">
        <v>647</v>
      </c>
      <c r="D579" s="2" t="s">
        <v>657</v>
      </c>
      <c r="E579" s="2">
        <v>349.25</v>
      </c>
      <c r="F579" s="2">
        <v>349.25</v>
      </c>
      <c r="G579" s="2"/>
      <c r="H579" s="2"/>
      <c r="I579" s="2" t="b">
        <f t="shared" si="2"/>
        <v>1</v>
      </c>
      <c r="J579" s="2"/>
      <c r="K579" s="2"/>
      <c r="L579" s="2"/>
      <c r="M579" s="2"/>
      <c r="N579" s="2"/>
      <c r="O579" s="2"/>
      <c r="P579" s="2"/>
      <c r="Q579" s="2"/>
      <c r="R579" s="2"/>
      <c r="S579" s="2"/>
      <c r="T579" s="2"/>
      <c r="U579" s="2"/>
      <c r="V579" s="2"/>
      <c r="W579" s="2"/>
    </row>
    <row r="580" spans="1:23" ht="75" customHeight="1" x14ac:dyDescent="0.15">
      <c r="A580" s="2">
        <v>663</v>
      </c>
      <c r="B580" s="2" t="s">
        <v>646</v>
      </c>
      <c r="C580" s="2" t="s">
        <v>647</v>
      </c>
      <c r="D580" s="2" t="s">
        <v>658</v>
      </c>
      <c r="E580" s="2">
        <v>326.5</v>
      </c>
      <c r="F580" s="2">
        <v>326.5</v>
      </c>
      <c r="G580" s="2"/>
      <c r="H580" s="2"/>
      <c r="I580" s="2" t="b">
        <f t="shared" si="2"/>
        <v>1</v>
      </c>
      <c r="J580" s="2"/>
      <c r="K580" s="2"/>
      <c r="L580" s="2"/>
      <c r="M580" s="2"/>
      <c r="N580" s="2"/>
      <c r="O580" s="2"/>
      <c r="P580" s="2"/>
      <c r="Q580" s="2"/>
      <c r="R580" s="2"/>
      <c r="S580" s="2"/>
      <c r="T580" s="2"/>
      <c r="U580" s="2"/>
      <c r="V580" s="2"/>
      <c r="W580" s="2"/>
    </row>
    <row r="581" spans="1:23" ht="75" customHeight="1" x14ac:dyDescent="0.15">
      <c r="A581" s="2">
        <v>664</v>
      </c>
      <c r="B581" s="2" t="s">
        <v>646</v>
      </c>
      <c r="C581" s="2" t="s">
        <v>647</v>
      </c>
      <c r="D581" s="2" t="s">
        <v>659</v>
      </c>
      <c r="E581" s="2">
        <v>405.25</v>
      </c>
      <c r="F581" s="2">
        <v>405.25</v>
      </c>
      <c r="G581" s="2"/>
      <c r="H581" s="2"/>
      <c r="I581" s="2" t="b">
        <f t="shared" si="2"/>
        <v>1</v>
      </c>
      <c r="J581" s="2"/>
      <c r="K581" s="2"/>
      <c r="L581" s="2"/>
      <c r="M581" s="2"/>
      <c r="N581" s="2"/>
      <c r="O581" s="2"/>
      <c r="P581" s="2"/>
      <c r="Q581" s="2"/>
      <c r="R581" s="2"/>
      <c r="S581" s="2"/>
      <c r="T581" s="2"/>
      <c r="U581" s="2"/>
      <c r="V581" s="2"/>
      <c r="W581" s="2"/>
    </row>
    <row r="582" spans="1:23" ht="75" customHeight="1" x14ac:dyDescent="0.15">
      <c r="A582" s="2">
        <v>665</v>
      </c>
      <c r="B582" s="2" t="s">
        <v>646</v>
      </c>
      <c r="C582" s="2" t="s">
        <v>647</v>
      </c>
      <c r="D582" s="2" t="s">
        <v>203</v>
      </c>
      <c r="E582" s="2">
        <v>403.5</v>
      </c>
      <c r="F582" s="2">
        <v>403.5</v>
      </c>
      <c r="G582" s="2"/>
      <c r="H582" s="2"/>
      <c r="I582" s="2" t="b">
        <f t="shared" si="2"/>
        <v>1</v>
      </c>
      <c r="J582" s="2"/>
      <c r="K582" s="2"/>
      <c r="L582" s="2"/>
      <c r="M582" s="2"/>
      <c r="N582" s="2"/>
      <c r="O582" s="2"/>
      <c r="P582" s="2"/>
      <c r="Q582" s="2"/>
      <c r="R582" s="2"/>
      <c r="S582" s="2"/>
      <c r="T582" s="2"/>
      <c r="U582" s="2"/>
      <c r="V582" s="2"/>
      <c r="W582" s="2"/>
    </row>
    <row r="583" spans="1:23" ht="75" customHeight="1" x14ac:dyDescent="0.15">
      <c r="A583" s="2">
        <v>666</v>
      </c>
      <c r="B583" s="2" t="s">
        <v>646</v>
      </c>
      <c r="C583" s="2" t="s">
        <v>647</v>
      </c>
      <c r="D583" s="2" t="s">
        <v>660</v>
      </c>
      <c r="E583" s="2">
        <v>414</v>
      </c>
      <c r="F583" s="2">
        <v>414</v>
      </c>
      <c r="G583" s="2"/>
      <c r="H583" s="2"/>
      <c r="I583" s="2" t="b">
        <f t="shared" si="2"/>
        <v>1</v>
      </c>
      <c r="J583" s="2"/>
      <c r="K583" s="2"/>
      <c r="L583" s="2"/>
      <c r="M583" s="2"/>
      <c r="N583" s="2"/>
      <c r="O583" s="2"/>
      <c r="P583" s="2"/>
      <c r="Q583" s="2"/>
      <c r="R583" s="2"/>
      <c r="S583" s="2"/>
      <c r="T583" s="2"/>
      <c r="U583" s="2"/>
      <c r="V583" s="2"/>
      <c r="W583" s="2"/>
    </row>
    <row r="584" spans="1:23" ht="75" customHeight="1" x14ac:dyDescent="0.15">
      <c r="A584" s="2">
        <v>667</v>
      </c>
      <c r="B584" s="2" t="s">
        <v>646</v>
      </c>
      <c r="C584" s="2" t="s">
        <v>647</v>
      </c>
      <c r="D584" s="2" t="s">
        <v>661</v>
      </c>
      <c r="E584" s="2">
        <v>475.25</v>
      </c>
      <c r="F584" s="2">
        <v>475.25</v>
      </c>
      <c r="G584" s="2"/>
      <c r="H584" s="2"/>
      <c r="I584" s="2" t="b">
        <f t="shared" si="2"/>
        <v>1</v>
      </c>
      <c r="J584" s="2"/>
      <c r="K584" s="2"/>
      <c r="L584" s="2"/>
      <c r="M584" s="2"/>
      <c r="N584" s="2"/>
      <c r="O584" s="2"/>
      <c r="P584" s="2"/>
      <c r="Q584" s="2"/>
      <c r="R584" s="2"/>
      <c r="S584" s="2"/>
      <c r="T584" s="2"/>
      <c r="U584" s="2"/>
      <c r="V584" s="2"/>
      <c r="W584" s="2"/>
    </row>
    <row r="585" spans="1:23" ht="75" customHeight="1" x14ac:dyDescent="0.15">
      <c r="A585" s="2">
        <v>668</v>
      </c>
      <c r="B585" s="2" t="s">
        <v>662</v>
      </c>
      <c r="C585" s="2" t="s">
        <v>663</v>
      </c>
      <c r="D585" s="2" t="s">
        <v>200</v>
      </c>
      <c r="E585" s="2">
        <v>469.33</v>
      </c>
      <c r="F585" s="2">
        <v>469.33</v>
      </c>
      <c r="G585" s="2"/>
      <c r="H585" s="2"/>
      <c r="I585" s="2" t="b">
        <f t="shared" si="2"/>
        <v>1</v>
      </c>
      <c r="J585" s="2"/>
      <c r="K585" s="2"/>
      <c r="L585" s="2"/>
      <c r="M585" s="2"/>
      <c r="N585" s="2"/>
      <c r="O585" s="2"/>
      <c r="P585" s="2"/>
      <c r="Q585" s="2"/>
      <c r="R585" s="2"/>
      <c r="S585" s="2"/>
      <c r="T585" s="2"/>
      <c r="U585" s="2"/>
      <c r="V585" s="2"/>
      <c r="W585" s="2"/>
    </row>
    <row r="586" spans="1:23" ht="75" customHeight="1" x14ac:dyDescent="0.15">
      <c r="A586" s="2">
        <v>669</v>
      </c>
      <c r="B586" s="2" t="s">
        <v>662</v>
      </c>
      <c r="C586" s="2" t="s">
        <v>663</v>
      </c>
      <c r="D586" s="2" t="s">
        <v>664</v>
      </c>
      <c r="E586" s="2">
        <v>546.33000000000004</v>
      </c>
      <c r="F586" s="2">
        <v>546.33000000000004</v>
      </c>
      <c r="G586" s="2"/>
      <c r="H586" s="2"/>
      <c r="I586" s="2" t="b">
        <f t="shared" si="2"/>
        <v>1</v>
      </c>
      <c r="J586" s="2"/>
      <c r="K586" s="2"/>
      <c r="L586" s="2"/>
      <c r="M586" s="2"/>
      <c r="N586" s="2"/>
      <c r="O586" s="2"/>
      <c r="P586" s="2"/>
      <c r="Q586" s="2"/>
      <c r="R586" s="2"/>
      <c r="S586" s="2"/>
      <c r="T586" s="2"/>
      <c r="U586" s="2"/>
      <c r="V586" s="2"/>
      <c r="W586" s="2"/>
    </row>
    <row r="587" spans="1:23" ht="75" customHeight="1" x14ac:dyDescent="0.15">
      <c r="A587" s="2">
        <v>670</v>
      </c>
      <c r="B587" s="2" t="s">
        <v>662</v>
      </c>
      <c r="C587" s="2" t="s">
        <v>663</v>
      </c>
      <c r="D587" s="2" t="s">
        <v>658</v>
      </c>
      <c r="E587" s="2">
        <v>326.33</v>
      </c>
      <c r="F587" s="2">
        <v>326.33</v>
      </c>
      <c r="G587" s="2"/>
      <c r="H587" s="2"/>
      <c r="I587" s="2" t="b">
        <f t="shared" si="2"/>
        <v>1</v>
      </c>
      <c r="J587" s="2"/>
      <c r="K587" s="2"/>
      <c r="L587" s="2"/>
      <c r="M587" s="2"/>
      <c r="N587" s="2"/>
      <c r="O587" s="2"/>
      <c r="P587" s="2"/>
      <c r="Q587" s="2"/>
      <c r="R587" s="2"/>
      <c r="S587" s="2"/>
      <c r="T587" s="2"/>
      <c r="U587" s="2"/>
      <c r="V587" s="2"/>
      <c r="W587" s="2"/>
    </row>
    <row r="588" spans="1:23" ht="75" customHeight="1" x14ac:dyDescent="0.15">
      <c r="A588" s="2">
        <v>671</v>
      </c>
      <c r="B588" s="2" t="s">
        <v>662</v>
      </c>
      <c r="C588" s="2" t="s">
        <v>663</v>
      </c>
      <c r="D588" s="2" t="s">
        <v>665</v>
      </c>
      <c r="E588" s="2">
        <v>401.5</v>
      </c>
      <c r="F588" s="2">
        <v>401.5</v>
      </c>
      <c r="G588" s="2"/>
      <c r="H588" s="2"/>
      <c r="I588" s="2" t="b">
        <f t="shared" si="2"/>
        <v>1</v>
      </c>
      <c r="J588" s="2"/>
      <c r="K588" s="2"/>
      <c r="L588" s="2"/>
      <c r="M588" s="2"/>
      <c r="N588" s="2"/>
      <c r="O588" s="2"/>
      <c r="P588" s="2"/>
      <c r="Q588" s="2"/>
      <c r="R588" s="2"/>
      <c r="S588" s="2"/>
      <c r="T588" s="2"/>
      <c r="U588" s="2"/>
      <c r="V588" s="2"/>
      <c r="W588" s="2"/>
    </row>
    <row r="589" spans="1:23" ht="75" customHeight="1" x14ac:dyDescent="0.15">
      <c r="A589" s="2">
        <v>672</v>
      </c>
      <c r="B589" s="2" t="s">
        <v>662</v>
      </c>
      <c r="C589" s="2" t="s">
        <v>663</v>
      </c>
      <c r="D589" s="2" t="s">
        <v>642</v>
      </c>
      <c r="E589" s="2">
        <v>386.83</v>
      </c>
      <c r="F589" s="2">
        <v>386.83</v>
      </c>
      <c r="G589" s="2"/>
      <c r="H589" s="2"/>
      <c r="I589" s="2" t="b">
        <f t="shared" si="2"/>
        <v>1</v>
      </c>
      <c r="J589" s="2"/>
      <c r="K589" s="2"/>
      <c r="L589" s="2"/>
      <c r="M589" s="2"/>
      <c r="N589" s="2"/>
      <c r="O589" s="2"/>
      <c r="P589" s="2"/>
      <c r="Q589" s="2"/>
      <c r="R589" s="2"/>
      <c r="S589" s="2"/>
      <c r="T589" s="2"/>
      <c r="U589" s="2"/>
      <c r="V589" s="2"/>
      <c r="W589" s="2"/>
    </row>
    <row r="590" spans="1:23" ht="75" customHeight="1" x14ac:dyDescent="0.15">
      <c r="A590" s="2">
        <v>673</v>
      </c>
      <c r="B590" s="2" t="s">
        <v>662</v>
      </c>
      <c r="C590" s="2" t="s">
        <v>663</v>
      </c>
      <c r="D590" s="2" t="s">
        <v>650</v>
      </c>
      <c r="E590" s="2">
        <v>515.16999999999996</v>
      </c>
      <c r="F590" s="2">
        <v>515.16999999999996</v>
      </c>
      <c r="G590" s="2"/>
      <c r="H590" s="2"/>
      <c r="I590" s="2" t="b">
        <f t="shared" si="2"/>
        <v>1</v>
      </c>
      <c r="J590" s="2"/>
      <c r="K590" s="2"/>
      <c r="L590" s="2"/>
      <c r="M590" s="2"/>
      <c r="N590" s="2"/>
      <c r="O590" s="2"/>
      <c r="P590" s="2"/>
      <c r="Q590" s="2"/>
      <c r="R590" s="2"/>
      <c r="S590" s="2"/>
      <c r="T590" s="2"/>
      <c r="U590" s="2"/>
      <c r="V590" s="2"/>
      <c r="W590" s="2"/>
    </row>
    <row r="591" spans="1:23" ht="75" customHeight="1" x14ac:dyDescent="0.15">
      <c r="A591" s="2">
        <v>674</v>
      </c>
      <c r="B591" s="2" t="s">
        <v>662</v>
      </c>
      <c r="C591" s="2" t="s">
        <v>663</v>
      </c>
      <c r="D591" s="2" t="s">
        <v>666</v>
      </c>
      <c r="E591" s="2">
        <v>364.83</v>
      </c>
      <c r="F591" s="2">
        <v>364.83</v>
      </c>
      <c r="G591" s="2"/>
      <c r="H591" s="2"/>
      <c r="I591" s="2" t="b">
        <f t="shared" si="2"/>
        <v>1</v>
      </c>
      <c r="J591" s="2"/>
      <c r="K591" s="2"/>
      <c r="L591" s="2"/>
      <c r="M591" s="2"/>
      <c r="N591" s="2"/>
      <c r="O591" s="2"/>
      <c r="P591" s="2"/>
      <c r="Q591" s="2"/>
      <c r="R591" s="2"/>
      <c r="S591" s="2"/>
      <c r="T591" s="2"/>
      <c r="U591" s="2"/>
      <c r="V591" s="2"/>
      <c r="W591" s="2"/>
    </row>
    <row r="592" spans="1:23" ht="75" customHeight="1" x14ac:dyDescent="0.15">
      <c r="A592" s="2">
        <v>675</v>
      </c>
      <c r="B592" s="2" t="s">
        <v>662</v>
      </c>
      <c r="C592" s="2" t="s">
        <v>663</v>
      </c>
      <c r="D592" s="2" t="s">
        <v>657</v>
      </c>
      <c r="E592" s="2">
        <v>350.17</v>
      </c>
      <c r="F592" s="2">
        <v>350.17</v>
      </c>
      <c r="G592" s="2"/>
      <c r="H592" s="2"/>
      <c r="I592" s="2" t="b">
        <f t="shared" si="2"/>
        <v>1</v>
      </c>
      <c r="J592" s="2"/>
      <c r="K592" s="2"/>
      <c r="L592" s="2"/>
      <c r="M592" s="2"/>
      <c r="N592" s="2"/>
      <c r="O592" s="2"/>
      <c r="P592" s="2"/>
      <c r="Q592" s="2"/>
      <c r="R592" s="2"/>
      <c r="S592" s="2"/>
      <c r="T592" s="2"/>
      <c r="U592" s="2"/>
      <c r="V592" s="2"/>
      <c r="W592" s="2"/>
    </row>
    <row r="593" spans="1:23" ht="75" customHeight="1" x14ac:dyDescent="0.15">
      <c r="A593" s="2">
        <v>676</v>
      </c>
      <c r="B593" s="2" t="s">
        <v>662</v>
      </c>
      <c r="C593" s="2" t="s">
        <v>663</v>
      </c>
      <c r="D593" s="2" t="s">
        <v>667</v>
      </c>
      <c r="E593" s="2">
        <v>414.33</v>
      </c>
      <c r="F593" s="2">
        <v>414.33</v>
      </c>
      <c r="G593" s="2"/>
      <c r="H593" s="2"/>
      <c r="I593" s="2" t="b">
        <f t="shared" si="2"/>
        <v>1</v>
      </c>
      <c r="J593" s="2"/>
      <c r="K593" s="2"/>
      <c r="L593" s="2"/>
      <c r="M593" s="2"/>
      <c r="N593" s="2"/>
      <c r="O593" s="2"/>
      <c r="P593" s="2"/>
      <c r="Q593" s="2"/>
      <c r="R593" s="2"/>
      <c r="S593" s="2"/>
      <c r="T593" s="2"/>
      <c r="U593" s="2"/>
      <c r="V593" s="2"/>
      <c r="W593" s="2"/>
    </row>
    <row r="594" spans="1:23" ht="75" customHeight="1" x14ac:dyDescent="0.15">
      <c r="A594" s="2">
        <v>677</v>
      </c>
      <c r="B594" s="2" t="s">
        <v>662</v>
      </c>
      <c r="C594" s="2" t="s">
        <v>663</v>
      </c>
      <c r="D594" s="2" t="s">
        <v>203</v>
      </c>
      <c r="E594" s="2">
        <v>407</v>
      </c>
      <c r="F594" s="2">
        <v>407</v>
      </c>
      <c r="G594" s="2"/>
      <c r="H594" s="2"/>
      <c r="I594" s="2" t="b">
        <f t="shared" si="2"/>
        <v>1</v>
      </c>
      <c r="J594" s="2"/>
      <c r="K594" s="2"/>
      <c r="L594" s="2"/>
      <c r="M594" s="2"/>
      <c r="N594" s="2"/>
      <c r="O594" s="2"/>
      <c r="P594" s="2"/>
      <c r="Q594" s="2"/>
      <c r="R594" s="2"/>
      <c r="S594" s="2"/>
      <c r="T594" s="2"/>
      <c r="U594" s="2"/>
      <c r="V594" s="2"/>
      <c r="W594" s="2"/>
    </row>
    <row r="595" spans="1:23" ht="75" customHeight="1" x14ac:dyDescent="0.15">
      <c r="A595" s="2">
        <v>678</v>
      </c>
      <c r="B595" s="2" t="s">
        <v>662</v>
      </c>
      <c r="C595" s="2" t="s">
        <v>663</v>
      </c>
      <c r="D595" s="2" t="s">
        <v>668</v>
      </c>
      <c r="E595" s="2">
        <v>372.17</v>
      </c>
      <c r="F595" s="2">
        <v>372.17</v>
      </c>
      <c r="G595" s="2"/>
      <c r="H595" s="2"/>
      <c r="I595" s="2" t="b">
        <f t="shared" si="2"/>
        <v>1</v>
      </c>
      <c r="J595" s="2"/>
      <c r="K595" s="2"/>
      <c r="L595" s="2"/>
      <c r="M595" s="2"/>
      <c r="N595" s="2"/>
      <c r="O595" s="2"/>
      <c r="P595" s="2"/>
      <c r="Q595" s="2"/>
      <c r="R595" s="2"/>
      <c r="S595" s="2"/>
      <c r="T595" s="2"/>
      <c r="U595" s="2"/>
      <c r="V595" s="2"/>
      <c r="W595" s="2"/>
    </row>
    <row r="596" spans="1:23" ht="75" customHeight="1" x14ac:dyDescent="0.15">
      <c r="A596" s="2">
        <v>679</v>
      </c>
      <c r="B596" s="2" t="s">
        <v>662</v>
      </c>
      <c r="C596" s="2" t="s">
        <v>663</v>
      </c>
      <c r="D596" s="2" t="s">
        <v>666</v>
      </c>
      <c r="E596" s="2">
        <v>364.83</v>
      </c>
      <c r="F596" s="2">
        <v>364.83</v>
      </c>
      <c r="G596" s="2"/>
      <c r="H596" s="2"/>
      <c r="I596" s="2" t="b">
        <f t="shared" si="2"/>
        <v>1</v>
      </c>
      <c r="J596" s="2"/>
      <c r="K596" s="2"/>
      <c r="L596" s="2"/>
      <c r="M596" s="2"/>
      <c r="N596" s="2"/>
      <c r="O596" s="2"/>
      <c r="P596" s="2"/>
      <c r="Q596" s="2"/>
      <c r="R596" s="2"/>
      <c r="S596" s="2"/>
      <c r="T596" s="2"/>
      <c r="U596" s="2"/>
      <c r="V596" s="2"/>
      <c r="W596" s="2"/>
    </row>
    <row r="597" spans="1:23" ht="75" customHeight="1" x14ac:dyDescent="0.15">
      <c r="A597" s="2">
        <v>680</v>
      </c>
      <c r="B597" s="2" t="s">
        <v>662</v>
      </c>
      <c r="C597" s="2" t="s">
        <v>663</v>
      </c>
      <c r="D597" s="2" t="s">
        <v>622</v>
      </c>
      <c r="E597" s="2">
        <v>531.66999999999996</v>
      </c>
      <c r="F597" s="2">
        <v>531.66999999999996</v>
      </c>
      <c r="G597" s="2"/>
      <c r="H597" s="2"/>
      <c r="I597" s="2" t="b">
        <f t="shared" si="2"/>
        <v>1</v>
      </c>
      <c r="J597" s="2"/>
      <c r="K597" s="2"/>
      <c r="L597" s="2"/>
      <c r="M597" s="2"/>
      <c r="N597" s="2"/>
      <c r="O597" s="2"/>
      <c r="P597" s="2"/>
      <c r="Q597" s="2"/>
      <c r="R597" s="2"/>
      <c r="S597" s="2"/>
      <c r="T597" s="2"/>
      <c r="U597" s="2"/>
      <c r="V597" s="2"/>
      <c r="W597" s="2"/>
    </row>
    <row r="598" spans="1:23" ht="75" customHeight="1" x14ac:dyDescent="0.15">
      <c r="A598" s="2">
        <v>681</v>
      </c>
      <c r="B598" s="2" t="s">
        <v>662</v>
      </c>
      <c r="C598" s="2" t="s">
        <v>663</v>
      </c>
      <c r="D598" s="2" t="s">
        <v>669</v>
      </c>
      <c r="E598" s="2">
        <v>412.5</v>
      </c>
      <c r="F598" s="2">
        <v>412.5</v>
      </c>
      <c r="G598" s="2"/>
      <c r="H598" s="2"/>
      <c r="I598" s="2" t="b">
        <f t="shared" si="2"/>
        <v>1</v>
      </c>
      <c r="J598" s="2"/>
      <c r="K598" s="2"/>
      <c r="L598" s="2"/>
      <c r="M598" s="2"/>
      <c r="N598" s="2"/>
      <c r="O598" s="2"/>
      <c r="P598" s="2"/>
      <c r="Q598" s="2"/>
      <c r="R598" s="2"/>
      <c r="S598" s="2"/>
      <c r="T598" s="2"/>
      <c r="U598" s="2"/>
      <c r="V598" s="2"/>
      <c r="W598" s="2"/>
    </row>
    <row r="599" spans="1:23" ht="75" customHeight="1" x14ac:dyDescent="0.15">
      <c r="A599" s="2">
        <v>682</v>
      </c>
      <c r="B599" s="2" t="s">
        <v>662</v>
      </c>
      <c r="C599" s="2" t="s">
        <v>663</v>
      </c>
      <c r="D599" s="2" t="s">
        <v>650</v>
      </c>
      <c r="E599" s="2">
        <v>515.16999999999996</v>
      </c>
      <c r="F599" s="2">
        <v>515.16999999999996</v>
      </c>
      <c r="G599" s="2"/>
      <c r="H599" s="2"/>
      <c r="I599" s="2" t="b">
        <f t="shared" si="2"/>
        <v>1</v>
      </c>
      <c r="J599" s="2"/>
      <c r="K599" s="2"/>
      <c r="L599" s="2"/>
      <c r="M599" s="2"/>
      <c r="N599" s="2"/>
      <c r="O599" s="2"/>
      <c r="P599" s="2"/>
      <c r="Q599" s="2"/>
      <c r="R599" s="2"/>
      <c r="S599" s="2"/>
      <c r="T599" s="2"/>
      <c r="U599" s="2"/>
      <c r="V599" s="2"/>
      <c r="W599" s="2"/>
    </row>
    <row r="600" spans="1:23" ht="75" customHeight="1" x14ac:dyDescent="0.15">
      <c r="A600" s="2">
        <v>683</v>
      </c>
      <c r="B600" s="2" t="s">
        <v>670</v>
      </c>
      <c r="C600" s="2" t="s">
        <v>671</v>
      </c>
      <c r="D600" s="2" t="s">
        <v>672</v>
      </c>
      <c r="E600" s="2">
        <v>1.94</v>
      </c>
      <c r="F600" s="2">
        <v>1.94</v>
      </c>
      <c r="G600" s="2"/>
      <c r="H600" s="2"/>
      <c r="I600" s="2" t="b">
        <f t="shared" si="2"/>
        <v>1</v>
      </c>
      <c r="J600" s="2"/>
      <c r="K600" s="2"/>
      <c r="L600" s="2"/>
      <c r="M600" s="2"/>
      <c r="N600" s="2"/>
      <c r="O600" s="2"/>
      <c r="P600" s="2"/>
      <c r="Q600" s="2"/>
      <c r="R600" s="2"/>
      <c r="S600" s="2"/>
      <c r="T600" s="2"/>
      <c r="U600" s="2"/>
      <c r="V600" s="2"/>
      <c r="W600" s="2"/>
    </row>
    <row r="601" spans="1:23" ht="75" customHeight="1" x14ac:dyDescent="0.15">
      <c r="A601" s="2">
        <v>684</v>
      </c>
      <c r="B601" s="2" t="s">
        <v>662</v>
      </c>
      <c r="C601" s="2" t="s">
        <v>663</v>
      </c>
      <c r="D601" s="2" t="s">
        <v>208</v>
      </c>
      <c r="E601" s="2">
        <v>438.17</v>
      </c>
      <c r="F601" s="2">
        <v>438.17</v>
      </c>
      <c r="G601" s="2"/>
      <c r="H601" s="2"/>
      <c r="I601" s="2" t="b">
        <f t="shared" si="2"/>
        <v>1</v>
      </c>
      <c r="J601" s="2"/>
      <c r="K601" s="2"/>
      <c r="L601" s="2"/>
      <c r="M601" s="2"/>
      <c r="N601" s="2"/>
      <c r="O601" s="2"/>
      <c r="P601" s="2"/>
      <c r="Q601" s="2"/>
      <c r="R601" s="2"/>
      <c r="S601" s="2"/>
      <c r="T601" s="2"/>
      <c r="U601" s="2"/>
      <c r="V601" s="2"/>
      <c r="W601" s="2"/>
    </row>
    <row r="602" spans="1:23" ht="75" customHeight="1" x14ac:dyDescent="0.15">
      <c r="A602" s="2">
        <v>685</v>
      </c>
      <c r="B602" s="2" t="s">
        <v>670</v>
      </c>
      <c r="C602" s="2" t="s">
        <v>671</v>
      </c>
      <c r="D602" s="2" t="s">
        <v>673</v>
      </c>
      <c r="E602" s="2">
        <v>1.5</v>
      </c>
      <c r="F602" s="2">
        <v>1.5</v>
      </c>
      <c r="G602" s="2"/>
      <c r="H602" s="2"/>
      <c r="I602" s="2" t="b">
        <f t="shared" si="2"/>
        <v>1</v>
      </c>
      <c r="J602" s="2"/>
      <c r="K602" s="2"/>
      <c r="L602" s="2"/>
      <c r="M602" s="2"/>
      <c r="N602" s="2"/>
      <c r="O602" s="2"/>
      <c r="P602" s="2"/>
      <c r="Q602" s="2"/>
      <c r="R602" s="2"/>
      <c r="S602" s="2"/>
      <c r="T602" s="2"/>
      <c r="U602" s="2"/>
      <c r="V602" s="2"/>
      <c r="W602" s="2"/>
    </row>
    <row r="603" spans="1:23" ht="75" customHeight="1" x14ac:dyDescent="0.15">
      <c r="A603" s="2">
        <v>686</v>
      </c>
      <c r="B603" s="2" t="s">
        <v>662</v>
      </c>
      <c r="C603" s="2" t="s">
        <v>663</v>
      </c>
      <c r="D603" s="2" t="s">
        <v>674</v>
      </c>
      <c r="E603" s="2">
        <v>315.33</v>
      </c>
      <c r="F603" s="2">
        <v>315.33</v>
      </c>
      <c r="G603" s="2"/>
      <c r="H603" s="2"/>
      <c r="I603" s="2" t="b">
        <f t="shared" si="2"/>
        <v>1</v>
      </c>
      <c r="J603" s="2"/>
      <c r="K603" s="2"/>
      <c r="L603" s="2"/>
      <c r="M603" s="2"/>
      <c r="N603" s="2"/>
      <c r="O603" s="2"/>
      <c r="P603" s="2"/>
      <c r="Q603" s="2"/>
      <c r="R603" s="2"/>
      <c r="S603" s="2"/>
      <c r="T603" s="2"/>
      <c r="U603" s="2"/>
      <c r="V603" s="2"/>
      <c r="W603" s="2"/>
    </row>
    <row r="604" spans="1:23" ht="75" customHeight="1" x14ac:dyDescent="0.15">
      <c r="A604" s="2">
        <v>687</v>
      </c>
      <c r="B604" s="2" t="s">
        <v>662</v>
      </c>
      <c r="C604" s="2" t="s">
        <v>663</v>
      </c>
      <c r="D604" s="2" t="s">
        <v>675</v>
      </c>
      <c r="E604" s="2">
        <v>550</v>
      </c>
      <c r="F604" s="2">
        <v>550</v>
      </c>
      <c r="G604" s="2"/>
      <c r="H604" s="2"/>
      <c r="I604" s="2" t="b">
        <f t="shared" si="2"/>
        <v>1</v>
      </c>
      <c r="J604" s="2"/>
      <c r="K604" s="2"/>
      <c r="L604" s="2"/>
      <c r="M604" s="2"/>
      <c r="N604" s="2"/>
      <c r="O604" s="2"/>
      <c r="P604" s="2"/>
      <c r="Q604" s="2"/>
      <c r="R604" s="2"/>
      <c r="S604" s="2"/>
      <c r="T604" s="2"/>
      <c r="U604" s="2"/>
      <c r="V604" s="2"/>
      <c r="W604" s="2"/>
    </row>
    <row r="605" spans="1:23" ht="75" customHeight="1" x14ac:dyDescent="0.15">
      <c r="A605" s="2">
        <v>688</v>
      </c>
      <c r="B605" s="2" t="s">
        <v>670</v>
      </c>
      <c r="C605" s="2" t="s">
        <v>671</v>
      </c>
      <c r="D605" s="2" t="s">
        <v>676</v>
      </c>
      <c r="E605" s="2">
        <v>1.31</v>
      </c>
      <c r="F605" s="2">
        <v>1.31</v>
      </c>
      <c r="G605" s="2"/>
      <c r="H605" s="2"/>
      <c r="I605" s="2" t="b">
        <f t="shared" si="2"/>
        <v>1</v>
      </c>
      <c r="J605" s="2"/>
      <c r="K605" s="2"/>
      <c r="L605" s="2"/>
      <c r="M605" s="2"/>
      <c r="N605" s="2"/>
      <c r="O605" s="2"/>
      <c r="P605" s="2"/>
      <c r="Q605" s="2"/>
      <c r="R605" s="2"/>
      <c r="S605" s="2"/>
      <c r="T605" s="2"/>
      <c r="U605" s="2"/>
      <c r="V605" s="2"/>
      <c r="W605" s="2"/>
    </row>
    <row r="606" spans="1:23" ht="75" customHeight="1" x14ac:dyDescent="0.15">
      <c r="A606" s="2">
        <v>689</v>
      </c>
      <c r="B606" s="2" t="s">
        <v>670</v>
      </c>
      <c r="C606" s="2" t="s">
        <v>671</v>
      </c>
      <c r="D606" s="2" t="s">
        <v>677</v>
      </c>
      <c r="E606" s="2">
        <v>1.97</v>
      </c>
      <c r="F606" s="2">
        <v>1.97</v>
      </c>
      <c r="G606" s="2"/>
      <c r="H606" s="2"/>
      <c r="I606" s="2" t="b">
        <f t="shared" si="2"/>
        <v>1</v>
      </c>
      <c r="J606" s="2"/>
      <c r="K606" s="2"/>
      <c r="L606" s="2"/>
      <c r="M606" s="2"/>
      <c r="N606" s="2"/>
      <c r="O606" s="2"/>
      <c r="P606" s="2"/>
      <c r="Q606" s="2"/>
      <c r="R606" s="2"/>
      <c r="S606" s="2"/>
      <c r="T606" s="2"/>
      <c r="U606" s="2"/>
      <c r="V606" s="2"/>
      <c r="W606" s="2"/>
    </row>
    <row r="607" spans="1:23" ht="75" customHeight="1" x14ac:dyDescent="0.15">
      <c r="A607" s="2">
        <v>690</v>
      </c>
      <c r="B607" s="2" t="s">
        <v>662</v>
      </c>
      <c r="C607" s="2" t="s">
        <v>663</v>
      </c>
      <c r="D607" s="2" t="s">
        <v>678</v>
      </c>
      <c r="E607" s="2">
        <v>509.67</v>
      </c>
      <c r="F607" s="2">
        <v>509.67</v>
      </c>
      <c r="G607" s="2"/>
      <c r="H607" s="2"/>
      <c r="I607" s="2" t="b">
        <f t="shared" si="2"/>
        <v>1</v>
      </c>
      <c r="J607" s="2"/>
      <c r="K607" s="2"/>
      <c r="L607" s="2"/>
      <c r="M607" s="2"/>
      <c r="N607" s="2"/>
      <c r="O607" s="2"/>
      <c r="P607" s="2"/>
      <c r="Q607" s="2"/>
      <c r="R607" s="2"/>
      <c r="S607" s="2"/>
      <c r="T607" s="2"/>
      <c r="U607" s="2"/>
      <c r="V607" s="2"/>
      <c r="W607" s="2"/>
    </row>
    <row r="608" spans="1:23" ht="75" customHeight="1" x14ac:dyDescent="0.15">
      <c r="A608" s="2">
        <v>691</v>
      </c>
      <c r="B608" s="2" t="s">
        <v>670</v>
      </c>
      <c r="C608" s="2" t="s">
        <v>671</v>
      </c>
      <c r="D608" s="2" t="s">
        <v>679</v>
      </c>
      <c r="E608" s="2">
        <v>1.65</v>
      </c>
      <c r="F608" s="2">
        <v>1.65</v>
      </c>
      <c r="G608" s="2"/>
      <c r="H608" s="2"/>
      <c r="I608" s="2" t="b">
        <f t="shared" si="2"/>
        <v>1</v>
      </c>
      <c r="J608" s="2"/>
      <c r="K608" s="2"/>
      <c r="L608" s="2"/>
      <c r="M608" s="2"/>
      <c r="N608" s="2"/>
      <c r="O608" s="2"/>
      <c r="P608" s="2"/>
      <c r="Q608" s="2"/>
      <c r="R608" s="2"/>
      <c r="S608" s="2"/>
      <c r="T608" s="2"/>
      <c r="U608" s="2"/>
      <c r="V608" s="2"/>
      <c r="W608" s="2"/>
    </row>
    <row r="609" spans="1:23" ht="75" customHeight="1" x14ac:dyDescent="0.15">
      <c r="A609" s="2">
        <v>692</v>
      </c>
      <c r="B609" s="2" t="s">
        <v>662</v>
      </c>
      <c r="C609" s="2" t="s">
        <v>663</v>
      </c>
      <c r="D609" s="2" t="s">
        <v>680</v>
      </c>
      <c r="E609" s="2">
        <v>542.66999999999996</v>
      </c>
      <c r="F609" s="2">
        <v>542.66999999999996</v>
      </c>
      <c r="G609" s="2"/>
      <c r="H609" s="2"/>
      <c r="I609" s="2" t="b">
        <f t="shared" si="2"/>
        <v>1</v>
      </c>
      <c r="J609" s="2"/>
      <c r="K609" s="2"/>
      <c r="L609" s="2"/>
      <c r="M609" s="2"/>
      <c r="N609" s="2"/>
      <c r="O609" s="2"/>
      <c r="P609" s="2"/>
      <c r="Q609" s="2"/>
      <c r="R609" s="2"/>
      <c r="S609" s="2"/>
      <c r="T609" s="2"/>
      <c r="U609" s="2"/>
      <c r="V609" s="2"/>
      <c r="W609" s="2"/>
    </row>
    <row r="610" spans="1:23" ht="75" customHeight="1" x14ac:dyDescent="0.15">
      <c r="A610" s="2">
        <v>693</v>
      </c>
      <c r="B610" s="2" t="s">
        <v>670</v>
      </c>
      <c r="C610" s="2" t="s">
        <v>671</v>
      </c>
      <c r="D610" s="2" t="s">
        <v>681</v>
      </c>
      <c r="E610" s="2">
        <v>1.54</v>
      </c>
      <c r="F610" s="2">
        <v>1.54</v>
      </c>
      <c r="G610" s="2"/>
      <c r="H610" s="2"/>
      <c r="I610" s="2" t="b">
        <f t="shared" si="2"/>
        <v>1</v>
      </c>
      <c r="J610" s="2"/>
      <c r="K610" s="2"/>
      <c r="L610" s="2"/>
      <c r="M610" s="2"/>
      <c r="N610" s="2"/>
      <c r="O610" s="2"/>
      <c r="P610" s="2"/>
      <c r="Q610" s="2"/>
      <c r="R610" s="2"/>
      <c r="S610" s="2"/>
      <c r="T610" s="2"/>
      <c r="U610" s="2"/>
      <c r="V610" s="2"/>
      <c r="W610" s="2"/>
    </row>
    <row r="611" spans="1:23" ht="75" customHeight="1" x14ac:dyDescent="0.15">
      <c r="A611" s="2">
        <v>694</v>
      </c>
      <c r="B611" s="2" t="s">
        <v>670</v>
      </c>
      <c r="C611" s="2" t="s">
        <v>671</v>
      </c>
      <c r="D611" s="2" t="s">
        <v>682</v>
      </c>
      <c r="E611" s="2">
        <v>1.1499999999999999</v>
      </c>
      <c r="F611" s="2">
        <v>1.1499999999999999</v>
      </c>
      <c r="G611" s="2"/>
      <c r="H611" s="2"/>
      <c r="I611" s="2" t="b">
        <f t="shared" si="2"/>
        <v>1</v>
      </c>
      <c r="J611" s="2"/>
      <c r="K611" s="2"/>
      <c r="L611" s="2"/>
      <c r="M611" s="2"/>
      <c r="N611" s="2"/>
      <c r="O611" s="2"/>
      <c r="P611" s="2"/>
      <c r="Q611" s="2"/>
      <c r="R611" s="2"/>
      <c r="S611" s="2"/>
      <c r="T611" s="2"/>
      <c r="U611" s="2"/>
      <c r="V611" s="2"/>
      <c r="W611" s="2"/>
    </row>
    <row r="612" spans="1:23" ht="75" customHeight="1" x14ac:dyDescent="0.15">
      <c r="A612" s="2">
        <v>695</v>
      </c>
      <c r="B612" s="2" t="s">
        <v>670</v>
      </c>
      <c r="C612" s="2" t="s">
        <v>671</v>
      </c>
      <c r="D612" s="2" t="s">
        <v>683</v>
      </c>
      <c r="E612" s="2">
        <v>1.23</v>
      </c>
      <c r="F612" s="2">
        <v>1.23</v>
      </c>
      <c r="G612" s="2"/>
      <c r="H612" s="2"/>
      <c r="I612" s="2" t="b">
        <f t="shared" si="2"/>
        <v>1</v>
      </c>
      <c r="J612" s="2"/>
      <c r="K612" s="2"/>
      <c r="L612" s="2"/>
      <c r="M612" s="2"/>
      <c r="N612" s="2"/>
      <c r="O612" s="2"/>
      <c r="P612" s="2"/>
      <c r="Q612" s="2"/>
      <c r="R612" s="2"/>
      <c r="S612" s="2"/>
      <c r="T612" s="2"/>
      <c r="U612" s="2"/>
      <c r="V612" s="2"/>
      <c r="W612" s="2"/>
    </row>
    <row r="613" spans="1:23" ht="75" customHeight="1" x14ac:dyDescent="0.15">
      <c r="A613" s="2">
        <v>696</v>
      </c>
      <c r="B613" s="2" t="s">
        <v>670</v>
      </c>
      <c r="C613" s="2" t="s">
        <v>671</v>
      </c>
      <c r="D613" s="2" t="s">
        <v>684</v>
      </c>
      <c r="E613" s="2">
        <v>1.54</v>
      </c>
      <c r="F613" s="2">
        <v>1.54</v>
      </c>
      <c r="G613" s="2"/>
      <c r="H613" s="2"/>
      <c r="I613" s="2" t="b">
        <f t="shared" si="2"/>
        <v>1</v>
      </c>
      <c r="J613" s="2"/>
      <c r="K613" s="2"/>
      <c r="L613" s="2"/>
      <c r="M613" s="2"/>
      <c r="N613" s="2"/>
      <c r="O613" s="2"/>
      <c r="P613" s="2"/>
      <c r="Q613" s="2"/>
      <c r="R613" s="2"/>
      <c r="S613" s="2"/>
      <c r="T613" s="2"/>
      <c r="U613" s="2"/>
      <c r="V613" s="2"/>
      <c r="W613" s="2"/>
    </row>
    <row r="614" spans="1:23" ht="75" customHeight="1" x14ac:dyDescent="0.15">
      <c r="A614" s="2">
        <v>697</v>
      </c>
      <c r="B614" s="2" t="s">
        <v>670</v>
      </c>
      <c r="C614" s="2" t="s">
        <v>671</v>
      </c>
      <c r="D614" s="2" t="s">
        <v>685</v>
      </c>
      <c r="E614" s="2">
        <v>1.62</v>
      </c>
      <c r="F614" s="2">
        <v>1.62</v>
      </c>
      <c r="G614" s="2"/>
      <c r="H614" s="2"/>
      <c r="I614" s="2" t="b">
        <f t="shared" si="2"/>
        <v>1</v>
      </c>
      <c r="J614" s="2"/>
      <c r="K614" s="2"/>
      <c r="L614" s="2"/>
      <c r="M614" s="2"/>
      <c r="N614" s="2"/>
      <c r="O614" s="2"/>
      <c r="P614" s="2"/>
      <c r="Q614" s="2"/>
      <c r="R614" s="2"/>
      <c r="S614" s="2"/>
      <c r="T614" s="2"/>
      <c r="U614" s="2"/>
      <c r="V614" s="2"/>
      <c r="W614" s="2"/>
    </row>
    <row r="615" spans="1:23" ht="75" customHeight="1" x14ac:dyDescent="0.15">
      <c r="A615" s="2">
        <v>698</v>
      </c>
      <c r="B615" s="2" t="s">
        <v>670</v>
      </c>
      <c r="C615" s="2" t="s">
        <v>671</v>
      </c>
      <c r="D615" s="2" t="s">
        <v>339</v>
      </c>
      <c r="E615" s="2">
        <v>1.67</v>
      </c>
      <c r="F615" s="2">
        <v>1.67</v>
      </c>
      <c r="G615" s="2"/>
      <c r="H615" s="2"/>
      <c r="I615" s="2" t="b">
        <f t="shared" si="2"/>
        <v>1</v>
      </c>
      <c r="J615" s="2"/>
      <c r="K615" s="2"/>
      <c r="L615" s="2"/>
      <c r="M615" s="2"/>
      <c r="N615" s="2"/>
      <c r="O615" s="2"/>
      <c r="P615" s="2"/>
      <c r="Q615" s="2"/>
      <c r="R615" s="2"/>
      <c r="S615" s="2"/>
      <c r="T615" s="2"/>
      <c r="U615" s="2"/>
      <c r="V615" s="2"/>
      <c r="W615" s="2"/>
    </row>
    <row r="616" spans="1:23" ht="75" customHeight="1" x14ac:dyDescent="0.15">
      <c r="A616" s="2">
        <v>699</v>
      </c>
      <c r="B616" s="2" t="s">
        <v>670</v>
      </c>
      <c r="C616" s="2" t="s">
        <v>671</v>
      </c>
      <c r="D616" s="2" t="s">
        <v>686</v>
      </c>
      <c r="E616" s="2">
        <v>2.16</v>
      </c>
      <c r="F616" s="2">
        <v>2.16</v>
      </c>
      <c r="G616" s="2"/>
      <c r="H616" s="2"/>
      <c r="I616" s="2" t="b">
        <f t="shared" si="2"/>
        <v>1</v>
      </c>
      <c r="J616" s="2"/>
      <c r="K616" s="2"/>
      <c r="L616" s="2"/>
      <c r="M616" s="2"/>
      <c r="N616" s="2"/>
      <c r="O616" s="2"/>
      <c r="P616" s="2"/>
      <c r="Q616" s="2"/>
      <c r="R616" s="2"/>
      <c r="S616" s="2"/>
      <c r="T616" s="2"/>
      <c r="U616" s="2"/>
      <c r="V616" s="2"/>
      <c r="W616" s="2"/>
    </row>
    <row r="617" spans="1:23" ht="75" customHeight="1" x14ac:dyDescent="0.15">
      <c r="A617" s="2">
        <v>700</v>
      </c>
      <c r="B617" s="2" t="s">
        <v>670</v>
      </c>
      <c r="C617" s="2" t="s">
        <v>671</v>
      </c>
      <c r="D617" s="2" t="s">
        <v>687</v>
      </c>
      <c r="E617" s="2">
        <v>2.44</v>
      </c>
      <c r="F617" s="2">
        <v>2.44</v>
      </c>
      <c r="G617" s="2"/>
      <c r="H617" s="2"/>
      <c r="I617" s="2" t="b">
        <f t="shared" si="2"/>
        <v>1</v>
      </c>
      <c r="J617" s="2"/>
      <c r="K617" s="2"/>
      <c r="L617" s="2"/>
      <c r="M617" s="2"/>
      <c r="N617" s="2"/>
      <c r="O617" s="2"/>
      <c r="P617" s="2"/>
      <c r="Q617" s="2"/>
      <c r="R617" s="2"/>
      <c r="S617" s="2"/>
      <c r="T617" s="2"/>
      <c r="U617" s="2"/>
      <c r="V617" s="2"/>
      <c r="W617" s="2"/>
    </row>
    <row r="618" spans="1:23" ht="75" customHeight="1" x14ac:dyDescent="0.15">
      <c r="A618" s="2">
        <v>701</v>
      </c>
      <c r="B618" s="2" t="s">
        <v>670</v>
      </c>
      <c r="C618" s="2" t="s">
        <v>671</v>
      </c>
      <c r="D618" s="2" t="s">
        <v>688</v>
      </c>
      <c r="E618" s="2">
        <v>2.19</v>
      </c>
      <c r="F618" s="2">
        <v>2.19</v>
      </c>
      <c r="G618" s="2"/>
      <c r="H618" s="2"/>
      <c r="I618" s="2" t="b">
        <f t="shared" si="2"/>
        <v>1</v>
      </c>
      <c r="J618" s="2"/>
      <c r="K618" s="2"/>
      <c r="L618" s="2"/>
      <c r="M618" s="2"/>
      <c r="N618" s="2"/>
      <c r="O618" s="2"/>
      <c r="P618" s="2"/>
      <c r="Q618" s="2"/>
      <c r="R618" s="2"/>
      <c r="S618" s="2"/>
      <c r="T618" s="2"/>
      <c r="U618" s="2"/>
      <c r="V618" s="2"/>
      <c r="W618" s="2"/>
    </row>
    <row r="619" spans="1:23" ht="75" customHeight="1" x14ac:dyDescent="0.15">
      <c r="A619" s="2">
        <v>702</v>
      </c>
      <c r="B619" s="2" t="s">
        <v>670</v>
      </c>
      <c r="C619" s="2" t="s">
        <v>671</v>
      </c>
      <c r="D619" s="2" t="s">
        <v>689</v>
      </c>
      <c r="E619" s="2">
        <v>1.82</v>
      </c>
      <c r="F619" s="2">
        <v>1.82</v>
      </c>
      <c r="G619" s="2"/>
      <c r="H619" s="2"/>
      <c r="I619" s="2" t="b">
        <f t="shared" si="2"/>
        <v>1</v>
      </c>
      <c r="J619" s="2"/>
      <c r="K619" s="2"/>
      <c r="L619" s="2"/>
      <c r="M619" s="2"/>
      <c r="N619" s="2"/>
      <c r="O619" s="2"/>
      <c r="P619" s="2"/>
      <c r="Q619" s="2"/>
      <c r="R619" s="2"/>
      <c r="S619" s="2"/>
      <c r="T619" s="2"/>
      <c r="U619" s="2"/>
      <c r="V619" s="2"/>
      <c r="W619" s="2"/>
    </row>
    <row r="620" spans="1:23" ht="75" customHeight="1" x14ac:dyDescent="0.15">
      <c r="A620" s="2">
        <v>703</v>
      </c>
      <c r="B620" s="2" t="s">
        <v>670</v>
      </c>
      <c r="C620" s="2" t="s">
        <v>671</v>
      </c>
      <c r="D620" s="2" t="s">
        <v>690</v>
      </c>
      <c r="E620" s="2">
        <v>1.66</v>
      </c>
      <c r="F620" s="2">
        <v>1.66</v>
      </c>
      <c r="G620" s="2"/>
      <c r="H620" s="2"/>
      <c r="I620" s="2" t="b">
        <f t="shared" si="2"/>
        <v>1</v>
      </c>
      <c r="J620" s="2"/>
      <c r="K620" s="2"/>
      <c r="L620" s="2"/>
      <c r="M620" s="2"/>
      <c r="N620" s="2"/>
      <c r="O620" s="2"/>
      <c r="P620" s="2"/>
      <c r="Q620" s="2"/>
      <c r="R620" s="2"/>
      <c r="S620" s="2"/>
      <c r="T620" s="2"/>
      <c r="U620" s="2"/>
      <c r="V620" s="2"/>
      <c r="W620" s="2"/>
    </row>
    <row r="621" spans="1:23" ht="75" customHeight="1" x14ac:dyDescent="0.15">
      <c r="A621" s="2">
        <v>704</v>
      </c>
      <c r="B621" s="2" t="s">
        <v>670</v>
      </c>
      <c r="C621" s="2" t="s">
        <v>671</v>
      </c>
      <c r="D621" s="2" t="s">
        <v>691</v>
      </c>
      <c r="E621" s="2">
        <v>0.42</v>
      </c>
      <c r="F621" s="2">
        <v>0.42</v>
      </c>
      <c r="G621" s="2"/>
      <c r="H621" s="2"/>
      <c r="I621" s="2" t="b">
        <f t="shared" si="2"/>
        <v>1</v>
      </c>
      <c r="J621" s="2"/>
      <c r="K621" s="2"/>
      <c r="L621" s="2"/>
      <c r="M621" s="2"/>
      <c r="N621" s="2"/>
      <c r="O621" s="2"/>
      <c r="P621" s="2"/>
      <c r="Q621" s="2"/>
      <c r="R621" s="2"/>
      <c r="S621" s="2"/>
      <c r="T621" s="2"/>
      <c r="U621" s="2"/>
      <c r="V621" s="2"/>
      <c r="W621" s="2"/>
    </row>
    <row r="622" spans="1:23" ht="75" customHeight="1" x14ac:dyDescent="0.15">
      <c r="A622" s="2">
        <v>705</v>
      </c>
      <c r="B622" s="2" t="s">
        <v>670</v>
      </c>
      <c r="C622" s="2" t="s">
        <v>671</v>
      </c>
      <c r="D622" s="2" t="s">
        <v>182</v>
      </c>
      <c r="E622" s="2">
        <v>1.84</v>
      </c>
      <c r="F622" s="2">
        <v>1.84</v>
      </c>
      <c r="G622" s="2"/>
      <c r="H622" s="2"/>
      <c r="I622" s="2" t="b">
        <f t="shared" si="2"/>
        <v>1</v>
      </c>
      <c r="J622" s="2"/>
      <c r="K622" s="2"/>
      <c r="L622" s="2"/>
      <c r="M622" s="2"/>
      <c r="N622" s="2"/>
      <c r="O622" s="2"/>
      <c r="P622" s="2"/>
      <c r="Q622" s="2"/>
      <c r="R622" s="2"/>
      <c r="S622" s="2"/>
      <c r="T622" s="2"/>
      <c r="U622" s="2"/>
      <c r="V622" s="2"/>
      <c r="W622" s="2"/>
    </row>
    <row r="623" spans="1:23" ht="75" customHeight="1" x14ac:dyDescent="0.15">
      <c r="A623" s="2">
        <v>706</v>
      </c>
      <c r="B623" s="2" t="s">
        <v>670</v>
      </c>
      <c r="C623" s="2" t="s">
        <v>671</v>
      </c>
      <c r="D623" s="2" t="s">
        <v>692</v>
      </c>
      <c r="E623" s="2">
        <v>0.48</v>
      </c>
      <c r="F623" s="2">
        <v>0.48</v>
      </c>
      <c r="G623" s="2"/>
      <c r="H623" s="2"/>
      <c r="I623" s="2" t="b">
        <f t="shared" si="2"/>
        <v>1</v>
      </c>
      <c r="J623" s="2"/>
      <c r="K623" s="2"/>
      <c r="L623" s="2"/>
      <c r="M623" s="2"/>
      <c r="N623" s="2"/>
      <c r="O623" s="2"/>
      <c r="P623" s="2"/>
      <c r="Q623" s="2"/>
      <c r="R623" s="2"/>
      <c r="S623" s="2"/>
      <c r="T623" s="2"/>
      <c r="U623" s="2"/>
      <c r="V623" s="2"/>
      <c r="W623" s="2"/>
    </row>
    <row r="624" spans="1:23" ht="75" customHeight="1" x14ac:dyDescent="0.15">
      <c r="A624" s="2">
        <v>707</v>
      </c>
      <c r="B624" s="2" t="s">
        <v>670</v>
      </c>
      <c r="C624" s="2" t="s">
        <v>671</v>
      </c>
      <c r="D624" s="2" t="s">
        <v>693</v>
      </c>
      <c r="E624" s="2">
        <v>1.82</v>
      </c>
      <c r="F624" s="2">
        <v>1.82</v>
      </c>
      <c r="G624" s="2"/>
      <c r="H624" s="2"/>
      <c r="I624" s="2" t="b">
        <f t="shared" si="2"/>
        <v>1</v>
      </c>
      <c r="J624" s="2"/>
      <c r="K624" s="2"/>
      <c r="L624" s="2"/>
      <c r="M624" s="2"/>
      <c r="N624" s="2"/>
      <c r="O624" s="2"/>
      <c r="P624" s="2"/>
      <c r="Q624" s="2"/>
      <c r="R624" s="2"/>
      <c r="S624" s="2"/>
      <c r="T624" s="2"/>
      <c r="U624" s="2"/>
      <c r="V624" s="2"/>
      <c r="W624" s="2"/>
    </row>
    <row r="625" spans="1:23" ht="75" customHeight="1" x14ac:dyDescent="0.15">
      <c r="A625" s="2">
        <v>708</v>
      </c>
      <c r="B625" s="2" t="s">
        <v>694</v>
      </c>
      <c r="C625" s="2" t="s">
        <v>695</v>
      </c>
      <c r="D625" s="2" t="s">
        <v>696</v>
      </c>
      <c r="E625" s="2">
        <v>67.78</v>
      </c>
      <c r="F625" s="2">
        <v>67.78</v>
      </c>
      <c r="G625" s="2"/>
      <c r="H625" s="2"/>
      <c r="I625" s="2" t="b">
        <f t="shared" si="2"/>
        <v>1</v>
      </c>
      <c r="J625" s="2"/>
      <c r="K625" s="2"/>
      <c r="L625" s="2"/>
      <c r="M625" s="2"/>
      <c r="N625" s="2"/>
      <c r="O625" s="2"/>
      <c r="P625" s="2"/>
      <c r="Q625" s="2"/>
      <c r="R625" s="2"/>
      <c r="S625" s="2"/>
      <c r="T625" s="2"/>
      <c r="U625" s="2"/>
      <c r="V625" s="2"/>
      <c r="W625" s="2"/>
    </row>
    <row r="626" spans="1:23" ht="75" customHeight="1" x14ac:dyDescent="0.15">
      <c r="A626" s="2">
        <v>709</v>
      </c>
      <c r="B626" s="2" t="s">
        <v>694</v>
      </c>
      <c r="C626" s="2" t="s">
        <v>695</v>
      </c>
      <c r="D626" s="2" t="s">
        <v>697</v>
      </c>
      <c r="E626" s="2">
        <v>62.08</v>
      </c>
      <c r="F626" s="2">
        <v>62.08</v>
      </c>
      <c r="G626" s="2"/>
      <c r="H626" s="2"/>
      <c r="I626" s="2" t="b">
        <f t="shared" si="2"/>
        <v>1</v>
      </c>
      <c r="J626" s="2"/>
      <c r="K626" s="2"/>
      <c r="L626" s="2"/>
      <c r="M626" s="2"/>
      <c r="N626" s="2"/>
      <c r="O626" s="2"/>
      <c r="P626" s="2"/>
      <c r="Q626" s="2"/>
      <c r="R626" s="2"/>
      <c r="S626" s="2"/>
      <c r="T626" s="2"/>
      <c r="U626" s="2"/>
      <c r="V626" s="2"/>
      <c r="W626" s="2"/>
    </row>
    <row r="627" spans="1:23" ht="75" customHeight="1" x14ac:dyDescent="0.15">
      <c r="A627" s="2">
        <v>710</v>
      </c>
      <c r="B627" s="2" t="s">
        <v>694</v>
      </c>
      <c r="C627" s="2" t="s">
        <v>695</v>
      </c>
      <c r="D627" s="2" t="s">
        <v>698</v>
      </c>
      <c r="E627" s="2">
        <v>61.32</v>
      </c>
      <c r="F627" s="2">
        <v>61.32</v>
      </c>
      <c r="G627" s="2"/>
      <c r="H627" s="2"/>
      <c r="I627" s="2" t="b">
        <f t="shared" si="2"/>
        <v>1</v>
      </c>
      <c r="J627" s="2"/>
      <c r="K627" s="2"/>
      <c r="L627" s="2"/>
      <c r="M627" s="2"/>
      <c r="N627" s="2"/>
      <c r="O627" s="2"/>
      <c r="P627" s="2"/>
      <c r="Q627" s="2"/>
      <c r="R627" s="2"/>
      <c r="S627" s="2"/>
      <c r="T627" s="2"/>
      <c r="U627" s="2"/>
      <c r="V627" s="2"/>
      <c r="W627" s="2"/>
    </row>
    <row r="628" spans="1:23" ht="75" customHeight="1" x14ac:dyDescent="0.15">
      <c r="A628" s="2">
        <v>711</v>
      </c>
      <c r="B628" s="2" t="s">
        <v>694</v>
      </c>
      <c r="C628" s="2" t="s">
        <v>695</v>
      </c>
      <c r="D628" s="2" t="s">
        <v>699</v>
      </c>
      <c r="E628" s="2">
        <v>52.8</v>
      </c>
      <c r="F628" s="2">
        <v>52.8</v>
      </c>
      <c r="G628" s="2"/>
      <c r="H628" s="2"/>
      <c r="I628" s="2" t="b">
        <f t="shared" si="2"/>
        <v>1</v>
      </c>
      <c r="J628" s="2"/>
      <c r="K628" s="2"/>
      <c r="L628" s="2"/>
      <c r="M628" s="2"/>
      <c r="N628" s="2"/>
      <c r="O628" s="2"/>
      <c r="P628" s="2"/>
      <c r="Q628" s="2"/>
      <c r="R628" s="2"/>
      <c r="S628" s="2"/>
      <c r="T628" s="2"/>
      <c r="U628" s="2"/>
      <c r="V628" s="2"/>
      <c r="W628" s="2"/>
    </row>
    <row r="629" spans="1:23" ht="75" customHeight="1" x14ac:dyDescent="0.15">
      <c r="A629" s="2">
        <v>712</v>
      </c>
      <c r="B629" s="2" t="s">
        <v>694</v>
      </c>
      <c r="C629" s="2" t="s">
        <v>695</v>
      </c>
      <c r="D629" s="2" t="s">
        <v>700</v>
      </c>
      <c r="E629" s="2">
        <v>56.85</v>
      </c>
      <c r="F629" s="2">
        <v>56.85</v>
      </c>
      <c r="G629" s="2"/>
      <c r="H629" s="2"/>
      <c r="I629" s="2" t="b">
        <f t="shared" si="2"/>
        <v>1</v>
      </c>
      <c r="J629" s="2"/>
      <c r="K629" s="2"/>
      <c r="L629" s="2"/>
      <c r="M629" s="2"/>
      <c r="N629" s="2"/>
      <c r="O629" s="2"/>
      <c r="P629" s="2"/>
      <c r="Q629" s="2"/>
      <c r="R629" s="2"/>
      <c r="S629" s="2"/>
      <c r="T629" s="2"/>
      <c r="U629" s="2"/>
      <c r="V629" s="2"/>
      <c r="W629" s="2"/>
    </row>
    <row r="630" spans="1:23" ht="75" customHeight="1" x14ac:dyDescent="0.15">
      <c r="A630" s="2">
        <v>714</v>
      </c>
      <c r="B630" s="2" t="s">
        <v>694</v>
      </c>
      <c r="C630" s="2" t="s">
        <v>695</v>
      </c>
      <c r="D630" s="2" t="s">
        <v>701</v>
      </c>
      <c r="E630" s="2">
        <v>81</v>
      </c>
      <c r="F630" s="2">
        <v>81</v>
      </c>
      <c r="G630" s="2"/>
      <c r="H630" s="2"/>
      <c r="I630" s="2" t="b">
        <f t="shared" si="2"/>
        <v>1</v>
      </c>
      <c r="J630" s="2"/>
      <c r="K630" s="2"/>
      <c r="L630" s="2"/>
      <c r="M630" s="2"/>
      <c r="N630" s="2"/>
      <c r="O630" s="2"/>
      <c r="P630" s="2"/>
      <c r="Q630" s="2"/>
      <c r="R630" s="2"/>
      <c r="S630" s="2"/>
      <c r="T630" s="2"/>
      <c r="U630" s="2"/>
      <c r="V630" s="2"/>
      <c r="W630" s="2"/>
    </row>
    <row r="631" spans="1:23" ht="75" customHeight="1" x14ac:dyDescent="0.15">
      <c r="A631" s="2">
        <v>715</v>
      </c>
      <c r="B631" s="2" t="s">
        <v>694</v>
      </c>
      <c r="C631" s="2" t="s">
        <v>695</v>
      </c>
      <c r="D631" s="2" t="s">
        <v>702</v>
      </c>
      <c r="E631" s="2">
        <v>64.69</v>
      </c>
      <c r="F631" s="2">
        <v>64.69</v>
      </c>
      <c r="G631" s="2"/>
      <c r="H631" s="2"/>
      <c r="I631" s="2" t="b">
        <f t="shared" si="2"/>
        <v>1</v>
      </c>
      <c r="J631" s="2"/>
      <c r="K631" s="2"/>
      <c r="L631" s="2"/>
      <c r="M631" s="2"/>
      <c r="N631" s="2"/>
      <c r="O631" s="2"/>
      <c r="P631" s="2"/>
      <c r="Q631" s="2"/>
      <c r="R631" s="2"/>
      <c r="S631" s="2"/>
      <c r="T631" s="2"/>
      <c r="U631" s="2"/>
      <c r="V631" s="2"/>
      <c r="W631" s="2"/>
    </row>
    <row r="632" spans="1:23" ht="75" customHeight="1" x14ac:dyDescent="0.15">
      <c r="A632" s="2">
        <v>716</v>
      </c>
      <c r="B632" s="2" t="s">
        <v>694</v>
      </c>
      <c r="C632" s="2" t="s">
        <v>695</v>
      </c>
      <c r="D632" s="2" t="s">
        <v>703</v>
      </c>
      <c r="E632" s="2">
        <v>61.31</v>
      </c>
      <c r="F632" s="2">
        <v>61.31</v>
      </c>
      <c r="G632" s="2"/>
      <c r="H632" s="2"/>
      <c r="I632" s="2" t="b">
        <f t="shared" si="2"/>
        <v>1</v>
      </c>
      <c r="J632" s="2"/>
      <c r="K632" s="2"/>
      <c r="L632" s="2"/>
      <c r="M632" s="2"/>
      <c r="N632" s="2"/>
      <c r="O632" s="2"/>
      <c r="P632" s="2"/>
      <c r="Q632" s="2"/>
      <c r="R632" s="2"/>
      <c r="S632" s="2"/>
      <c r="T632" s="2"/>
      <c r="U632" s="2"/>
      <c r="V632" s="2"/>
      <c r="W632" s="2"/>
    </row>
    <row r="633" spans="1:23" ht="75" customHeight="1" x14ac:dyDescent="0.15">
      <c r="A633" s="2">
        <v>718</v>
      </c>
      <c r="B633" s="2" t="s">
        <v>694</v>
      </c>
      <c r="C633" s="2" t="s">
        <v>695</v>
      </c>
      <c r="D633" s="2" t="s">
        <v>704</v>
      </c>
      <c r="E633" s="2">
        <v>68.66</v>
      </c>
      <c r="F633" s="2">
        <v>68.66</v>
      </c>
      <c r="G633" s="2"/>
      <c r="H633" s="2"/>
      <c r="I633" s="2" t="b">
        <f t="shared" si="2"/>
        <v>1</v>
      </c>
      <c r="J633" s="2"/>
      <c r="K633" s="2"/>
      <c r="L633" s="2"/>
      <c r="M633" s="2"/>
      <c r="N633" s="2"/>
      <c r="O633" s="2"/>
      <c r="P633" s="2"/>
      <c r="Q633" s="2"/>
      <c r="R633" s="2"/>
      <c r="S633" s="2"/>
      <c r="T633" s="2"/>
      <c r="U633" s="2"/>
      <c r="V633" s="2"/>
      <c r="W633" s="2"/>
    </row>
    <row r="634" spans="1:23" ht="75" customHeight="1" x14ac:dyDescent="0.15">
      <c r="A634" s="2">
        <v>719</v>
      </c>
      <c r="B634" s="2" t="s">
        <v>694</v>
      </c>
      <c r="C634" s="2" t="s">
        <v>695</v>
      </c>
      <c r="D634" s="2" t="s">
        <v>705</v>
      </c>
      <c r="E634" s="2">
        <v>87.8</v>
      </c>
      <c r="F634" s="2">
        <v>87.8</v>
      </c>
      <c r="G634" s="2"/>
      <c r="H634" s="2"/>
      <c r="I634" s="2" t="b">
        <f t="shared" si="2"/>
        <v>1</v>
      </c>
      <c r="J634" s="2"/>
      <c r="K634" s="2"/>
      <c r="L634" s="2"/>
      <c r="M634" s="2"/>
      <c r="N634" s="2"/>
      <c r="O634" s="2"/>
      <c r="P634" s="2"/>
      <c r="Q634" s="2"/>
      <c r="R634" s="2"/>
      <c r="S634" s="2"/>
      <c r="T634" s="2"/>
      <c r="U634" s="2"/>
      <c r="V634" s="2"/>
      <c r="W634" s="2"/>
    </row>
    <row r="635" spans="1:23" ht="75" customHeight="1" x14ac:dyDescent="0.15">
      <c r="A635" s="2">
        <v>720</v>
      </c>
      <c r="B635" s="2" t="s">
        <v>694</v>
      </c>
      <c r="C635" s="2" t="s">
        <v>695</v>
      </c>
      <c r="D635" s="2" t="s">
        <v>706</v>
      </c>
      <c r="E635" s="2">
        <v>46.49</v>
      </c>
      <c r="F635" s="2">
        <v>46.49</v>
      </c>
      <c r="G635" s="2"/>
      <c r="H635" s="2"/>
      <c r="I635" s="2" t="b">
        <f t="shared" si="2"/>
        <v>1</v>
      </c>
      <c r="J635" s="2"/>
      <c r="K635" s="2"/>
      <c r="L635" s="2"/>
      <c r="M635" s="2"/>
      <c r="N635" s="2"/>
      <c r="O635" s="2"/>
      <c r="P635" s="2"/>
      <c r="Q635" s="2"/>
      <c r="R635" s="2"/>
      <c r="S635" s="2"/>
      <c r="T635" s="2"/>
      <c r="U635" s="2"/>
      <c r="V635" s="2"/>
      <c r="W635" s="2"/>
    </row>
    <row r="636" spans="1:23" ht="75" customHeight="1" x14ac:dyDescent="0.15">
      <c r="A636" s="2">
        <v>721</v>
      </c>
      <c r="B636" s="2" t="s">
        <v>694</v>
      </c>
      <c r="C636" s="2" t="s">
        <v>695</v>
      </c>
      <c r="D636" s="2" t="s">
        <v>707</v>
      </c>
      <c r="E636" s="2">
        <v>56.71</v>
      </c>
      <c r="F636" s="2">
        <v>56.71</v>
      </c>
      <c r="G636" s="2"/>
      <c r="H636" s="2"/>
      <c r="I636" s="2" t="b">
        <f t="shared" si="2"/>
        <v>1</v>
      </c>
      <c r="J636" s="2"/>
      <c r="K636" s="2"/>
      <c r="L636" s="2"/>
      <c r="M636" s="2"/>
      <c r="N636" s="2"/>
      <c r="O636" s="2"/>
      <c r="P636" s="2"/>
      <c r="Q636" s="2"/>
      <c r="R636" s="2"/>
      <c r="S636" s="2"/>
      <c r="T636" s="2"/>
      <c r="U636" s="2"/>
      <c r="V636" s="2"/>
      <c r="W636" s="2"/>
    </row>
    <row r="637" spans="1:23" ht="75" customHeight="1" x14ac:dyDescent="0.15">
      <c r="A637" s="2">
        <v>722</v>
      </c>
      <c r="B637" s="2" t="s">
        <v>694</v>
      </c>
      <c r="C637" s="2" t="s">
        <v>695</v>
      </c>
      <c r="D637" s="2" t="s">
        <v>708</v>
      </c>
      <c r="E637" s="2">
        <v>85.8</v>
      </c>
      <c r="F637" s="2">
        <v>85.8</v>
      </c>
      <c r="G637" s="2"/>
      <c r="H637" s="2"/>
      <c r="I637" s="2" t="b">
        <f t="shared" si="2"/>
        <v>1</v>
      </c>
      <c r="J637" s="2"/>
      <c r="K637" s="2"/>
      <c r="L637" s="2"/>
      <c r="M637" s="2"/>
      <c r="N637" s="2"/>
      <c r="O637" s="2"/>
      <c r="P637" s="2"/>
      <c r="Q637" s="2"/>
      <c r="R637" s="2"/>
      <c r="S637" s="2"/>
      <c r="T637" s="2"/>
      <c r="U637" s="2"/>
      <c r="V637" s="2"/>
      <c r="W637" s="2"/>
    </row>
    <row r="638" spans="1:23" ht="75" customHeight="1" x14ac:dyDescent="0.15">
      <c r="A638" s="2">
        <v>723</v>
      </c>
      <c r="B638" s="2" t="s">
        <v>694</v>
      </c>
      <c r="C638" s="2" t="s">
        <v>695</v>
      </c>
      <c r="D638" s="2" t="s">
        <v>709</v>
      </c>
      <c r="E638" s="2">
        <v>59.09</v>
      </c>
      <c r="F638" s="2">
        <v>59.09</v>
      </c>
      <c r="G638" s="2"/>
      <c r="H638" s="2"/>
      <c r="I638" s="2" t="b">
        <f t="shared" si="2"/>
        <v>1</v>
      </c>
      <c r="J638" s="2"/>
      <c r="K638" s="2"/>
      <c r="L638" s="2"/>
      <c r="M638" s="2"/>
      <c r="N638" s="2"/>
      <c r="O638" s="2"/>
      <c r="P638" s="2"/>
      <c r="Q638" s="2"/>
      <c r="R638" s="2"/>
      <c r="S638" s="2"/>
      <c r="T638" s="2"/>
      <c r="U638" s="2"/>
      <c r="V638" s="2"/>
      <c r="W638" s="2"/>
    </row>
    <row r="639" spans="1:23" ht="75" customHeight="1" x14ac:dyDescent="0.15">
      <c r="A639" s="2">
        <v>724</v>
      </c>
      <c r="B639" s="2" t="s">
        <v>694</v>
      </c>
      <c r="C639" s="2" t="s">
        <v>695</v>
      </c>
      <c r="D639" s="2" t="s">
        <v>710</v>
      </c>
      <c r="E639" s="2">
        <v>48.86</v>
      </c>
      <c r="F639" s="2">
        <v>48.86</v>
      </c>
      <c r="G639" s="2"/>
      <c r="H639" s="2"/>
      <c r="I639" s="2" t="b">
        <f t="shared" si="2"/>
        <v>1</v>
      </c>
      <c r="J639" s="2"/>
      <c r="K639" s="2"/>
      <c r="L639" s="2"/>
      <c r="M639" s="2"/>
      <c r="N639" s="2"/>
      <c r="O639" s="2"/>
      <c r="P639" s="2"/>
      <c r="Q639" s="2"/>
      <c r="R639" s="2"/>
      <c r="S639" s="2"/>
      <c r="T639" s="2"/>
      <c r="U639" s="2"/>
      <c r="V639" s="2"/>
      <c r="W639" s="2"/>
    </row>
    <row r="640" spans="1:23" ht="75" customHeight="1" x14ac:dyDescent="0.15">
      <c r="A640" s="2">
        <v>725</v>
      </c>
      <c r="B640" s="2" t="s">
        <v>694</v>
      </c>
      <c r="C640" s="2" t="s">
        <v>695</v>
      </c>
      <c r="D640" s="2" t="s">
        <v>711</v>
      </c>
      <c r="E640" s="2">
        <v>62.35</v>
      </c>
      <c r="F640" s="2">
        <v>62.35</v>
      </c>
      <c r="G640" s="2"/>
      <c r="H640" s="2"/>
      <c r="I640" s="2" t="b">
        <f t="shared" si="2"/>
        <v>1</v>
      </c>
      <c r="J640" s="2"/>
      <c r="K640" s="2"/>
      <c r="L640" s="2"/>
      <c r="M640" s="2"/>
      <c r="N640" s="2"/>
      <c r="O640" s="2"/>
      <c r="P640" s="2"/>
      <c r="Q640" s="2"/>
      <c r="R640" s="2"/>
      <c r="S640" s="2"/>
      <c r="T640" s="2"/>
      <c r="U640" s="2"/>
      <c r="V640" s="2"/>
      <c r="W640" s="2"/>
    </row>
    <row r="641" spans="1:23" ht="75" customHeight="1" x14ac:dyDescent="0.15">
      <c r="A641" s="2">
        <v>726</v>
      </c>
      <c r="B641" s="2" t="s">
        <v>694</v>
      </c>
      <c r="C641" s="2" t="s">
        <v>695</v>
      </c>
      <c r="D641" s="2" t="s">
        <v>712</v>
      </c>
      <c r="E641" s="2">
        <v>67.900000000000006</v>
      </c>
      <c r="F641" s="2">
        <v>67.900000000000006</v>
      </c>
      <c r="G641" s="2"/>
      <c r="H641" s="2"/>
      <c r="I641" s="2" t="b">
        <f t="shared" si="2"/>
        <v>1</v>
      </c>
      <c r="J641" s="2"/>
      <c r="K641" s="2"/>
      <c r="L641" s="2"/>
      <c r="M641" s="2"/>
      <c r="N641" s="2"/>
      <c r="O641" s="2"/>
      <c r="P641" s="2"/>
      <c r="Q641" s="2"/>
      <c r="R641" s="2"/>
      <c r="S641" s="2"/>
      <c r="T641" s="2"/>
      <c r="U641" s="2"/>
      <c r="V641" s="2"/>
      <c r="W641" s="2"/>
    </row>
    <row r="642" spans="1:23" ht="75" customHeight="1" x14ac:dyDescent="0.15">
      <c r="A642" s="2">
        <v>727</v>
      </c>
      <c r="B642" s="2" t="s">
        <v>694</v>
      </c>
      <c r="C642" s="2" t="s">
        <v>695</v>
      </c>
      <c r="D642" s="2" t="s">
        <v>713</v>
      </c>
      <c r="E642" s="2">
        <v>61.19</v>
      </c>
      <c r="F642" s="2">
        <v>61.19</v>
      </c>
      <c r="G642" s="2"/>
      <c r="H642" s="2"/>
      <c r="I642" s="2" t="b">
        <f t="shared" si="2"/>
        <v>1</v>
      </c>
      <c r="J642" s="2"/>
      <c r="K642" s="2"/>
      <c r="L642" s="2"/>
      <c r="M642" s="2"/>
      <c r="N642" s="2"/>
      <c r="O642" s="2"/>
      <c r="P642" s="2"/>
      <c r="Q642" s="2"/>
      <c r="R642" s="2"/>
      <c r="S642" s="2"/>
      <c r="T642" s="2"/>
      <c r="U642" s="2"/>
      <c r="V642" s="2"/>
      <c r="W642" s="2"/>
    </row>
    <row r="643" spans="1:23" ht="75" customHeight="1" x14ac:dyDescent="0.15">
      <c r="A643" s="2">
        <v>728</v>
      </c>
      <c r="B643" s="2" t="s">
        <v>714</v>
      </c>
      <c r="C643" s="2" t="s">
        <v>715</v>
      </c>
      <c r="D643" s="2" t="s">
        <v>716</v>
      </c>
      <c r="E643" s="2">
        <v>14.4</v>
      </c>
      <c r="F643" s="2">
        <v>14.4</v>
      </c>
      <c r="G643" s="2"/>
      <c r="H643" s="2"/>
      <c r="I643" s="2" t="b">
        <f t="shared" si="2"/>
        <v>1</v>
      </c>
      <c r="J643" s="2"/>
      <c r="K643" s="2"/>
      <c r="L643" s="2"/>
      <c r="M643" s="2"/>
      <c r="N643" s="2"/>
      <c r="O643" s="2"/>
      <c r="P643" s="2"/>
      <c r="Q643" s="2"/>
      <c r="R643" s="2"/>
      <c r="S643" s="2"/>
      <c r="T643" s="2"/>
      <c r="U643" s="2"/>
      <c r="V643" s="2"/>
      <c r="W643" s="2"/>
    </row>
    <row r="644" spans="1:23" ht="75" customHeight="1" x14ac:dyDescent="0.15">
      <c r="A644" s="2">
        <v>731</v>
      </c>
      <c r="B644" s="2" t="s">
        <v>714</v>
      </c>
      <c r="C644" s="2" t="s">
        <v>715</v>
      </c>
      <c r="D644" s="2" t="s">
        <v>717</v>
      </c>
      <c r="E644" s="2">
        <v>1.8</v>
      </c>
      <c r="F644" s="2">
        <v>1.8</v>
      </c>
      <c r="G644" s="2"/>
      <c r="H644" s="2"/>
      <c r="I644" s="2" t="b">
        <f t="shared" si="2"/>
        <v>1</v>
      </c>
      <c r="J644" s="2"/>
      <c r="K644" s="2"/>
      <c r="L644" s="2"/>
      <c r="M644" s="2"/>
      <c r="N644" s="2"/>
      <c r="O644" s="2"/>
      <c r="P644" s="2"/>
      <c r="Q644" s="2"/>
      <c r="R644" s="2"/>
      <c r="S644" s="2"/>
      <c r="T644" s="2"/>
      <c r="U644" s="2"/>
      <c r="V644" s="2"/>
      <c r="W644" s="2"/>
    </row>
    <row r="645" spans="1:23" ht="75" customHeight="1" x14ac:dyDescent="0.15">
      <c r="A645" s="2">
        <v>734</v>
      </c>
      <c r="B645" s="2" t="s">
        <v>714</v>
      </c>
      <c r="C645" s="2" t="s">
        <v>715</v>
      </c>
      <c r="D645" s="2" t="s">
        <v>718</v>
      </c>
      <c r="E645" s="2">
        <v>-6</v>
      </c>
      <c r="F645" s="2">
        <v>-6</v>
      </c>
      <c r="G645" s="2"/>
      <c r="H645" s="2"/>
      <c r="I645" s="2" t="b">
        <f t="shared" si="2"/>
        <v>1</v>
      </c>
      <c r="J645" s="2"/>
      <c r="K645" s="2"/>
      <c r="L645" s="2"/>
      <c r="M645" s="2"/>
      <c r="N645" s="2"/>
      <c r="O645" s="2"/>
      <c r="P645" s="2"/>
      <c r="Q645" s="2"/>
      <c r="R645" s="2"/>
      <c r="S645" s="2"/>
      <c r="T645" s="2"/>
      <c r="U645" s="2"/>
      <c r="V645" s="2"/>
      <c r="W645" s="2"/>
    </row>
    <row r="646" spans="1:23" ht="75" customHeight="1" x14ac:dyDescent="0.15">
      <c r="A646" s="2">
        <v>739</v>
      </c>
      <c r="B646" s="2" t="s">
        <v>714</v>
      </c>
      <c r="C646" s="2" t="s">
        <v>715</v>
      </c>
      <c r="D646" s="2" t="s">
        <v>719</v>
      </c>
      <c r="E646" s="2">
        <v>-3</v>
      </c>
      <c r="F646" s="2">
        <v>-3</v>
      </c>
      <c r="G646" s="3">
        <v>-3</v>
      </c>
      <c r="H646" s="4" t="s">
        <v>720</v>
      </c>
      <c r="I646" s="2" t="b">
        <f t="shared" si="2"/>
        <v>1</v>
      </c>
      <c r="J646" s="2"/>
      <c r="K646" s="2"/>
      <c r="L646" s="2"/>
      <c r="M646" s="2"/>
      <c r="N646" s="2"/>
      <c r="O646" s="2"/>
      <c r="P646" s="2"/>
      <c r="Q646" s="2"/>
      <c r="R646" s="2"/>
      <c r="S646" s="2"/>
      <c r="T646" s="2"/>
      <c r="U646" s="2"/>
      <c r="V646" s="2"/>
      <c r="W646" s="2"/>
    </row>
    <row r="647" spans="1:23" ht="75" customHeight="1" x14ac:dyDescent="0.15">
      <c r="A647" s="2">
        <v>742</v>
      </c>
      <c r="B647" s="2" t="s">
        <v>714</v>
      </c>
      <c r="C647" s="2" t="s">
        <v>715</v>
      </c>
      <c r="D647" s="2" t="s">
        <v>721</v>
      </c>
      <c r="E647" s="2">
        <v>3</v>
      </c>
      <c r="F647" s="2">
        <v>3</v>
      </c>
      <c r="G647" s="2"/>
      <c r="H647" s="2"/>
      <c r="I647" s="2" t="b">
        <f t="shared" si="2"/>
        <v>1</v>
      </c>
      <c r="J647" s="2"/>
      <c r="K647" s="2"/>
      <c r="L647" s="2"/>
      <c r="M647" s="2"/>
      <c r="N647" s="2"/>
      <c r="O647" s="2"/>
      <c r="P647" s="2"/>
      <c r="Q647" s="2"/>
      <c r="R647" s="2"/>
      <c r="S647" s="2"/>
      <c r="T647" s="2"/>
      <c r="U647" s="2"/>
      <c r="V647" s="2"/>
      <c r="W647" s="2"/>
    </row>
    <row r="648" spans="1:23" ht="75" customHeight="1" x14ac:dyDescent="0.15">
      <c r="A648" s="2">
        <v>743</v>
      </c>
      <c r="B648" s="2" t="s">
        <v>714</v>
      </c>
      <c r="C648" s="2" t="s">
        <v>715</v>
      </c>
      <c r="D648" s="2" t="s">
        <v>722</v>
      </c>
      <c r="E648" s="2">
        <v>4</v>
      </c>
      <c r="F648" s="2">
        <v>4</v>
      </c>
      <c r="G648" s="2"/>
      <c r="H648" s="2"/>
      <c r="I648" s="2" t="b">
        <f t="shared" si="2"/>
        <v>1</v>
      </c>
      <c r="J648" s="2"/>
      <c r="K648" s="2"/>
      <c r="L648" s="2"/>
      <c r="M648" s="2"/>
      <c r="N648" s="2"/>
      <c r="O648" s="2"/>
      <c r="P648" s="2"/>
      <c r="Q648" s="2"/>
      <c r="R648" s="2"/>
      <c r="S648" s="2"/>
      <c r="T648" s="2"/>
      <c r="U648" s="2"/>
      <c r="V648" s="2"/>
      <c r="W648" s="2"/>
    </row>
    <row r="649" spans="1:23" ht="75" customHeight="1" x14ac:dyDescent="0.15">
      <c r="A649" s="2">
        <v>745</v>
      </c>
      <c r="B649" s="2" t="s">
        <v>714</v>
      </c>
      <c r="C649" s="2" t="s">
        <v>715</v>
      </c>
      <c r="D649" s="2" t="s">
        <v>723</v>
      </c>
      <c r="E649" s="2">
        <v>-2.5</v>
      </c>
      <c r="F649" s="2">
        <v>-2.5</v>
      </c>
      <c r="G649" s="2"/>
      <c r="H649" s="2"/>
      <c r="I649" s="2" t="b">
        <f t="shared" si="2"/>
        <v>1</v>
      </c>
      <c r="J649" s="2"/>
      <c r="K649" s="2"/>
      <c r="L649" s="2"/>
      <c r="M649" s="2"/>
      <c r="N649" s="2"/>
      <c r="O649" s="2"/>
      <c r="P649" s="2"/>
      <c r="Q649" s="2"/>
      <c r="R649" s="2"/>
      <c r="S649" s="2"/>
      <c r="T649" s="2"/>
      <c r="U649" s="2"/>
      <c r="V649" s="2"/>
      <c r="W649" s="2"/>
    </row>
    <row r="650" spans="1:23" ht="75" customHeight="1" x14ac:dyDescent="0.15">
      <c r="A650" s="2">
        <v>746</v>
      </c>
      <c r="B650" s="2" t="s">
        <v>714</v>
      </c>
      <c r="C650" s="2" t="s">
        <v>715</v>
      </c>
      <c r="D650" s="2" t="s">
        <v>724</v>
      </c>
      <c r="E650" s="2">
        <v>1</v>
      </c>
      <c r="F650" s="2">
        <v>1</v>
      </c>
      <c r="G650" s="2"/>
      <c r="H650" s="2"/>
      <c r="I650" s="2" t="b">
        <f t="shared" si="2"/>
        <v>1</v>
      </c>
      <c r="J650" s="2"/>
      <c r="K650" s="2"/>
      <c r="L650" s="2"/>
      <c r="M650" s="2"/>
      <c r="N650" s="2"/>
      <c r="O650" s="2"/>
      <c r="P650" s="2"/>
      <c r="Q650" s="2"/>
      <c r="R650" s="2"/>
      <c r="S650" s="2"/>
      <c r="T650" s="2"/>
      <c r="U650" s="2"/>
      <c r="V650" s="2"/>
      <c r="W650" s="2"/>
    </row>
    <row r="651" spans="1:23" ht="75" customHeight="1" x14ac:dyDescent="0.15">
      <c r="A651" s="2">
        <v>747</v>
      </c>
      <c r="B651" s="2" t="s">
        <v>714</v>
      </c>
      <c r="C651" s="2" t="s">
        <v>715</v>
      </c>
      <c r="D651" s="2" t="s">
        <v>350</v>
      </c>
      <c r="E651" s="2">
        <v>-6</v>
      </c>
      <c r="F651" s="2">
        <v>-6</v>
      </c>
      <c r="G651" s="2"/>
      <c r="H651" s="2"/>
      <c r="I651" s="2" t="b">
        <f t="shared" si="2"/>
        <v>1</v>
      </c>
      <c r="J651" s="2"/>
      <c r="K651" s="2"/>
      <c r="L651" s="2"/>
      <c r="M651" s="2"/>
      <c r="N651" s="2"/>
      <c r="O651" s="2"/>
      <c r="P651" s="2"/>
      <c r="Q651" s="2"/>
      <c r="R651" s="2"/>
      <c r="S651" s="2"/>
      <c r="T651" s="2"/>
      <c r="U651" s="2"/>
      <c r="V651" s="2"/>
      <c r="W651" s="2"/>
    </row>
    <row r="652" spans="1:23" ht="75" customHeight="1" x14ac:dyDescent="0.15">
      <c r="A652" s="2">
        <v>748</v>
      </c>
      <c r="B652" s="2" t="s">
        <v>725</v>
      </c>
      <c r="C652" s="2" t="s">
        <v>726</v>
      </c>
      <c r="D652" s="2" t="s">
        <v>727</v>
      </c>
      <c r="E652" s="2">
        <v>1.59</v>
      </c>
      <c r="F652" s="2">
        <v>1.59</v>
      </c>
      <c r="G652" s="2"/>
      <c r="H652" s="2"/>
      <c r="I652" s="2" t="b">
        <f t="shared" si="2"/>
        <v>1</v>
      </c>
      <c r="J652" s="2"/>
      <c r="K652" s="2"/>
      <c r="L652" s="2"/>
      <c r="M652" s="2"/>
      <c r="N652" s="2"/>
      <c r="O652" s="2"/>
      <c r="P652" s="2"/>
      <c r="Q652" s="2"/>
      <c r="R652" s="2"/>
      <c r="S652" s="2"/>
      <c r="T652" s="2"/>
      <c r="U652" s="2"/>
      <c r="V652" s="2"/>
      <c r="W652" s="2"/>
    </row>
    <row r="653" spans="1:23" ht="75" customHeight="1" x14ac:dyDescent="0.15">
      <c r="A653" s="2">
        <v>749</v>
      </c>
      <c r="B653" s="2" t="s">
        <v>725</v>
      </c>
      <c r="C653" s="2" t="s">
        <v>726</v>
      </c>
      <c r="D653" s="2" t="s">
        <v>728</v>
      </c>
      <c r="E653" s="2">
        <v>0.28999999999999998</v>
      </c>
      <c r="F653" s="2">
        <v>0.28999999999999998</v>
      </c>
      <c r="G653" s="2"/>
      <c r="H653" s="2"/>
      <c r="I653" s="2" t="b">
        <f t="shared" si="2"/>
        <v>1</v>
      </c>
      <c r="J653" s="2"/>
      <c r="K653" s="2"/>
      <c r="L653" s="2"/>
      <c r="M653" s="2"/>
      <c r="N653" s="2"/>
      <c r="O653" s="2"/>
      <c r="P653" s="2"/>
      <c r="Q653" s="2"/>
      <c r="R653" s="2"/>
      <c r="S653" s="2"/>
      <c r="T653" s="2"/>
      <c r="U653" s="2"/>
      <c r="V653" s="2"/>
      <c r="W653" s="2"/>
    </row>
    <row r="654" spans="1:23" ht="75" customHeight="1" x14ac:dyDescent="0.15">
      <c r="A654" s="2">
        <v>750</v>
      </c>
      <c r="B654" s="2" t="s">
        <v>725</v>
      </c>
      <c r="C654" s="2" t="s">
        <v>726</v>
      </c>
      <c r="D654" s="2" t="s">
        <v>729</v>
      </c>
      <c r="E654" s="2">
        <v>1</v>
      </c>
      <c r="F654" s="2">
        <v>1</v>
      </c>
      <c r="G654" s="2"/>
      <c r="H654" s="2"/>
      <c r="I654" s="2" t="b">
        <f t="shared" si="2"/>
        <v>1</v>
      </c>
      <c r="J654" s="2"/>
      <c r="K654" s="2"/>
      <c r="L654" s="2"/>
      <c r="M654" s="2"/>
      <c r="N654" s="2"/>
      <c r="O654" s="2"/>
      <c r="P654" s="2"/>
      <c r="Q654" s="2"/>
      <c r="R654" s="2"/>
      <c r="S654" s="2"/>
      <c r="T654" s="2"/>
      <c r="U654" s="2"/>
      <c r="V654" s="2"/>
      <c r="W654" s="2"/>
    </row>
    <row r="655" spans="1:23" ht="75" customHeight="1" x14ac:dyDescent="0.15">
      <c r="A655" s="2">
        <v>751</v>
      </c>
      <c r="B655" s="2" t="s">
        <v>725</v>
      </c>
      <c r="C655" s="2" t="s">
        <v>726</v>
      </c>
      <c r="D655" s="2" t="s">
        <v>730</v>
      </c>
      <c r="E655" s="2">
        <v>0.49</v>
      </c>
      <c r="F655" s="2">
        <v>0.49</v>
      </c>
      <c r="G655" s="2"/>
      <c r="H655" s="2"/>
      <c r="I655" s="2" t="b">
        <f t="shared" si="2"/>
        <v>1</v>
      </c>
      <c r="J655" s="2"/>
      <c r="K655" s="2"/>
      <c r="L655" s="2"/>
      <c r="M655" s="2"/>
      <c r="N655" s="2"/>
      <c r="O655" s="2"/>
      <c r="P655" s="2"/>
      <c r="Q655" s="2"/>
      <c r="R655" s="2"/>
      <c r="S655" s="2"/>
      <c r="T655" s="2"/>
      <c r="U655" s="2"/>
      <c r="V655" s="2"/>
      <c r="W655" s="2"/>
    </row>
    <row r="656" spans="1:23" ht="75" customHeight="1" x14ac:dyDescent="0.15">
      <c r="A656" s="2">
        <v>752</v>
      </c>
      <c r="B656" s="2" t="s">
        <v>725</v>
      </c>
      <c r="C656" s="2" t="s">
        <v>726</v>
      </c>
      <c r="D656" s="2" t="s">
        <v>731</v>
      </c>
      <c r="E656" s="2">
        <v>0</v>
      </c>
      <c r="F656" s="2">
        <v>0</v>
      </c>
      <c r="G656" s="2"/>
      <c r="H656" s="2"/>
      <c r="I656" s="2" t="b">
        <f t="shared" si="2"/>
        <v>1</v>
      </c>
      <c r="J656" s="2"/>
      <c r="K656" s="2"/>
      <c r="L656" s="2"/>
      <c r="M656" s="2"/>
      <c r="N656" s="2"/>
      <c r="O656" s="2"/>
      <c r="P656" s="2"/>
      <c r="Q656" s="2"/>
      <c r="R656" s="2"/>
      <c r="S656" s="2"/>
      <c r="T656" s="2"/>
      <c r="U656" s="2"/>
      <c r="V656" s="2"/>
      <c r="W656" s="2"/>
    </row>
    <row r="657" spans="1:23" ht="75" customHeight="1" x14ac:dyDescent="0.15">
      <c r="A657" s="2">
        <v>754</v>
      </c>
      <c r="B657" s="2" t="s">
        <v>725</v>
      </c>
      <c r="C657" s="2" t="s">
        <v>726</v>
      </c>
      <c r="D657" s="2" t="s">
        <v>732</v>
      </c>
      <c r="E657" s="2">
        <v>1.83</v>
      </c>
      <c r="F657" s="2">
        <v>1.83</v>
      </c>
      <c r="G657" s="2"/>
      <c r="H657" s="2"/>
      <c r="I657" s="2" t="b">
        <f t="shared" si="2"/>
        <v>1</v>
      </c>
      <c r="J657" s="2"/>
      <c r="K657" s="2"/>
      <c r="L657" s="2"/>
      <c r="M657" s="2"/>
      <c r="N657" s="2"/>
      <c r="O657" s="2"/>
      <c r="P657" s="2"/>
      <c r="Q657" s="2"/>
      <c r="R657" s="2"/>
      <c r="S657" s="2"/>
      <c r="T657" s="2"/>
      <c r="U657" s="2"/>
      <c r="V657" s="2"/>
      <c r="W657" s="2"/>
    </row>
    <row r="658" spans="1:23" ht="75" customHeight="1" x14ac:dyDescent="0.15">
      <c r="A658" s="2">
        <v>755</v>
      </c>
      <c r="B658" s="2" t="s">
        <v>725</v>
      </c>
      <c r="C658" s="2" t="s">
        <v>726</v>
      </c>
      <c r="D658" s="2" t="s">
        <v>350</v>
      </c>
      <c r="E658" s="2">
        <v>-2</v>
      </c>
      <c r="F658" s="2">
        <v>-2</v>
      </c>
      <c r="G658" s="2"/>
      <c r="H658" s="2"/>
      <c r="I658" s="2" t="b">
        <f t="shared" si="2"/>
        <v>1</v>
      </c>
      <c r="J658" s="2"/>
      <c r="K658" s="2"/>
      <c r="L658" s="2"/>
      <c r="M658" s="2"/>
      <c r="N658" s="2"/>
      <c r="O658" s="2"/>
      <c r="P658" s="2"/>
      <c r="Q658" s="2"/>
      <c r="R658" s="2"/>
      <c r="S658" s="2"/>
      <c r="T658" s="2"/>
      <c r="U658" s="2"/>
      <c r="V658" s="2"/>
      <c r="W658" s="2"/>
    </row>
    <row r="659" spans="1:23" ht="75" customHeight="1" x14ac:dyDescent="0.15">
      <c r="A659" s="2">
        <v>756</v>
      </c>
      <c r="B659" s="2" t="s">
        <v>725</v>
      </c>
      <c r="C659" s="2" t="s">
        <v>726</v>
      </c>
      <c r="D659" s="2" t="s">
        <v>733</v>
      </c>
      <c r="E659" s="2">
        <v>1.5</v>
      </c>
      <c r="F659" s="2">
        <v>1.5</v>
      </c>
      <c r="G659" s="2"/>
      <c r="H659" s="2"/>
      <c r="I659" s="2" t="b">
        <f t="shared" si="2"/>
        <v>1</v>
      </c>
      <c r="J659" s="2"/>
      <c r="K659" s="2"/>
      <c r="L659" s="2"/>
      <c r="M659" s="2"/>
      <c r="N659" s="2"/>
      <c r="O659" s="2"/>
      <c r="P659" s="2"/>
      <c r="Q659" s="2"/>
      <c r="R659" s="2"/>
      <c r="S659" s="2"/>
      <c r="T659" s="2"/>
      <c r="U659" s="2"/>
      <c r="V659" s="2"/>
      <c r="W659" s="2"/>
    </row>
    <row r="660" spans="1:23" ht="75" customHeight="1" x14ac:dyDescent="0.15">
      <c r="A660" s="2">
        <v>757</v>
      </c>
      <c r="B660" s="2" t="s">
        <v>725</v>
      </c>
      <c r="C660" s="2" t="s">
        <v>726</v>
      </c>
      <c r="D660" s="2" t="s">
        <v>734</v>
      </c>
      <c r="E660" s="2">
        <v>0.57999999999999996</v>
      </c>
      <c r="F660" s="2">
        <v>0.57999999999999996</v>
      </c>
      <c r="G660" s="2"/>
      <c r="H660" s="2"/>
      <c r="I660" s="2" t="b">
        <f t="shared" si="2"/>
        <v>1</v>
      </c>
      <c r="J660" s="2"/>
      <c r="K660" s="2"/>
      <c r="L660" s="2"/>
      <c r="M660" s="2"/>
      <c r="N660" s="2"/>
      <c r="O660" s="2"/>
      <c r="P660" s="2"/>
      <c r="Q660" s="2"/>
      <c r="R660" s="2"/>
      <c r="S660" s="2"/>
      <c r="T660" s="2"/>
      <c r="U660" s="2"/>
      <c r="V660" s="2"/>
      <c r="W660" s="2"/>
    </row>
    <row r="661" spans="1:23" ht="75" customHeight="1" x14ac:dyDescent="0.15">
      <c r="A661" s="2">
        <v>758</v>
      </c>
      <c r="B661" s="2" t="s">
        <v>725</v>
      </c>
      <c r="C661" s="2" t="s">
        <v>726</v>
      </c>
      <c r="D661" s="2" t="s">
        <v>735</v>
      </c>
      <c r="E661" s="2">
        <v>0.89</v>
      </c>
      <c r="F661" s="2">
        <v>0.89</v>
      </c>
      <c r="G661" s="2"/>
      <c r="H661" s="2"/>
      <c r="I661" s="2" t="b">
        <f t="shared" si="2"/>
        <v>1</v>
      </c>
      <c r="J661" s="2"/>
      <c r="K661" s="2"/>
      <c r="L661" s="2"/>
      <c r="M661" s="2"/>
      <c r="N661" s="2"/>
      <c r="O661" s="2"/>
      <c r="P661" s="2"/>
      <c r="Q661" s="2"/>
      <c r="R661" s="2"/>
      <c r="S661" s="2"/>
      <c r="T661" s="2"/>
      <c r="U661" s="2"/>
      <c r="V661" s="2"/>
      <c r="W661" s="2"/>
    </row>
    <row r="662" spans="1:23" ht="75" customHeight="1" x14ac:dyDescent="0.15">
      <c r="A662" s="2">
        <v>759</v>
      </c>
      <c r="B662" s="2" t="s">
        <v>725</v>
      </c>
      <c r="C662" s="2" t="s">
        <v>726</v>
      </c>
      <c r="D662" s="2" t="s">
        <v>736</v>
      </c>
      <c r="E662" s="2">
        <v>0.5</v>
      </c>
      <c r="F662" s="2">
        <v>0.5</v>
      </c>
      <c r="G662" s="2"/>
      <c r="H662" s="2"/>
      <c r="I662" s="2" t="b">
        <f t="shared" si="2"/>
        <v>1</v>
      </c>
      <c r="J662" s="2"/>
      <c r="K662" s="2"/>
      <c r="L662" s="2"/>
      <c r="M662" s="2"/>
      <c r="N662" s="2"/>
      <c r="O662" s="2"/>
      <c r="P662" s="2"/>
      <c r="Q662" s="2"/>
      <c r="R662" s="2"/>
      <c r="S662" s="2"/>
      <c r="T662" s="2"/>
      <c r="U662" s="2"/>
      <c r="V662" s="2"/>
      <c r="W662" s="2"/>
    </row>
    <row r="663" spans="1:23" ht="75" customHeight="1" x14ac:dyDescent="0.15">
      <c r="A663" s="2">
        <v>760</v>
      </c>
      <c r="B663" s="2" t="s">
        <v>725</v>
      </c>
      <c r="C663" s="2" t="s">
        <v>726</v>
      </c>
      <c r="D663" s="2" t="s">
        <v>737</v>
      </c>
      <c r="E663" s="2">
        <v>-0.26</v>
      </c>
      <c r="F663" s="2">
        <v>-0.26</v>
      </c>
      <c r="G663" s="2"/>
      <c r="H663" s="2"/>
      <c r="I663" s="2" t="b">
        <f t="shared" si="2"/>
        <v>1</v>
      </c>
      <c r="J663" s="2"/>
      <c r="K663" s="2"/>
      <c r="L663" s="2"/>
      <c r="M663" s="2"/>
      <c r="N663" s="2"/>
      <c r="O663" s="2"/>
      <c r="P663" s="2"/>
      <c r="Q663" s="2"/>
      <c r="R663" s="2"/>
      <c r="S663" s="2"/>
      <c r="T663" s="2"/>
      <c r="U663" s="2"/>
      <c r="V663" s="2"/>
      <c r="W663" s="2"/>
    </row>
    <row r="664" spans="1:23" ht="75" customHeight="1" x14ac:dyDescent="0.15">
      <c r="A664" s="2">
        <v>761</v>
      </c>
      <c r="B664" s="2" t="s">
        <v>725</v>
      </c>
      <c r="C664" s="2" t="s">
        <v>726</v>
      </c>
      <c r="D664" s="2" t="s">
        <v>738</v>
      </c>
      <c r="E664" s="2">
        <v>1.56</v>
      </c>
      <c r="F664" s="2">
        <v>1.56</v>
      </c>
      <c r="G664" s="3">
        <v>1.6</v>
      </c>
      <c r="H664" s="4" t="s">
        <v>739</v>
      </c>
      <c r="I664" s="2" t="b">
        <f t="shared" si="2"/>
        <v>1</v>
      </c>
      <c r="J664" s="2"/>
      <c r="K664" s="2"/>
      <c r="L664" s="2"/>
      <c r="M664" s="2"/>
      <c r="N664" s="2"/>
      <c r="O664" s="2"/>
      <c r="P664" s="2"/>
      <c r="Q664" s="2"/>
      <c r="R664" s="2"/>
      <c r="S664" s="2"/>
      <c r="T664" s="2"/>
      <c r="U664" s="2"/>
      <c r="V664" s="2"/>
      <c r="W664" s="2"/>
    </row>
    <row r="665" spans="1:23" ht="75" customHeight="1" x14ac:dyDescent="0.15">
      <c r="A665" s="2">
        <v>762</v>
      </c>
      <c r="B665" s="2" t="s">
        <v>725</v>
      </c>
      <c r="C665" s="2" t="s">
        <v>726</v>
      </c>
      <c r="D665" s="2" t="s">
        <v>740</v>
      </c>
      <c r="E665" s="2">
        <v>-0.16</v>
      </c>
      <c r="F665" s="2">
        <v>-0.16</v>
      </c>
      <c r="G665" s="2"/>
      <c r="H665" s="2"/>
      <c r="I665" s="2" t="b">
        <f t="shared" si="2"/>
        <v>1</v>
      </c>
      <c r="J665" s="2"/>
      <c r="K665" s="2"/>
      <c r="L665" s="2"/>
      <c r="M665" s="2"/>
      <c r="N665" s="2"/>
      <c r="O665" s="2"/>
      <c r="P665" s="2"/>
      <c r="Q665" s="2"/>
      <c r="R665" s="2"/>
      <c r="S665" s="2"/>
      <c r="T665" s="2"/>
      <c r="U665" s="2"/>
      <c r="V665" s="2"/>
      <c r="W665" s="2"/>
    </row>
    <row r="666" spans="1:23" ht="75" customHeight="1" x14ac:dyDescent="0.15">
      <c r="A666" s="2">
        <v>763</v>
      </c>
      <c r="B666" s="2" t="s">
        <v>725</v>
      </c>
      <c r="C666" s="2" t="s">
        <v>726</v>
      </c>
      <c r="D666" s="2" t="s">
        <v>741</v>
      </c>
      <c r="E666" s="2">
        <v>1.2</v>
      </c>
      <c r="F666" s="2">
        <v>1.2</v>
      </c>
      <c r="G666" s="2"/>
      <c r="H666" s="2"/>
      <c r="I666" s="2" t="b">
        <f t="shared" si="2"/>
        <v>1</v>
      </c>
      <c r="J666" s="2"/>
      <c r="K666" s="2"/>
      <c r="L666" s="2"/>
      <c r="M666" s="2"/>
      <c r="N666" s="2"/>
      <c r="O666" s="2"/>
      <c r="P666" s="2"/>
      <c r="Q666" s="2"/>
      <c r="R666" s="2"/>
      <c r="S666" s="2"/>
      <c r="T666" s="2"/>
      <c r="U666" s="2"/>
      <c r="V666" s="2"/>
      <c r="W666" s="2"/>
    </row>
    <row r="667" spans="1:23" ht="75" customHeight="1" x14ac:dyDescent="0.15">
      <c r="A667" s="2">
        <v>764</v>
      </c>
      <c r="B667" s="2" t="s">
        <v>725</v>
      </c>
      <c r="C667" s="2" t="s">
        <v>726</v>
      </c>
      <c r="D667" s="2" t="s">
        <v>742</v>
      </c>
      <c r="E667" s="2">
        <v>2</v>
      </c>
      <c r="F667" s="2">
        <v>2</v>
      </c>
      <c r="G667" s="2"/>
      <c r="H667" s="2"/>
      <c r="I667" s="2" t="b">
        <f t="shared" si="2"/>
        <v>1</v>
      </c>
      <c r="J667" s="2"/>
      <c r="K667" s="2"/>
      <c r="L667" s="2"/>
      <c r="M667" s="2"/>
      <c r="N667" s="2"/>
      <c r="O667" s="2"/>
      <c r="P667" s="2"/>
      <c r="Q667" s="2"/>
      <c r="R667" s="2"/>
      <c r="S667" s="2"/>
      <c r="T667" s="2"/>
      <c r="U667" s="2"/>
      <c r="V667" s="2"/>
      <c r="W667" s="2"/>
    </row>
    <row r="668" spans="1:23" ht="75" customHeight="1" x14ac:dyDescent="0.15">
      <c r="A668" s="2">
        <v>765</v>
      </c>
      <c r="B668" s="2" t="s">
        <v>725</v>
      </c>
      <c r="C668" s="2" t="s">
        <v>726</v>
      </c>
      <c r="D668" s="2" t="s">
        <v>743</v>
      </c>
      <c r="E668" s="2">
        <v>1.75</v>
      </c>
      <c r="F668" s="2">
        <v>1.75</v>
      </c>
      <c r="G668" s="2"/>
      <c r="H668" s="2"/>
      <c r="I668" s="2" t="b">
        <f t="shared" si="2"/>
        <v>1</v>
      </c>
      <c r="J668" s="2"/>
      <c r="K668" s="2"/>
      <c r="L668" s="2"/>
      <c r="M668" s="2"/>
      <c r="N668" s="2"/>
      <c r="O668" s="2"/>
      <c r="P668" s="2"/>
      <c r="Q668" s="2"/>
      <c r="R668" s="2"/>
      <c r="S668" s="2"/>
      <c r="T668" s="2"/>
      <c r="U668" s="2"/>
      <c r="V668" s="2"/>
      <c r="W668" s="2"/>
    </row>
    <row r="669" spans="1:23" ht="75" customHeight="1" x14ac:dyDescent="0.15">
      <c r="A669" s="2">
        <v>767</v>
      </c>
      <c r="B669" s="2" t="s">
        <v>725</v>
      </c>
      <c r="C669" s="2" t="s">
        <v>726</v>
      </c>
      <c r="D669" s="2" t="s">
        <v>744</v>
      </c>
      <c r="E669" s="2">
        <v>-0.5</v>
      </c>
      <c r="F669" s="2">
        <v>-0.5</v>
      </c>
      <c r="G669" s="2"/>
      <c r="H669" s="2"/>
      <c r="I669" s="2" t="b">
        <f t="shared" si="2"/>
        <v>1</v>
      </c>
      <c r="J669" s="2"/>
      <c r="K669" s="2"/>
      <c r="L669" s="2"/>
      <c r="M669" s="2"/>
      <c r="N669" s="2"/>
      <c r="O669" s="2"/>
      <c r="P669" s="2"/>
      <c r="Q669" s="2"/>
      <c r="R669" s="2"/>
      <c r="S669" s="2"/>
      <c r="T669" s="2"/>
      <c r="U669" s="2"/>
      <c r="V669" s="2"/>
      <c r="W669" s="2"/>
    </row>
    <row r="670" spans="1:23" ht="75" customHeight="1" x14ac:dyDescent="0.15">
      <c r="A670" s="2">
        <v>768</v>
      </c>
      <c r="B670" s="2" t="s">
        <v>745</v>
      </c>
      <c r="C670" s="2" t="s">
        <v>746</v>
      </c>
      <c r="D670" s="2" t="s">
        <v>506</v>
      </c>
      <c r="E670" s="2">
        <v>19.25</v>
      </c>
      <c r="F670" s="2">
        <v>19.25</v>
      </c>
      <c r="G670" s="2"/>
      <c r="H670" s="2"/>
      <c r="I670" s="2" t="b">
        <f t="shared" si="2"/>
        <v>1</v>
      </c>
      <c r="J670" s="2"/>
      <c r="K670" s="2"/>
      <c r="L670" s="2"/>
      <c r="M670" s="2"/>
      <c r="N670" s="2"/>
      <c r="O670" s="2"/>
      <c r="P670" s="2"/>
      <c r="Q670" s="2"/>
      <c r="R670" s="2"/>
      <c r="S670" s="2"/>
      <c r="T670" s="2"/>
      <c r="U670" s="2"/>
      <c r="V670" s="2"/>
      <c r="W670" s="2"/>
    </row>
    <row r="671" spans="1:23" ht="75" customHeight="1" x14ac:dyDescent="0.15">
      <c r="A671" s="2">
        <v>769</v>
      </c>
      <c r="B671" s="2" t="s">
        <v>745</v>
      </c>
      <c r="C671" s="2" t="s">
        <v>746</v>
      </c>
      <c r="D671" s="2" t="s">
        <v>747</v>
      </c>
      <c r="E671" s="2">
        <v>12</v>
      </c>
      <c r="F671" s="2">
        <v>12</v>
      </c>
      <c r="G671" s="2"/>
      <c r="H671" s="2"/>
      <c r="I671" s="2" t="b">
        <f t="shared" si="2"/>
        <v>1</v>
      </c>
      <c r="J671" s="2"/>
      <c r="K671" s="2"/>
      <c r="L671" s="2"/>
      <c r="M671" s="2"/>
      <c r="N671" s="2"/>
      <c r="O671" s="2"/>
      <c r="P671" s="2"/>
      <c r="Q671" s="2"/>
      <c r="R671" s="2"/>
      <c r="S671" s="2"/>
      <c r="T671" s="2"/>
      <c r="U671" s="2"/>
      <c r="V671" s="2"/>
      <c r="W671" s="2"/>
    </row>
    <row r="672" spans="1:23" ht="75" customHeight="1" x14ac:dyDescent="0.15">
      <c r="A672" s="2">
        <v>771</v>
      </c>
      <c r="B672" s="2" t="s">
        <v>745</v>
      </c>
      <c r="C672" s="2" t="s">
        <v>746</v>
      </c>
      <c r="D672" s="2" t="s">
        <v>748</v>
      </c>
      <c r="E672" s="2">
        <v>25</v>
      </c>
      <c r="F672" s="2">
        <v>25</v>
      </c>
      <c r="G672" s="2"/>
      <c r="H672" s="2"/>
      <c r="I672" s="2" t="b">
        <f t="shared" si="2"/>
        <v>1</v>
      </c>
      <c r="J672" s="2"/>
      <c r="K672" s="2"/>
      <c r="L672" s="2"/>
      <c r="M672" s="2"/>
      <c r="N672" s="2"/>
      <c r="O672" s="2"/>
      <c r="P672" s="2"/>
      <c r="Q672" s="2"/>
      <c r="R672" s="2"/>
      <c r="S672" s="2"/>
      <c r="T672" s="2"/>
      <c r="U672" s="2"/>
      <c r="V672" s="2"/>
      <c r="W672" s="2"/>
    </row>
    <row r="673" spans="1:23" ht="75" customHeight="1" x14ac:dyDescent="0.15">
      <c r="A673" s="2">
        <v>772</v>
      </c>
      <c r="B673" s="2" t="s">
        <v>745</v>
      </c>
      <c r="C673" s="2" t="s">
        <v>746</v>
      </c>
      <c r="D673" s="2" t="s">
        <v>749</v>
      </c>
      <c r="E673" s="2" t="s">
        <v>162</v>
      </c>
      <c r="F673" s="2" t="s">
        <v>162</v>
      </c>
      <c r="G673" s="2"/>
      <c r="H673" s="2"/>
      <c r="I673" s="2" t="b">
        <f t="shared" si="2"/>
        <v>1</v>
      </c>
      <c r="J673" s="2"/>
      <c r="K673" s="2"/>
      <c r="L673" s="2"/>
      <c r="M673" s="2"/>
      <c r="N673" s="2"/>
      <c r="O673" s="2"/>
      <c r="P673" s="2"/>
      <c r="Q673" s="2"/>
      <c r="R673" s="2"/>
      <c r="S673" s="2"/>
      <c r="T673" s="2"/>
      <c r="U673" s="2"/>
      <c r="V673" s="2"/>
      <c r="W673" s="2"/>
    </row>
    <row r="674" spans="1:23" ht="75" customHeight="1" x14ac:dyDescent="0.15">
      <c r="A674" s="2">
        <v>773</v>
      </c>
      <c r="B674" s="2" t="s">
        <v>745</v>
      </c>
      <c r="C674" s="2" t="s">
        <v>746</v>
      </c>
      <c r="D674" s="2" t="s">
        <v>750</v>
      </c>
      <c r="E674" s="2" t="s">
        <v>162</v>
      </c>
      <c r="F674" s="2" t="s">
        <v>162</v>
      </c>
      <c r="G674" s="2"/>
      <c r="H674" s="2"/>
      <c r="I674" s="2" t="b">
        <f t="shared" si="2"/>
        <v>1</v>
      </c>
      <c r="J674" s="2"/>
      <c r="K674" s="2"/>
      <c r="L674" s="2"/>
      <c r="M674" s="2"/>
      <c r="N674" s="2"/>
      <c r="O674" s="2"/>
      <c r="P674" s="2"/>
      <c r="Q674" s="2"/>
      <c r="R674" s="2"/>
      <c r="S674" s="2"/>
      <c r="T674" s="2"/>
      <c r="U674" s="2"/>
      <c r="V674" s="2"/>
      <c r="W674" s="2"/>
    </row>
    <row r="675" spans="1:23" ht="75" customHeight="1" x14ac:dyDescent="0.15">
      <c r="A675" s="2">
        <v>774</v>
      </c>
      <c r="B675" s="2" t="s">
        <v>745</v>
      </c>
      <c r="C675" s="2" t="s">
        <v>746</v>
      </c>
      <c r="D675" s="2" t="s">
        <v>751</v>
      </c>
      <c r="E675" s="2">
        <v>11.25</v>
      </c>
      <c r="F675" s="2">
        <v>11.25</v>
      </c>
      <c r="G675" s="2"/>
      <c r="H675" s="2"/>
      <c r="I675" s="2" t="b">
        <f t="shared" si="2"/>
        <v>1</v>
      </c>
      <c r="J675" s="2"/>
      <c r="K675" s="2"/>
      <c r="L675" s="2"/>
      <c r="M675" s="2"/>
      <c r="N675" s="2"/>
      <c r="O675" s="2"/>
      <c r="P675" s="2"/>
      <c r="Q675" s="2"/>
      <c r="R675" s="2"/>
      <c r="S675" s="2"/>
      <c r="T675" s="2"/>
      <c r="U675" s="2"/>
      <c r="V675" s="2"/>
      <c r="W675" s="2"/>
    </row>
    <row r="676" spans="1:23" ht="75" customHeight="1" x14ac:dyDescent="0.15">
      <c r="A676" s="2">
        <v>775</v>
      </c>
      <c r="B676" s="2" t="s">
        <v>745</v>
      </c>
      <c r="C676" s="2" t="s">
        <v>746</v>
      </c>
      <c r="D676" s="2" t="s">
        <v>752</v>
      </c>
      <c r="E676" s="2">
        <v>4</v>
      </c>
      <c r="F676" s="2">
        <v>4</v>
      </c>
      <c r="G676" s="2"/>
      <c r="H676" s="2"/>
      <c r="I676" s="2" t="b">
        <f t="shared" si="2"/>
        <v>1</v>
      </c>
      <c r="J676" s="2"/>
      <c r="K676" s="2"/>
      <c r="L676" s="2"/>
      <c r="M676" s="2"/>
      <c r="N676" s="2"/>
      <c r="O676" s="2"/>
      <c r="P676" s="2"/>
      <c r="Q676" s="2"/>
      <c r="R676" s="2"/>
      <c r="S676" s="2"/>
      <c r="T676" s="2"/>
      <c r="U676" s="2"/>
      <c r="V676" s="2"/>
      <c r="W676" s="2"/>
    </row>
    <row r="677" spans="1:23" ht="75" customHeight="1" x14ac:dyDescent="0.15">
      <c r="A677" s="2">
        <v>778</v>
      </c>
      <c r="B677" s="2" t="s">
        <v>745</v>
      </c>
      <c r="C677" s="2" t="s">
        <v>746</v>
      </c>
      <c r="D677" s="2" t="s">
        <v>753</v>
      </c>
      <c r="E677" s="2">
        <v>26.25</v>
      </c>
      <c r="F677" s="2">
        <v>26.25</v>
      </c>
      <c r="G677" s="2"/>
      <c r="H677" s="2"/>
      <c r="I677" s="2" t="b">
        <f t="shared" si="2"/>
        <v>1</v>
      </c>
      <c r="J677" s="2"/>
      <c r="K677" s="2"/>
      <c r="L677" s="2"/>
      <c r="M677" s="2"/>
      <c r="N677" s="2"/>
      <c r="O677" s="2"/>
      <c r="P677" s="2"/>
      <c r="Q677" s="2"/>
      <c r="R677" s="2"/>
      <c r="S677" s="2"/>
      <c r="T677" s="2"/>
      <c r="U677" s="2"/>
      <c r="V677" s="2"/>
      <c r="W677" s="2"/>
    </row>
    <row r="678" spans="1:23" ht="75" customHeight="1" x14ac:dyDescent="0.15">
      <c r="A678" s="2">
        <v>779</v>
      </c>
      <c r="B678" s="2" t="s">
        <v>745</v>
      </c>
      <c r="C678" s="2" t="s">
        <v>746</v>
      </c>
      <c r="D678" s="2" t="s">
        <v>754</v>
      </c>
      <c r="E678" s="2">
        <v>6.05</v>
      </c>
      <c r="F678" s="2">
        <v>6.05</v>
      </c>
      <c r="G678" s="2"/>
      <c r="H678" s="2"/>
      <c r="I678" s="2" t="b">
        <f t="shared" si="2"/>
        <v>1</v>
      </c>
      <c r="J678" s="2"/>
      <c r="K678" s="2"/>
      <c r="L678" s="2"/>
      <c r="M678" s="2"/>
      <c r="N678" s="2"/>
      <c r="O678" s="2"/>
      <c r="P678" s="2"/>
      <c r="Q678" s="2"/>
      <c r="R678" s="2"/>
      <c r="S678" s="2"/>
      <c r="T678" s="2"/>
      <c r="U678" s="2"/>
      <c r="V678" s="2"/>
      <c r="W678" s="2"/>
    </row>
    <row r="679" spans="1:23" ht="75" customHeight="1" x14ac:dyDescent="0.15">
      <c r="A679" s="2">
        <v>782</v>
      </c>
      <c r="B679" s="2" t="s">
        <v>745</v>
      </c>
      <c r="C679" s="2" t="s">
        <v>746</v>
      </c>
      <c r="D679" s="2" t="s">
        <v>755</v>
      </c>
      <c r="E679" s="2">
        <v>15.65</v>
      </c>
      <c r="F679" s="2">
        <v>15.65</v>
      </c>
      <c r="G679" s="2"/>
      <c r="H679" s="2"/>
      <c r="I679" s="2" t="b">
        <f t="shared" si="2"/>
        <v>1</v>
      </c>
      <c r="J679" s="2"/>
      <c r="K679" s="2"/>
      <c r="L679" s="2"/>
      <c r="M679" s="2"/>
      <c r="N679" s="2"/>
      <c r="O679" s="2"/>
      <c r="P679" s="2"/>
      <c r="Q679" s="2"/>
      <c r="R679" s="2"/>
      <c r="S679" s="2"/>
      <c r="T679" s="2"/>
      <c r="U679" s="2"/>
      <c r="V679" s="2"/>
      <c r="W679" s="2"/>
    </row>
    <row r="680" spans="1:23" ht="75" customHeight="1" x14ac:dyDescent="0.15">
      <c r="A680" s="2">
        <v>783</v>
      </c>
      <c r="B680" s="2" t="s">
        <v>745</v>
      </c>
      <c r="C680" s="2" t="s">
        <v>746</v>
      </c>
      <c r="D680" s="2" t="s">
        <v>756</v>
      </c>
      <c r="E680" s="2">
        <v>14</v>
      </c>
      <c r="F680" s="2">
        <v>14</v>
      </c>
      <c r="G680" s="2"/>
      <c r="H680" s="2"/>
      <c r="I680" s="2" t="b">
        <f t="shared" si="2"/>
        <v>1</v>
      </c>
      <c r="J680" s="2"/>
      <c r="K680" s="2"/>
      <c r="L680" s="2"/>
      <c r="M680" s="2"/>
      <c r="N680" s="2"/>
      <c r="O680" s="2"/>
      <c r="P680" s="2"/>
      <c r="Q680" s="2"/>
      <c r="R680" s="2"/>
      <c r="S680" s="2"/>
      <c r="T680" s="2"/>
      <c r="U680" s="2"/>
      <c r="V680" s="2"/>
      <c r="W680" s="2"/>
    </row>
    <row r="681" spans="1:23" ht="75" customHeight="1" x14ac:dyDescent="0.15">
      <c r="A681" s="2">
        <v>784</v>
      </c>
      <c r="B681" s="2" t="s">
        <v>745</v>
      </c>
      <c r="C681" s="2" t="s">
        <v>746</v>
      </c>
      <c r="D681" s="2" t="s">
        <v>757</v>
      </c>
      <c r="E681" s="2">
        <v>13.25</v>
      </c>
      <c r="F681" s="2">
        <v>13.25</v>
      </c>
      <c r="G681" s="2"/>
      <c r="H681" s="2"/>
      <c r="I681" s="2" t="b">
        <f t="shared" si="2"/>
        <v>1</v>
      </c>
      <c r="J681" s="2"/>
      <c r="K681" s="2"/>
      <c r="L681" s="2"/>
      <c r="M681" s="2"/>
      <c r="N681" s="2"/>
      <c r="O681" s="2"/>
      <c r="P681" s="2"/>
      <c r="Q681" s="2"/>
      <c r="R681" s="2"/>
      <c r="S681" s="2"/>
      <c r="T681" s="2"/>
      <c r="U681" s="2"/>
      <c r="V681" s="2"/>
      <c r="W681" s="2"/>
    </row>
    <row r="682" spans="1:23" ht="75" customHeight="1" x14ac:dyDescent="0.15">
      <c r="A682" s="2">
        <v>785</v>
      </c>
      <c r="B682" s="2" t="s">
        <v>745</v>
      </c>
      <c r="C682" s="2" t="s">
        <v>746</v>
      </c>
      <c r="D682" s="2" t="s">
        <v>758</v>
      </c>
      <c r="E682" s="2">
        <v>31.55</v>
      </c>
      <c r="F682" s="2">
        <v>31.55</v>
      </c>
      <c r="G682" s="3">
        <v>31.5</v>
      </c>
      <c r="H682" s="4" t="s">
        <v>759</v>
      </c>
      <c r="I682" s="2" t="b">
        <f t="shared" si="2"/>
        <v>1</v>
      </c>
      <c r="J682" s="2"/>
      <c r="K682" s="2"/>
      <c r="L682" s="2"/>
      <c r="M682" s="2"/>
      <c r="N682" s="2"/>
      <c r="O682" s="2"/>
      <c r="P682" s="2"/>
      <c r="Q682" s="2"/>
      <c r="R682" s="2"/>
      <c r="S682" s="2"/>
      <c r="T682" s="2"/>
      <c r="U682" s="2"/>
      <c r="V682" s="2"/>
      <c r="W682" s="2"/>
    </row>
    <row r="683" spans="1:23" ht="75" customHeight="1" x14ac:dyDescent="0.15">
      <c r="A683" s="2">
        <v>786</v>
      </c>
      <c r="B683" s="2" t="s">
        <v>745</v>
      </c>
      <c r="C683" s="2" t="s">
        <v>746</v>
      </c>
      <c r="D683" s="2" t="s">
        <v>760</v>
      </c>
      <c r="E683" s="2">
        <v>6.5</v>
      </c>
      <c r="F683" s="2">
        <v>6.5</v>
      </c>
      <c r="G683" s="2"/>
      <c r="H683" s="2"/>
      <c r="I683" s="2" t="b">
        <f t="shared" si="2"/>
        <v>1</v>
      </c>
      <c r="J683" s="2"/>
      <c r="K683" s="2"/>
      <c r="L683" s="2"/>
      <c r="M683" s="2"/>
      <c r="N683" s="2"/>
      <c r="O683" s="2"/>
      <c r="P683" s="2"/>
      <c r="Q683" s="2"/>
      <c r="R683" s="2"/>
      <c r="S683" s="2"/>
      <c r="T683" s="2"/>
      <c r="U683" s="2"/>
      <c r="V683" s="2"/>
      <c r="W683" s="2"/>
    </row>
    <row r="684" spans="1:23" ht="75" customHeight="1" x14ac:dyDescent="0.15">
      <c r="A684" s="2">
        <v>791</v>
      </c>
      <c r="B684" s="2" t="s">
        <v>761</v>
      </c>
      <c r="C684" s="2" t="s">
        <v>762</v>
      </c>
      <c r="D684" s="2" t="s">
        <v>763</v>
      </c>
      <c r="E684" s="2">
        <v>-5.5</v>
      </c>
      <c r="F684" s="2">
        <v>-5.5</v>
      </c>
      <c r="G684" s="2"/>
      <c r="H684" s="2"/>
      <c r="I684" s="2" t="b">
        <f t="shared" si="2"/>
        <v>1</v>
      </c>
      <c r="J684" s="2"/>
      <c r="K684" s="2"/>
      <c r="L684" s="2"/>
      <c r="M684" s="2"/>
      <c r="N684" s="2"/>
      <c r="O684" s="2"/>
      <c r="P684" s="2"/>
      <c r="Q684" s="2"/>
      <c r="R684" s="2"/>
      <c r="S684" s="2"/>
      <c r="T684" s="2"/>
      <c r="U684" s="2"/>
      <c r="V684" s="2"/>
      <c r="W684" s="2"/>
    </row>
    <row r="685" spans="1:23" ht="75" customHeight="1" x14ac:dyDescent="0.15">
      <c r="A685" s="2">
        <v>792</v>
      </c>
      <c r="B685" s="2" t="s">
        <v>761</v>
      </c>
      <c r="C685" s="2" t="s">
        <v>762</v>
      </c>
      <c r="D685" s="2" t="s">
        <v>764</v>
      </c>
      <c r="E685" s="2">
        <v>10.5</v>
      </c>
      <c r="F685" s="2">
        <v>10.5</v>
      </c>
      <c r="G685" s="2"/>
      <c r="H685" s="2"/>
      <c r="I685" s="2" t="b">
        <f t="shared" si="2"/>
        <v>1</v>
      </c>
      <c r="J685" s="2"/>
      <c r="K685" s="2"/>
      <c r="L685" s="2"/>
      <c r="M685" s="2"/>
      <c r="N685" s="2"/>
      <c r="O685" s="2"/>
      <c r="P685" s="2"/>
      <c r="Q685" s="2"/>
      <c r="R685" s="2"/>
      <c r="S685" s="2"/>
      <c r="T685" s="2"/>
      <c r="U685" s="2"/>
      <c r="V685" s="2"/>
      <c r="W685" s="2"/>
    </row>
    <row r="686" spans="1:23" ht="75" customHeight="1" x14ac:dyDescent="0.15">
      <c r="A686" s="2">
        <v>793</v>
      </c>
      <c r="B686" s="2" t="s">
        <v>761</v>
      </c>
      <c r="C686" s="2" t="s">
        <v>762</v>
      </c>
      <c r="D686" s="2" t="s">
        <v>765</v>
      </c>
      <c r="E686" s="2">
        <v>-1.25</v>
      </c>
      <c r="F686" s="2">
        <v>-1.25</v>
      </c>
      <c r="G686" s="2"/>
      <c r="H686" s="2"/>
      <c r="I686" s="2" t="b">
        <f t="shared" si="2"/>
        <v>1</v>
      </c>
      <c r="J686" s="2"/>
      <c r="K686" s="2"/>
      <c r="L686" s="2"/>
      <c r="M686" s="2"/>
      <c r="N686" s="2"/>
      <c r="O686" s="2"/>
      <c r="P686" s="2"/>
      <c r="Q686" s="2"/>
      <c r="R686" s="2"/>
      <c r="S686" s="2"/>
      <c r="T686" s="2"/>
      <c r="U686" s="2"/>
      <c r="V686" s="2"/>
      <c r="W686" s="2"/>
    </row>
    <row r="687" spans="1:23" ht="75" customHeight="1" x14ac:dyDescent="0.15">
      <c r="A687" s="2">
        <v>794</v>
      </c>
      <c r="B687" s="2" t="s">
        <v>761</v>
      </c>
      <c r="C687" s="2" t="s">
        <v>762</v>
      </c>
      <c r="D687" s="2" t="s">
        <v>766</v>
      </c>
      <c r="E687" s="2">
        <v>1</v>
      </c>
      <c r="F687" s="2">
        <v>1</v>
      </c>
      <c r="G687" s="3">
        <v>1</v>
      </c>
      <c r="H687" s="4" t="s">
        <v>999</v>
      </c>
      <c r="I687" s="2" t="b">
        <f t="shared" si="2"/>
        <v>1</v>
      </c>
      <c r="J687" s="2"/>
      <c r="K687" s="2"/>
      <c r="L687" s="2"/>
      <c r="M687" s="2"/>
      <c r="N687" s="2"/>
      <c r="O687" s="2"/>
      <c r="P687" s="2"/>
      <c r="Q687" s="2"/>
      <c r="R687" s="2"/>
      <c r="S687" s="2"/>
      <c r="T687" s="2"/>
      <c r="U687" s="2"/>
      <c r="V687" s="2"/>
      <c r="W687" s="2"/>
    </row>
    <row r="688" spans="1:23" ht="75" customHeight="1" x14ac:dyDescent="0.15">
      <c r="A688" s="2">
        <v>795</v>
      </c>
      <c r="B688" s="2" t="s">
        <v>761</v>
      </c>
      <c r="C688" s="2" t="s">
        <v>762</v>
      </c>
      <c r="D688" s="2" t="s">
        <v>509</v>
      </c>
      <c r="E688" s="2">
        <v>0.5</v>
      </c>
      <c r="F688" s="2">
        <v>0.5</v>
      </c>
      <c r="G688" s="2"/>
      <c r="H688" s="2"/>
      <c r="I688" s="2" t="b">
        <f t="shared" si="2"/>
        <v>1</v>
      </c>
      <c r="J688" s="2"/>
      <c r="K688" s="2"/>
      <c r="L688" s="2"/>
      <c r="M688" s="2"/>
      <c r="N688" s="2"/>
      <c r="O688" s="2"/>
      <c r="P688" s="2"/>
      <c r="Q688" s="2"/>
      <c r="R688" s="2"/>
      <c r="S688" s="2"/>
      <c r="T688" s="2"/>
      <c r="U688" s="2"/>
      <c r="V688" s="2"/>
      <c r="W688" s="2"/>
    </row>
    <row r="689" spans="1:23" ht="75" customHeight="1" x14ac:dyDescent="0.15">
      <c r="A689" s="2">
        <v>798</v>
      </c>
      <c r="B689" s="2" t="s">
        <v>761</v>
      </c>
      <c r="C689" s="2" t="s">
        <v>762</v>
      </c>
      <c r="D689" s="2" t="s">
        <v>767</v>
      </c>
      <c r="E689" s="2">
        <v>0.5</v>
      </c>
      <c r="F689" s="2">
        <v>0.5</v>
      </c>
      <c r="G689" s="2"/>
      <c r="H689" s="2"/>
      <c r="I689" s="2" t="b">
        <f t="shared" si="2"/>
        <v>1</v>
      </c>
      <c r="J689" s="2"/>
      <c r="K689" s="2"/>
      <c r="L689" s="2"/>
      <c r="M689" s="2"/>
      <c r="N689" s="2"/>
      <c r="O689" s="2"/>
      <c r="P689" s="2"/>
      <c r="Q689" s="2"/>
      <c r="R689" s="2"/>
      <c r="S689" s="2"/>
      <c r="T689" s="2"/>
      <c r="U689" s="2"/>
      <c r="V689" s="2"/>
      <c r="W689" s="2"/>
    </row>
    <row r="690" spans="1:23" ht="75" customHeight="1" x14ac:dyDescent="0.15">
      <c r="A690" s="2">
        <v>799</v>
      </c>
      <c r="B690" s="2" t="s">
        <v>761</v>
      </c>
      <c r="C690" s="2" t="s">
        <v>762</v>
      </c>
      <c r="D690" s="2" t="s">
        <v>747</v>
      </c>
      <c r="E690" s="2">
        <v>0</v>
      </c>
      <c r="F690" s="2">
        <v>0</v>
      </c>
      <c r="G690" s="2"/>
      <c r="H690" s="2"/>
      <c r="I690" s="2" t="b">
        <f t="shared" si="2"/>
        <v>1</v>
      </c>
      <c r="J690" s="2"/>
      <c r="K690" s="2"/>
      <c r="L690" s="2"/>
      <c r="M690" s="2"/>
      <c r="N690" s="2"/>
      <c r="O690" s="2"/>
      <c r="P690" s="2"/>
      <c r="Q690" s="2"/>
      <c r="R690" s="2"/>
      <c r="S690" s="2"/>
      <c r="T690" s="2"/>
      <c r="U690" s="2"/>
      <c r="V690" s="2"/>
      <c r="W690" s="2"/>
    </row>
    <row r="691" spans="1:23" ht="75" customHeight="1" x14ac:dyDescent="0.15">
      <c r="A691" s="2">
        <v>800</v>
      </c>
      <c r="B691" s="2" t="s">
        <v>761</v>
      </c>
      <c r="C691" s="2" t="s">
        <v>762</v>
      </c>
      <c r="D691" s="2" t="s">
        <v>768</v>
      </c>
      <c r="E691" s="2">
        <v>-4</v>
      </c>
      <c r="F691" s="2">
        <v>-4</v>
      </c>
      <c r="G691" s="2"/>
      <c r="H691" s="2"/>
      <c r="I691" s="2" t="b">
        <f t="shared" si="2"/>
        <v>1</v>
      </c>
      <c r="J691" s="2"/>
      <c r="K691" s="2"/>
      <c r="L691" s="2"/>
      <c r="M691" s="2"/>
      <c r="N691" s="2"/>
      <c r="O691" s="2"/>
      <c r="P691" s="2"/>
      <c r="Q691" s="2"/>
      <c r="R691" s="2"/>
      <c r="S691" s="2"/>
      <c r="T691" s="2"/>
      <c r="U691" s="2"/>
      <c r="V691" s="2"/>
      <c r="W691" s="2"/>
    </row>
    <row r="692" spans="1:23" ht="75" customHeight="1" x14ac:dyDescent="0.15">
      <c r="A692" s="2">
        <v>805</v>
      </c>
      <c r="B692" s="2" t="s">
        <v>761</v>
      </c>
      <c r="C692" s="2" t="s">
        <v>762</v>
      </c>
      <c r="D692" s="2" t="s">
        <v>751</v>
      </c>
      <c r="E692" s="2">
        <v>-0.75</v>
      </c>
      <c r="F692" s="2">
        <v>-0.75</v>
      </c>
      <c r="G692" s="2"/>
      <c r="H692" s="2"/>
      <c r="I692" s="2" t="b">
        <f t="shared" si="2"/>
        <v>1</v>
      </c>
      <c r="J692" s="2"/>
      <c r="K692" s="2"/>
      <c r="L692" s="2"/>
      <c r="M692" s="2"/>
      <c r="N692" s="2"/>
      <c r="O692" s="2"/>
      <c r="P692" s="2"/>
      <c r="Q692" s="2"/>
      <c r="R692" s="2"/>
      <c r="S692" s="2"/>
      <c r="T692" s="2"/>
      <c r="U692" s="2"/>
      <c r="V692" s="2"/>
      <c r="W692" s="2"/>
    </row>
    <row r="693" spans="1:23" ht="75" customHeight="1" x14ac:dyDescent="0.15">
      <c r="A693" s="2">
        <v>806</v>
      </c>
      <c r="B693" s="2" t="s">
        <v>761</v>
      </c>
      <c r="C693" s="2" t="s">
        <v>762</v>
      </c>
      <c r="D693" s="2" t="s">
        <v>769</v>
      </c>
      <c r="E693" s="2">
        <v>24.5</v>
      </c>
      <c r="F693" s="2">
        <v>24.5</v>
      </c>
      <c r="G693" s="2"/>
      <c r="H693" s="2"/>
      <c r="I693" s="2" t="b">
        <f t="shared" si="2"/>
        <v>1</v>
      </c>
      <c r="J693" s="2"/>
      <c r="K693" s="2"/>
      <c r="L693" s="2"/>
      <c r="M693" s="2"/>
      <c r="N693" s="2"/>
      <c r="O693" s="2"/>
      <c r="P693" s="2"/>
      <c r="Q693" s="2"/>
      <c r="R693" s="2"/>
      <c r="S693" s="2"/>
      <c r="T693" s="2"/>
      <c r="U693" s="2"/>
      <c r="V693" s="2"/>
      <c r="W693" s="2"/>
    </row>
    <row r="694" spans="1:23" ht="75" customHeight="1" x14ac:dyDescent="0.15">
      <c r="A694" s="2">
        <v>808</v>
      </c>
      <c r="B694" s="2" t="s">
        <v>770</v>
      </c>
      <c r="C694" s="2" t="s">
        <v>771</v>
      </c>
      <c r="D694" s="2" t="s">
        <v>737</v>
      </c>
      <c r="E694" s="2">
        <v>-0.2</v>
      </c>
      <c r="F694" s="2">
        <v>-0.2</v>
      </c>
      <c r="G694" s="2"/>
      <c r="H694" s="2"/>
      <c r="I694" s="2" t="b">
        <f t="shared" si="2"/>
        <v>1</v>
      </c>
      <c r="J694" s="2"/>
      <c r="K694" s="2"/>
      <c r="L694" s="2"/>
      <c r="M694" s="2"/>
      <c r="N694" s="2"/>
      <c r="O694" s="2"/>
      <c r="P694" s="2"/>
      <c r="Q694" s="2"/>
      <c r="R694" s="2"/>
      <c r="S694" s="2"/>
      <c r="T694" s="2"/>
      <c r="U694" s="2"/>
      <c r="V694" s="2"/>
      <c r="W694" s="2"/>
    </row>
    <row r="695" spans="1:23" ht="75" customHeight="1" x14ac:dyDescent="0.15">
      <c r="A695" s="2">
        <v>809</v>
      </c>
      <c r="B695" s="2" t="s">
        <v>770</v>
      </c>
      <c r="C695" s="2" t="s">
        <v>771</v>
      </c>
      <c r="D695" s="2" t="s">
        <v>772</v>
      </c>
      <c r="E695" s="2">
        <v>-2.5</v>
      </c>
      <c r="F695" s="2">
        <v>-2.5</v>
      </c>
      <c r="G695" s="2"/>
      <c r="H695" s="2"/>
      <c r="I695" s="2" t="b">
        <f t="shared" si="2"/>
        <v>1</v>
      </c>
      <c r="J695" s="2"/>
      <c r="K695" s="2"/>
      <c r="L695" s="2"/>
      <c r="M695" s="2"/>
      <c r="N695" s="2"/>
      <c r="O695" s="2"/>
      <c r="P695" s="2"/>
      <c r="Q695" s="2"/>
      <c r="R695" s="2"/>
      <c r="S695" s="2"/>
      <c r="T695" s="2"/>
      <c r="U695" s="2"/>
      <c r="V695" s="2"/>
      <c r="W695" s="2"/>
    </row>
    <row r="696" spans="1:23" ht="75" customHeight="1" x14ac:dyDescent="0.15">
      <c r="A696" s="2">
        <v>810</v>
      </c>
      <c r="B696" s="2" t="s">
        <v>770</v>
      </c>
      <c r="C696" s="2" t="s">
        <v>771</v>
      </c>
      <c r="D696" s="2" t="s">
        <v>773</v>
      </c>
      <c r="E696" s="2">
        <v>43.5</v>
      </c>
      <c r="F696" s="2">
        <v>43.5</v>
      </c>
      <c r="G696" s="2"/>
      <c r="H696" s="2"/>
      <c r="I696" s="2" t="b">
        <f t="shared" si="2"/>
        <v>1</v>
      </c>
      <c r="J696" s="2"/>
      <c r="K696" s="2"/>
      <c r="L696" s="2"/>
      <c r="M696" s="2"/>
      <c r="N696" s="2"/>
      <c r="O696" s="2"/>
      <c r="P696" s="2"/>
      <c r="Q696" s="2"/>
      <c r="R696" s="2"/>
      <c r="S696" s="2"/>
      <c r="T696" s="2"/>
      <c r="U696" s="2"/>
      <c r="V696" s="2"/>
      <c r="W696" s="2"/>
    </row>
    <row r="697" spans="1:23" ht="75" customHeight="1" x14ac:dyDescent="0.15">
      <c r="A697" s="2">
        <v>811</v>
      </c>
      <c r="B697" s="2" t="s">
        <v>770</v>
      </c>
      <c r="C697" s="2" t="s">
        <v>771</v>
      </c>
      <c r="D697" s="2" t="s">
        <v>774</v>
      </c>
      <c r="E697" s="2">
        <v>1.05</v>
      </c>
      <c r="F697" s="2">
        <v>1.05</v>
      </c>
      <c r="G697" s="2"/>
      <c r="H697" s="2"/>
      <c r="I697" s="2" t="b">
        <f t="shared" si="2"/>
        <v>1</v>
      </c>
      <c r="J697" s="2"/>
      <c r="K697" s="2"/>
      <c r="L697" s="2"/>
      <c r="M697" s="2"/>
      <c r="N697" s="2"/>
      <c r="O697" s="2"/>
      <c r="P697" s="2"/>
      <c r="Q697" s="2"/>
      <c r="R697" s="2"/>
      <c r="S697" s="2"/>
      <c r="T697" s="2"/>
      <c r="U697" s="2"/>
      <c r="V697" s="2"/>
      <c r="W697" s="2"/>
    </row>
    <row r="698" spans="1:23" ht="75" customHeight="1" x14ac:dyDescent="0.15">
      <c r="A698" s="2">
        <v>812</v>
      </c>
      <c r="B698" s="2" t="s">
        <v>770</v>
      </c>
      <c r="C698" s="2" t="s">
        <v>771</v>
      </c>
      <c r="D698" s="2" t="s">
        <v>768</v>
      </c>
      <c r="E698" s="2">
        <v>-2</v>
      </c>
      <c r="F698" s="2">
        <v>-2</v>
      </c>
      <c r="G698" s="2"/>
      <c r="H698" s="2"/>
      <c r="I698" s="2" t="b">
        <f t="shared" si="2"/>
        <v>1</v>
      </c>
      <c r="J698" s="2"/>
      <c r="K698" s="2"/>
      <c r="L698" s="2"/>
      <c r="M698" s="2"/>
      <c r="N698" s="2"/>
      <c r="O698" s="2"/>
      <c r="P698" s="2"/>
      <c r="Q698" s="2"/>
      <c r="R698" s="2"/>
      <c r="S698" s="2"/>
      <c r="T698" s="2"/>
      <c r="U698" s="2"/>
      <c r="V698" s="2"/>
      <c r="W698" s="2"/>
    </row>
    <row r="699" spans="1:23" ht="75" customHeight="1" x14ac:dyDescent="0.15">
      <c r="A699" s="2">
        <v>813</v>
      </c>
      <c r="B699" s="2" t="s">
        <v>770</v>
      </c>
      <c r="C699" s="2" t="s">
        <v>771</v>
      </c>
      <c r="D699" s="2" t="s">
        <v>775</v>
      </c>
      <c r="E699" s="2">
        <v>-1.62</v>
      </c>
      <c r="F699" s="2">
        <v>-1.62</v>
      </c>
      <c r="G699" s="2"/>
      <c r="H699" s="2"/>
      <c r="I699" s="2" t="b">
        <f t="shared" si="2"/>
        <v>1</v>
      </c>
      <c r="J699" s="2"/>
      <c r="K699" s="2"/>
      <c r="L699" s="2"/>
      <c r="M699" s="2"/>
      <c r="N699" s="2"/>
      <c r="O699" s="2"/>
      <c r="P699" s="2"/>
      <c r="Q699" s="2"/>
      <c r="R699" s="2"/>
      <c r="S699" s="2"/>
      <c r="T699" s="2"/>
      <c r="U699" s="2"/>
      <c r="V699" s="2"/>
      <c r="W699" s="2"/>
    </row>
    <row r="700" spans="1:23" ht="75" customHeight="1" x14ac:dyDescent="0.15">
      <c r="A700" s="2">
        <v>814</v>
      </c>
      <c r="B700" s="2" t="s">
        <v>770</v>
      </c>
      <c r="C700" s="2" t="s">
        <v>771</v>
      </c>
      <c r="D700" s="2" t="s">
        <v>507</v>
      </c>
      <c r="E700" s="2">
        <v>0.57999999999999996</v>
      </c>
      <c r="F700" s="2">
        <v>0.57999999999999996</v>
      </c>
      <c r="G700" s="2"/>
      <c r="H700" s="2"/>
      <c r="I700" s="2" t="b">
        <f t="shared" si="2"/>
        <v>1</v>
      </c>
      <c r="J700" s="2"/>
      <c r="K700" s="2"/>
      <c r="L700" s="2"/>
      <c r="M700" s="2"/>
      <c r="N700" s="2"/>
      <c r="O700" s="2"/>
      <c r="P700" s="2"/>
      <c r="Q700" s="2"/>
      <c r="R700" s="2"/>
      <c r="S700" s="2"/>
      <c r="T700" s="2"/>
      <c r="U700" s="2"/>
      <c r="V700" s="2"/>
      <c r="W700" s="2"/>
    </row>
    <row r="701" spans="1:23" ht="75" customHeight="1" x14ac:dyDescent="0.15">
      <c r="A701" s="2">
        <v>815</v>
      </c>
      <c r="B701" s="2" t="s">
        <v>770</v>
      </c>
      <c r="C701" s="2" t="s">
        <v>771</v>
      </c>
      <c r="D701" s="2" t="s">
        <v>776</v>
      </c>
      <c r="E701" s="2">
        <v>0.83</v>
      </c>
      <c r="F701" s="2">
        <v>0.83</v>
      </c>
      <c r="G701" s="2"/>
      <c r="H701" s="2"/>
      <c r="I701" s="2" t="b">
        <f t="shared" si="2"/>
        <v>1</v>
      </c>
      <c r="J701" s="2"/>
      <c r="K701" s="2"/>
      <c r="L701" s="2"/>
      <c r="M701" s="2"/>
      <c r="N701" s="2"/>
      <c r="O701" s="2"/>
      <c r="P701" s="2"/>
      <c r="Q701" s="2"/>
      <c r="R701" s="2"/>
      <c r="S701" s="2"/>
      <c r="T701" s="2"/>
      <c r="U701" s="2"/>
      <c r="V701" s="2"/>
      <c r="W701" s="2"/>
    </row>
    <row r="702" spans="1:23" ht="75" customHeight="1" x14ac:dyDescent="0.15">
      <c r="A702" s="2">
        <v>816</v>
      </c>
      <c r="B702" s="2" t="s">
        <v>770</v>
      </c>
      <c r="C702" s="2" t="s">
        <v>771</v>
      </c>
      <c r="D702" s="2" t="s">
        <v>777</v>
      </c>
      <c r="E702" s="2">
        <v>1.19</v>
      </c>
      <c r="F702" s="2">
        <v>1.19</v>
      </c>
      <c r="G702" s="2"/>
      <c r="H702" s="2"/>
      <c r="I702" s="2" t="b">
        <f t="shared" si="2"/>
        <v>1</v>
      </c>
      <c r="J702" s="2"/>
      <c r="K702" s="2"/>
      <c r="L702" s="2"/>
      <c r="M702" s="2"/>
      <c r="N702" s="2"/>
      <c r="O702" s="2"/>
      <c r="P702" s="2"/>
      <c r="Q702" s="2"/>
      <c r="R702" s="2"/>
      <c r="S702" s="2"/>
      <c r="T702" s="2"/>
      <c r="U702" s="2"/>
      <c r="V702" s="2"/>
      <c r="W702" s="2"/>
    </row>
    <row r="703" spans="1:23" ht="75" customHeight="1" x14ac:dyDescent="0.15">
      <c r="A703" s="2">
        <v>817</v>
      </c>
      <c r="B703" s="2" t="s">
        <v>770</v>
      </c>
      <c r="C703" s="2" t="s">
        <v>771</v>
      </c>
      <c r="D703" s="2" t="s">
        <v>778</v>
      </c>
      <c r="E703" s="2">
        <v>-1.25</v>
      </c>
      <c r="F703" s="2">
        <v>-1.25</v>
      </c>
      <c r="G703" s="2"/>
      <c r="H703" s="2"/>
      <c r="I703" s="2" t="b">
        <f t="shared" si="2"/>
        <v>1</v>
      </c>
      <c r="J703" s="2"/>
      <c r="K703" s="2"/>
      <c r="L703" s="2"/>
      <c r="M703" s="2"/>
      <c r="N703" s="2"/>
      <c r="O703" s="2"/>
      <c r="P703" s="2"/>
      <c r="Q703" s="2"/>
      <c r="R703" s="2"/>
      <c r="S703" s="2"/>
      <c r="T703" s="2"/>
      <c r="U703" s="2"/>
      <c r="V703" s="2"/>
      <c r="W703" s="2"/>
    </row>
    <row r="704" spans="1:23" ht="75" customHeight="1" x14ac:dyDescent="0.15">
      <c r="A704" s="2">
        <v>818</v>
      </c>
      <c r="B704" s="2" t="s">
        <v>770</v>
      </c>
      <c r="C704" s="2" t="s">
        <v>771</v>
      </c>
      <c r="D704" s="2" t="s">
        <v>736</v>
      </c>
      <c r="E704" s="2">
        <v>0.48</v>
      </c>
      <c r="F704" s="2">
        <v>0.48</v>
      </c>
      <c r="G704" s="2"/>
      <c r="H704" s="2"/>
      <c r="I704" s="2" t="b">
        <f t="shared" si="2"/>
        <v>1</v>
      </c>
      <c r="J704" s="2"/>
      <c r="K704" s="2"/>
      <c r="L704" s="2"/>
      <c r="M704" s="2"/>
      <c r="N704" s="2"/>
      <c r="O704" s="2"/>
      <c r="P704" s="2"/>
      <c r="Q704" s="2"/>
      <c r="R704" s="2"/>
      <c r="S704" s="2"/>
      <c r="T704" s="2"/>
      <c r="U704" s="2"/>
      <c r="V704" s="2"/>
      <c r="W704" s="2"/>
    </row>
    <row r="705" spans="1:23" ht="75" customHeight="1" x14ac:dyDescent="0.15">
      <c r="A705" s="2">
        <v>819</v>
      </c>
      <c r="B705" s="2" t="s">
        <v>770</v>
      </c>
      <c r="C705" s="2" t="s">
        <v>771</v>
      </c>
      <c r="D705" s="2" t="s">
        <v>779</v>
      </c>
      <c r="E705" s="2">
        <v>0.54</v>
      </c>
      <c r="F705" s="2">
        <v>0.54</v>
      </c>
      <c r="G705" s="2"/>
      <c r="H705" s="2"/>
      <c r="I705" s="2" t="b">
        <f t="shared" si="2"/>
        <v>1</v>
      </c>
      <c r="J705" s="2"/>
      <c r="K705" s="2"/>
      <c r="L705" s="2"/>
      <c r="M705" s="2"/>
      <c r="N705" s="2"/>
      <c r="O705" s="2"/>
      <c r="P705" s="2"/>
      <c r="Q705" s="2"/>
      <c r="R705" s="2"/>
      <c r="S705" s="2"/>
      <c r="T705" s="2"/>
      <c r="U705" s="2"/>
      <c r="V705" s="2"/>
      <c r="W705" s="2"/>
    </row>
    <row r="706" spans="1:23" ht="75" customHeight="1" x14ac:dyDescent="0.15">
      <c r="A706" s="2">
        <v>820</v>
      </c>
      <c r="B706" s="2" t="s">
        <v>770</v>
      </c>
      <c r="C706" s="2" t="s">
        <v>771</v>
      </c>
      <c r="D706" s="2" t="s">
        <v>780</v>
      </c>
      <c r="E706" s="2" t="s">
        <v>162</v>
      </c>
      <c r="F706" s="2" t="s">
        <v>162</v>
      </c>
      <c r="G706" s="2"/>
      <c r="H706" s="2"/>
      <c r="I706" s="2" t="b">
        <f t="shared" si="2"/>
        <v>1</v>
      </c>
      <c r="J706" s="2"/>
      <c r="K706" s="2"/>
      <c r="L706" s="2"/>
      <c r="M706" s="2"/>
      <c r="N706" s="2"/>
      <c r="O706" s="2"/>
      <c r="P706" s="2"/>
      <c r="Q706" s="2"/>
      <c r="R706" s="2"/>
      <c r="S706" s="2"/>
      <c r="T706" s="2"/>
      <c r="U706" s="2"/>
      <c r="V706" s="2"/>
      <c r="W706" s="2"/>
    </row>
    <row r="707" spans="1:23" ht="75" customHeight="1" x14ac:dyDescent="0.15">
      <c r="A707" s="2">
        <v>821</v>
      </c>
      <c r="B707" s="2" t="s">
        <v>770</v>
      </c>
      <c r="C707" s="2" t="s">
        <v>771</v>
      </c>
      <c r="D707" s="2" t="s">
        <v>781</v>
      </c>
      <c r="E707" s="2">
        <v>1.31</v>
      </c>
      <c r="F707" s="2">
        <v>1.31</v>
      </c>
      <c r="G707" s="2"/>
      <c r="H707" s="2"/>
      <c r="I707" s="2" t="b">
        <f t="shared" si="2"/>
        <v>1</v>
      </c>
      <c r="J707" s="2"/>
      <c r="K707" s="2"/>
      <c r="L707" s="2"/>
      <c r="M707" s="2"/>
      <c r="N707" s="2"/>
      <c r="O707" s="2"/>
      <c r="P707" s="2"/>
      <c r="Q707" s="2"/>
      <c r="R707" s="2"/>
      <c r="S707" s="2"/>
      <c r="T707" s="2"/>
      <c r="U707" s="2"/>
      <c r="V707" s="2"/>
      <c r="W707" s="2"/>
    </row>
    <row r="708" spans="1:23" ht="75" customHeight="1" x14ac:dyDescent="0.15">
      <c r="A708" s="2">
        <v>822</v>
      </c>
      <c r="B708" s="2" t="s">
        <v>770</v>
      </c>
      <c r="C708" s="2" t="s">
        <v>771</v>
      </c>
      <c r="D708" s="2" t="s">
        <v>782</v>
      </c>
      <c r="E708" s="2">
        <v>-0.08</v>
      </c>
      <c r="F708" s="2">
        <v>-0.08</v>
      </c>
      <c r="G708" s="2"/>
      <c r="H708" s="2"/>
      <c r="I708" s="2" t="b">
        <f t="shared" si="2"/>
        <v>1</v>
      </c>
      <c r="J708" s="2"/>
      <c r="K708" s="2"/>
      <c r="L708" s="2"/>
      <c r="M708" s="2"/>
      <c r="N708" s="2"/>
      <c r="O708" s="2"/>
      <c r="P708" s="2"/>
      <c r="Q708" s="2"/>
      <c r="R708" s="2"/>
      <c r="S708" s="2"/>
      <c r="T708" s="2"/>
      <c r="U708" s="2"/>
      <c r="V708" s="2"/>
      <c r="W708" s="2"/>
    </row>
    <row r="709" spans="1:23" ht="75" customHeight="1" x14ac:dyDescent="0.15">
      <c r="A709" s="2">
        <v>823</v>
      </c>
      <c r="B709" s="2" t="s">
        <v>770</v>
      </c>
      <c r="C709" s="2" t="s">
        <v>771</v>
      </c>
      <c r="D709" s="2" t="s">
        <v>756</v>
      </c>
      <c r="E709" s="2">
        <v>0.33</v>
      </c>
      <c r="F709" s="2">
        <v>0.33</v>
      </c>
      <c r="G709" s="2"/>
      <c r="H709" s="2"/>
      <c r="I709" s="2" t="b">
        <f t="shared" si="2"/>
        <v>1</v>
      </c>
      <c r="J709" s="2"/>
      <c r="K709" s="2"/>
      <c r="L709" s="2"/>
      <c r="M709" s="2"/>
      <c r="N709" s="2"/>
      <c r="O709" s="2"/>
      <c r="P709" s="2"/>
      <c r="Q709" s="2"/>
      <c r="R709" s="2"/>
      <c r="S709" s="2"/>
      <c r="T709" s="2"/>
      <c r="U709" s="2"/>
      <c r="V709" s="2"/>
      <c r="W709" s="2"/>
    </row>
    <row r="710" spans="1:23" ht="75" customHeight="1" x14ac:dyDescent="0.15">
      <c r="A710" s="2">
        <v>824</v>
      </c>
      <c r="B710" s="2" t="s">
        <v>770</v>
      </c>
      <c r="C710" s="2" t="s">
        <v>771</v>
      </c>
      <c r="D710" s="2" t="s">
        <v>783</v>
      </c>
      <c r="E710" s="2">
        <v>1.1200000000000001</v>
      </c>
      <c r="F710" s="2">
        <v>1.1200000000000001</v>
      </c>
      <c r="G710" s="3">
        <v>1.1000000000000001</v>
      </c>
      <c r="H710" s="4" t="s">
        <v>784</v>
      </c>
      <c r="I710" s="2" t="b">
        <f t="shared" si="2"/>
        <v>1</v>
      </c>
      <c r="J710" s="2"/>
      <c r="K710" s="2"/>
      <c r="L710" s="2"/>
      <c r="M710" s="2"/>
      <c r="N710" s="2"/>
      <c r="O710" s="2"/>
      <c r="P710" s="2"/>
      <c r="Q710" s="2"/>
      <c r="R710" s="2"/>
      <c r="S710" s="2"/>
      <c r="T710" s="2"/>
      <c r="U710" s="2"/>
      <c r="V710" s="2"/>
      <c r="W710" s="2"/>
    </row>
    <row r="711" spans="1:23" ht="75" customHeight="1" x14ac:dyDescent="0.15">
      <c r="A711" s="2">
        <v>825</v>
      </c>
      <c r="B711" s="2" t="s">
        <v>770</v>
      </c>
      <c r="C711" s="2" t="s">
        <v>771</v>
      </c>
      <c r="D711" s="2" t="s">
        <v>509</v>
      </c>
      <c r="E711" s="2">
        <v>0.25</v>
      </c>
      <c r="F711" s="2">
        <v>0.25</v>
      </c>
      <c r="G711" s="2"/>
      <c r="H711" s="2"/>
      <c r="I711" s="2" t="b">
        <f t="shared" si="2"/>
        <v>1</v>
      </c>
      <c r="J711" s="2"/>
      <c r="K711" s="2"/>
      <c r="L711" s="2"/>
      <c r="M711" s="2"/>
      <c r="N711" s="2"/>
      <c r="O711" s="2"/>
      <c r="P711" s="2"/>
      <c r="Q711" s="2"/>
      <c r="R711" s="2"/>
      <c r="S711" s="2"/>
      <c r="T711" s="2"/>
      <c r="U711" s="2"/>
      <c r="V711" s="2"/>
      <c r="W711" s="2"/>
    </row>
    <row r="712" spans="1:23" ht="75" customHeight="1" x14ac:dyDescent="0.15">
      <c r="A712" s="2">
        <v>826</v>
      </c>
      <c r="B712" s="2" t="s">
        <v>770</v>
      </c>
      <c r="C712" s="2" t="s">
        <v>771</v>
      </c>
      <c r="D712" s="2" t="s">
        <v>508</v>
      </c>
      <c r="E712" s="2">
        <v>0.92</v>
      </c>
      <c r="F712" s="2">
        <v>0.92</v>
      </c>
      <c r="G712" s="2"/>
      <c r="H712" s="2"/>
      <c r="I712" s="2" t="b">
        <f t="shared" si="2"/>
        <v>1</v>
      </c>
      <c r="J712" s="2"/>
      <c r="K712" s="2"/>
      <c r="L712" s="2"/>
      <c r="M712" s="2"/>
      <c r="N712" s="2"/>
      <c r="O712" s="2"/>
      <c r="P712" s="2"/>
      <c r="Q712" s="2"/>
      <c r="R712" s="2"/>
      <c r="S712" s="2"/>
      <c r="T712" s="2"/>
      <c r="U712" s="2"/>
      <c r="V712" s="2"/>
      <c r="W712" s="2"/>
    </row>
    <row r="713" spans="1:23" ht="75" customHeight="1" x14ac:dyDescent="0.15">
      <c r="A713" s="2">
        <v>827</v>
      </c>
      <c r="B713" s="2" t="s">
        <v>770</v>
      </c>
      <c r="C713" s="2" t="s">
        <v>771</v>
      </c>
      <c r="D713" s="2" t="s">
        <v>124</v>
      </c>
      <c r="E713" s="2">
        <v>3</v>
      </c>
      <c r="F713" s="2">
        <v>3</v>
      </c>
      <c r="G713" s="2"/>
      <c r="H713" s="2"/>
      <c r="I713" s="2" t="b">
        <f t="shared" si="2"/>
        <v>1</v>
      </c>
      <c r="J713" s="2"/>
      <c r="K713" s="2"/>
      <c r="L713" s="2"/>
      <c r="M713" s="2"/>
      <c r="N713" s="2"/>
      <c r="O713" s="2"/>
      <c r="P713" s="2"/>
      <c r="Q713" s="2"/>
      <c r="R713" s="2"/>
      <c r="S713" s="2"/>
      <c r="T713" s="2"/>
      <c r="U713" s="2"/>
      <c r="V713" s="2"/>
      <c r="W713" s="2"/>
    </row>
    <row r="714" spans="1:23" ht="75" customHeight="1" x14ac:dyDescent="0.15">
      <c r="A714" s="2">
        <v>828</v>
      </c>
      <c r="B714" s="2" t="s">
        <v>785</v>
      </c>
      <c r="C714" s="2" t="s">
        <v>786</v>
      </c>
      <c r="D714" s="2" t="s">
        <v>787</v>
      </c>
      <c r="E714" s="2">
        <v>160</v>
      </c>
      <c r="F714" s="2">
        <v>160</v>
      </c>
      <c r="G714" s="2"/>
      <c r="H714" s="2"/>
      <c r="I714" s="2" t="b">
        <f t="shared" si="2"/>
        <v>1</v>
      </c>
      <c r="J714" s="2"/>
      <c r="K714" s="2"/>
      <c r="L714" s="2"/>
      <c r="M714" s="2"/>
      <c r="N714" s="2"/>
      <c r="O714" s="2"/>
      <c r="P714" s="2"/>
      <c r="Q714" s="2"/>
      <c r="R714" s="2"/>
      <c r="S714" s="2"/>
      <c r="T714" s="2"/>
      <c r="U714" s="2"/>
      <c r="V714" s="2"/>
      <c r="W714" s="2"/>
    </row>
    <row r="715" spans="1:23" ht="75" customHeight="1" x14ac:dyDescent="0.15">
      <c r="A715" s="2">
        <v>829</v>
      </c>
      <c r="B715" s="2" t="s">
        <v>785</v>
      </c>
      <c r="C715" s="2" t="s">
        <v>786</v>
      </c>
      <c r="D715" s="2" t="s">
        <v>788</v>
      </c>
      <c r="E715" s="2">
        <v>174</v>
      </c>
      <c r="F715" s="2">
        <v>174</v>
      </c>
      <c r="G715" s="2"/>
      <c r="H715" s="2"/>
      <c r="I715" s="2" t="b">
        <f t="shared" si="2"/>
        <v>1</v>
      </c>
      <c r="J715" s="2"/>
      <c r="K715" s="2"/>
      <c r="L715" s="2"/>
      <c r="M715" s="2"/>
      <c r="N715" s="2"/>
      <c r="O715" s="2"/>
      <c r="P715" s="2"/>
      <c r="Q715" s="2"/>
      <c r="R715" s="2"/>
      <c r="S715" s="2"/>
      <c r="T715" s="2"/>
      <c r="U715" s="2"/>
      <c r="V715" s="2"/>
      <c r="W715" s="2"/>
    </row>
    <row r="716" spans="1:23" ht="75" customHeight="1" x14ac:dyDescent="0.15">
      <c r="A716" s="2">
        <v>830</v>
      </c>
      <c r="B716" s="2" t="s">
        <v>785</v>
      </c>
      <c r="C716" s="2" t="s">
        <v>786</v>
      </c>
      <c r="D716" s="2" t="s">
        <v>789</v>
      </c>
      <c r="E716" s="2">
        <v>202</v>
      </c>
      <c r="F716" s="2">
        <v>202</v>
      </c>
      <c r="G716" s="2"/>
      <c r="H716" s="2"/>
      <c r="I716" s="2" t="b">
        <f t="shared" si="2"/>
        <v>1</v>
      </c>
      <c r="J716" s="2"/>
      <c r="K716" s="2"/>
      <c r="L716" s="2"/>
      <c r="M716" s="2"/>
      <c r="N716" s="2"/>
      <c r="O716" s="2"/>
      <c r="P716" s="2"/>
      <c r="Q716" s="2"/>
      <c r="R716" s="2"/>
      <c r="S716" s="2"/>
      <c r="T716" s="2"/>
      <c r="U716" s="2"/>
      <c r="V716" s="2"/>
      <c r="W716" s="2"/>
    </row>
    <row r="717" spans="1:23" ht="75" customHeight="1" x14ac:dyDescent="0.15">
      <c r="A717" s="2">
        <v>833</v>
      </c>
      <c r="B717" s="2" t="s">
        <v>785</v>
      </c>
      <c r="C717" s="2" t="s">
        <v>786</v>
      </c>
      <c r="D717" s="2" t="s">
        <v>790</v>
      </c>
      <c r="E717" s="2">
        <v>158</v>
      </c>
      <c r="F717" s="2">
        <v>158</v>
      </c>
      <c r="G717" s="2"/>
      <c r="H717" s="2"/>
      <c r="I717" s="2" t="b">
        <f t="shared" si="2"/>
        <v>1</v>
      </c>
      <c r="J717" s="2"/>
      <c r="K717" s="2"/>
      <c r="L717" s="2"/>
      <c r="M717" s="2"/>
      <c r="N717" s="2"/>
      <c r="O717" s="2"/>
      <c r="P717" s="2"/>
      <c r="Q717" s="2"/>
      <c r="R717" s="2"/>
      <c r="S717" s="2"/>
      <c r="T717" s="2"/>
      <c r="U717" s="2"/>
      <c r="V717" s="2"/>
      <c r="W717" s="2"/>
    </row>
    <row r="718" spans="1:23" ht="75" customHeight="1" x14ac:dyDescent="0.15">
      <c r="A718" s="2">
        <v>834</v>
      </c>
      <c r="B718" s="2" t="s">
        <v>785</v>
      </c>
      <c r="C718" s="2" t="s">
        <v>786</v>
      </c>
      <c r="D718" s="2" t="s">
        <v>791</v>
      </c>
      <c r="E718" s="2">
        <v>98</v>
      </c>
      <c r="F718" s="2">
        <v>98</v>
      </c>
      <c r="G718" s="2"/>
      <c r="H718" s="2"/>
      <c r="I718" s="2" t="b">
        <f t="shared" si="2"/>
        <v>1</v>
      </c>
      <c r="J718" s="2"/>
      <c r="K718" s="2"/>
      <c r="L718" s="2"/>
      <c r="M718" s="2"/>
      <c r="N718" s="2"/>
      <c r="O718" s="2"/>
      <c r="P718" s="2"/>
      <c r="Q718" s="2"/>
      <c r="R718" s="2"/>
      <c r="S718" s="2"/>
      <c r="T718" s="2"/>
      <c r="U718" s="2"/>
      <c r="V718" s="2"/>
      <c r="W718" s="2"/>
    </row>
    <row r="719" spans="1:23" ht="75" customHeight="1" x14ac:dyDescent="0.15">
      <c r="A719" s="2">
        <v>836</v>
      </c>
      <c r="B719" s="2" t="s">
        <v>785</v>
      </c>
      <c r="C719" s="2" t="s">
        <v>786</v>
      </c>
      <c r="D719" s="2" t="s">
        <v>792</v>
      </c>
      <c r="E719" s="2">
        <v>85</v>
      </c>
      <c r="F719" s="2">
        <v>85</v>
      </c>
      <c r="G719" s="2"/>
      <c r="H719" s="2"/>
      <c r="I719" s="2" t="b">
        <f t="shared" si="2"/>
        <v>1</v>
      </c>
      <c r="J719" s="2"/>
      <c r="K719" s="2"/>
      <c r="L719" s="2"/>
      <c r="M719" s="2"/>
      <c r="N719" s="2"/>
      <c r="O719" s="2"/>
      <c r="P719" s="2"/>
      <c r="Q719" s="2"/>
      <c r="R719" s="2"/>
      <c r="S719" s="2"/>
      <c r="T719" s="2"/>
      <c r="U719" s="2"/>
      <c r="V719" s="2"/>
      <c r="W719" s="2"/>
    </row>
    <row r="720" spans="1:23" ht="75" customHeight="1" x14ac:dyDescent="0.15">
      <c r="A720" s="2">
        <v>837</v>
      </c>
      <c r="B720" s="2" t="s">
        <v>785</v>
      </c>
      <c r="C720" s="2" t="s">
        <v>786</v>
      </c>
      <c r="D720" s="2" t="s">
        <v>793</v>
      </c>
      <c r="E720" s="2">
        <v>157</v>
      </c>
      <c r="F720" s="2">
        <v>157</v>
      </c>
      <c r="G720" s="2"/>
      <c r="H720" s="2"/>
      <c r="I720" s="2" t="b">
        <f t="shared" si="2"/>
        <v>1</v>
      </c>
      <c r="J720" s="2"/>
      <c r="K720" s="2"/>
      <c r="L720" s="2"/>
      <c r="M720" s="2"/>
      <c r="N720" s="2"/>
      <c r="O720" s="2"/>
      <c r="P720" s="2"/>
      <c r="Q720" s="2"/>
      <c r="R720" s="2"/>
      <c r="S720" s="2"/>
      <c r="T720" s="2"/>
      <c r="U720" s="2"/>
      <c r="V720" s="2"/>
      <c r="W720" s="2"/>
    </row>
    <row r="721" spans="1:23" ht="75" customHeight="1" x14ac:dyDescent="0.15">
      <c r="A721" s="2">
        <v>838</v>
      </c>
      <c r="B721" s="2" t="s">
        <v>785</v>
      </c>
      <c r="C721" s="2" t="s">
        <v>786</v>
      </c>
      <c r="D721" s="2" t="s">
        <v>794</v>
      </c>
      <c r="E721" s="2">
        <v>90</v>
      </c>
      <c r="F721" s="2">
        <v>90</v>
      </c>
      <c r="G721" s="2"/>
      <c r="H721" s="2"/>
      <c r="I721" s="2" t="b">
        <f t="shared" si="2"/>
        <v>1</v>
      </c>
      <c r="J721" s="2"/>
      <c r="K721" s="2"/>
      <c r="L721" s="2"/>
      <c r="M721" s="2"/>
      <c r="N721" s="2"/>
      <c r="O721" s="2"/>
      <c r="P721" s="2"/>
      <c r="Q721" s="2"/>
      <c r="R721" s="2"/>
      <c r="S721" s="2"/>
      <c r="T721" s="2"/>
      <c r="U721" s="2"/>
      <c r="V721" s="2"/>
      <c r="W721" s="2"/>
    </row>
    <row r="722" spans="1:23" ht="75" customHeight="1" x14ac:dyDescent="0.15">
      <c r="A722" s="2">
        <v>839</v>
      </c>
      <c r="B722" s="2" t="s">
        <v>785</v>
      </c>
      <c r="C722" s="2" t="s">
        <v>786</v>
      </c>
      <c r="D722" s="2" t="s">
        <v>795</v>
      </c>
      <c r="E722" s="2">
        <v>126</v>
      </c>
      <c r="F722" s="2">
        <v>126</v>
      </c>
      <c r="G722" s="2"/>
      <c r="H722" s="2"/>
      <c r="I722" s="2" t="b">
        <f t="shared" si="2"/>
        <v>1</v>
      </c>
      <c r="J722" s="2"/>
      <c r="K722" s="2"/>
      <c r="L722" s="2"/>
      <c r="M722" s="2"/>
      <c r="N722" s="2"/>
      <c r="O722" s="2"/>
      <c r="P722" s="2"/>
      <c r="Q722" s="2"/>
      <c r="R722" s="2"/>
      <c r="S722" s="2"/>
      <c r="T722" s="2"/>
      <c r="U722" s="2"/>
      <c r="V722" s="2"/>
      <c r="W722" s="2"/>
    </row>
    <row r="723" spans="1:23" ht="75" customHeight="1" x14ac:dyDescent="0.15">
      <c r="A723" s="2">
        <v>840</v>
      </c>
      <c r="B723" s="2" t="s">
        <v>785</v>
      </c>
      <c r="C723" s="2" t="s">
        <v>786</v>
      </c>
      <c r="D723" s="2" t="s">
        <v>796</v>
      </c>
      <c r="E723" s="2">
        <v>98</v>
      </c>
      <c r="F723" s="2">
        <v>98</v>
      </c>
      <c r="G723" s="2"/>
      <c r="H723" s="2"/>
      <c r="I723" s="2" t="b">
        <f t="shared" si="2"/>
        <v>1</v>
      </c>
      <c r="J723" s="2"/>
      <c r="K723" s="2"/>
      <c r="L723" s="2"/>
      <c r="M723" s="2"/>
      <c r="N723" s="2"/>
      <c r="O723" s="2"/>
      <c r="P723" s="2"/>
      <c r="Q723" s="2"/>
      <c r="R723" s="2"/>
      <c r="S723" s="2"/>
      <c r="T723" s="2"/>
      <c r="U723" s="2"/>
      <c r="V723" s="2"/>
      <c r="W723" s="2"/>
    </row>
    <row r="724" spans="1:23" ht="75" customHeight="1" x14ac:dyDescent="0.15">
      <c r="A724" s="2">
        <v>841</v>
      </c>
      <c r="B724" s="2" t="s">
        <v>785</v>
      </c>
      <c r="C724" s="2" t="s">
        <v>786</v>
      </c>
      <c r="D724" s="2" t="s">
        <v>797</v>
      </c>
      <c r="E724" s="2">
        <v>130</v>
      </c>
      <c r="F724" s="2">
        <v>130</v>
      </c>
      <c r="G724" s="2"/>
      <c r="H724" s="2"/>
      <c r="I724" s="2" t="b">
        <f t="shared" si="2"/>
        <v>1</v>
      </c>
      <c r="J724" s="2"/>
      <c r="K724" s="2"/>
      <c r="L724" s="2"/>
      <c r="M724" s="2"/>
      <c r="N724" s="2"/>
      <c r="O724" s="2"/>
      <c r="P724" s="2"/>
      <c r="Q724" s="2"/>
      <c r="R724" s="2"/>
      <c r="S724" s="2"/>
      <c r="T724" s="2"/>
      <c r="U724" s="2"/>
      <c r="V724" s="2"/>
      <c r="W724" s="2"/>
    </row>
    <row r="725" spans="1:23" ht="75" customHeight="1" x14ac:dyDescent="0.15">
      <c r="A725" s="2">
        <v>842</v>
      </c>
      <c r="B725" s="2" t="s">
        <v>785</v>
      </c>
      <c r="C725" s="2" t="s">
        <v>786</v>
      </c>
      <c r="D725" s="2" t="s">
        <v>798</v>
      </c>
      <c r="E725" s="2">
        <v>94</v>
      </c>
      <c r="F725" s="2">
        <v>94</v>
      </c>
      <c r="G725" s="2"/>
      <c r="H725" s="2"/>
      <c r="I725" s="2" t="b">
        <f t="shared" si="2"/>
        <v>1</v>
      </c>
      <c r="J725" s="2"/>
      <c r="K725" s="2"/>
      <c r="L725" s="2"/>
      <c r="M725" s="2"/>
      <c r="N725" s="2"/>
      <c r="O725" s="2"/>
      <c r="P725" s="2"/>
      <c r="Q725" s="2"/>
      <c r="R725" s="2"/>
      <c r="S725" s="2"/>
      <c r="T725" s="2"/>
      <c r="U725" s="2"/>
      <c r="V725" s="2"/>
      <c r="W725" s="2"/>
    </row>
    <row r="726" spans="1:23" ht="75" customHeight="1" x14ac:dyDescent="0.15">
      <c r="A726" s="2">
        <v>843</v>
      </c>
      <c r="B726" s="2" t="s">
        <v>785</v>
      </c>
      <c r="C726" s="2" t="s">
        <v>786</v>
      </c>
      <c r="D726" s="2" t="s">
        <v>799</v>
      </c>
      <c r="E726" s="2">
        <v>189</v>
      </c>
      <c r="F726" s="2">
        <v>189</v>
      </c>
      <c r="G726" s="2"/>
      <c r="H726" s="2"/>
      <c r="I726" s="2" t="b">
        <f t="shared" si="2"/>
        <v>1</v>
      </c>
      <c r="J726" s="2"/>
      <c r="K726" s="2"/>
      <c r="L726" s="2"/>
      <c r="M726" s="2"/>
      <c r="N726" s="2"/>
      <c r="O726" s="2"/>
      <c r="P726" s="2"/>
      <c r="Q726" s="2"/>
      <c r="R726" s="2"/>
      <c r="S726" s="2"/>
      <c r="T726" s="2"/>
      <c r="U726" s="2"/>
      <c r="V726" s="2"/>
      <c r="W726" s="2"/>
    </row>
    <row r="727" spans="1:23" ht="75" customHeight="1" x14ac:dyDescent="0.15">
      <c r="A727" s="2">
        <v>844</v>
      </c>
      <c r="B727" s="2" t="s">
        <v>785</v>
      </c>
      <c r="C727" s="2" t="s">
        <v>786</v>
      </c>
      <c r="D727" s="2" t="s">
        <v>800</v>
      </c>
      <c r="E727" s="2">
        <v>95</v>
      </c>
      <c r="F727" s="2">
        <v>95</v>
      </c>
      <c r="G727" s="2"/>
      <c r="H727" s="2"/>
      <c r="I727" s="2" t="b">
        <f t="shared" si="2"/>
        <v>1</v>
      </c>
      <c r="J727" s="2"/>
      <c r="K727" s="2"/>
      <c r="L727" s="2"/>
      <c r="M727" s="2"/>
      <c r="N727" s="2"/>
      <c r="O727" s="2"/>
      <c r="P727" s="2"/>
      <c r="Q727" s="2"/>
      <c r="R727" s="2"/>
      <c r="S727" s="2"/>
      <c r="T727" s="2"/>
      <c r="U727" s="2"/>
      <c r="V727" s="2"/>
      <c r="W727" s="2"/>
    </row>
    <row r="728" spans="1:23" ht="75" customHeight="1" x14ac:dyDescent="0.15">
      <c r="A728" s="2">
        <v>846</v>
      </c>
      <c r="B728" s="2" t="s">
        <v>785</v>
      </c>
      <c r="C728" s="2" t="s">
        <v>786</v>
      </c>
      <c r="D728" s="2" t="s">
        <v>801</v>
      </c>
      <c r="E728" s="2" t="s">
        <v>162</v>
      </c>
      <c r="F728" s="2" t="s">
        <v>162</v>
      </c>
      <c r="G728" s="3" t="s">
        <v>162</v>
      </c>
      <c r="H728" s="4" t="s">
        <v>802</v>
      </c>
      <c r="I728" s="2" t="b">
        <f t="shared" si="2"/>
        <v>1</v>
      </c>
      <c r="J728" s="2"/>
      <c r="K728" s="2"/>
      <c r="L728" s="2"/>
      <c r="M728" s="2"/>
      <c r="N728" s="2"/>
      <c r="O728" s="2"/>
      <c r="P728" s="2"/>
      <c r="Q728" s="2"/>
      <c r="R728" s="2"/>
      <c r="S728" s="2"/>
      <c r="T728" s="2"/>
      <c r="U728" s="2"/>
      <c r="V728" s="2"/>
      <c r="W728" s="2"/>
    </row>
    <row r="729" spans="1:23" ht="75" customHeight="1" x14ac:dyDescent="0.15">
      <c r="A729" s="2">
        <v>848</v>
      </c>
      <c r="B729" s="2" t="s">
        <v>803</v>
      </c>
      <c r="C729" s="2" t="s">
        <v>804</v>
      </c>
      <c r="D729" s="2" t="s">
        <v>805</v>
      </c>
      <c r="E729" s="2">
        <v>11</v>
      </c>
      <c r="F729" s="2">
        <v>11</v>
      </c>
      <c r="G729" s="2"/>
      <c r="H729" s="2"/>
      <c r="I729" s="2" t="b">
        <f t="shared" si="2"/>
        <v>1</v>
      </c>
      <c r="J729" s="2"/>
      <c r="K729" s="2"/>
      <c r="L729" s="2"/>
      <c r="M729" s="2"/>
      <c r="N729" s="2"/>
      <c r="O729" s="2"/>
      <c r="P729" s="2"/>
      <c r="Q729" s="2"/>
      <c r="R729" s="2"/>
      <c r="S729" s="2"/>
      <c r="T729" s="2"/>
      <c r="U729" s="2"/>
      <c r="V729" s="2"/>
      <c r="W729" s="2"/>
    </row>
    <row r="730" spans="1:23" ht="75" customHeight="1" x14ac:dyDescent="0.15">
      <c r="A730" s="2">
        <v>849</v>
      </c>
      <c r="B730" s="2" t="s">
        <v>803</v>
      </c>
      <c r="C730" s="2" t="s">
        <v>804</v>
      </c>
      <c r="D730" s="2" t="s">
        <v>806</v>
      </c>
      <c r="E730" s="2">
        <v>12</v>
      </c>
      <c r="F730" s="2">
        <v>12</v>
      </c>
      <c r="G730" s="2"/>
      <c r="H730" s="2"/>
      <c r="I730" s="2" t="b">
        <f t="shared" si="2"/>
        <v>1</v>
      </c>
      <c r="J730" s="2"/>
      <c r="K730" s="2"/>
      <c r="L730" s="2"/>
      <c r="M730" s="2"/>
      <c r="N730" s="2"/>
      <c r="O730" s="2"/>
      <c r="P730" s="2"/>
      <c r="Q730" s="2"/>
      <c r="R730" s="2"/>
      <c r="S730" s="2"/>
      <c r="T730" s="2"/>
      <c r="U730" s="2"/>
      <c r="V730" s="2"/>
      <c r="W730" s="2"/>
    </row>
    <row r="731" spans="1:23" ht="75" customHeight="1" x14ac:dyDescent="0.15">
      <c r="A731" s="2">
        <v>850</v>
      </c>
      <c r="B731" s="2" t="s">
        <v>803</v>
      </c>
      <c r="C731" s="2" t="s">
        <v>804</v>
      </c>
      <c r="D731" s="2" t="s">
        <v>807</v>
      </c>
      <c r="E731" s="2">
        <v>8</v>
      </c>
      <c r="F731" s="2">
        <v>8</v>
      </c>
      <c r="G731" s="2"/>
      <c r="H731" s="2"/>
      <c r="I731" s="2" t="b">
        <f t="shared" si="2"/>
        <v>1</v>
      </c>
      <c r="J731" s="2"/>
      <c r="K731" s="2"/>
      <c r="L731" s="2"/>
      <c r="M731" s="2"/>
      <c r="N731" s="2"/>
      <c r="O731" s="2"/>
      <c r="P731" s="2"/>
      <c r="Q731" s="2"/>
      <c r="R731" s="2"/>
      <c r="S731" s="2"/>
      <c r="T731" s="2"/>
      <c r="U731" s="2"/>
      <c r="V731" s="2"/>
      <c r="W731" s="2"/>
    </row>
    <row r="732" spans="1:23" ht="75" customHeight="1" x14ac:dyDescent="0.15">
      <c r="A732" s="2">
        <v>851</v>
      </c>
      <c r="B732" s="2" t="s">
        <v>803</v>
      </c>
      <c r="C732" s="2" t="s">
        <v>804</v>
      </c>
      <c r="D732" s="2" t="s">
        <v>808</v>
      </c>
      <c r="E732" s="2">
        <v>14</v>
      </c>
      <c r="F732" s="2">
        <v>14</v>
      </c>
      <c r="G732" s="2"/>
      <c r="H732" s="2"/>
      <c r="I732" s="2" t="b">
        <f t="shared" si="2"/>
        <v>1</v>
      </c>
      <c r="J732" s="2"/>
      <c r="K732" s="2"/>
      <c r="L732" s="2"/>
      <c r="M732" s="2"/>
      <c r="N732" s="2"/>
      <c r="O732" s="2"/>
      <c r="P732" s="2"/>
      <c r="Q732" s="2"/>
      <c r="R732" s="2"/>
      <c r="S732" s="2"/>
      <c r="T732" s="2"/>
      <c r="U732" s="2"/>
      <c r="V732" s="2"/>
      <c r="W732" s="2"/>
    </row>
    <row r="733" spans="1:23" ht="75" customHeight="1" x14ac:dyDescent="0.15">
      <c r="A733" s="2">
        <v>852</v>
      </c>
      <c r="B733" s="2" t="s">
        <v>803</v>
      </c>
      <c r="C733" s="2" t="s">
        <v>804</v>
      </c>
      <c r="D733" s="2" t="s">
        <v>809</v>
      </c>
      <c r="E733" s="2">
        <v>8</v>
      </c>
      <c r="F733" s="2">
        <v>8</v>
      </c>
      <c r="G733" s="2"/>
      <c r="H733" s="2"/>
      <c r="I733" s="2" t="b">
        <f t="shared" si="2"/>
        <v>1</v>
      </c>
      <c r="J733" s="2"/>
      <c r="K733" s="2"/>
      <c r="L733" s="2"/>
      <c r="M733" s="2"/>
      <c r="N733" s="2"/>
      <c r="O733" s="2"/>
      <c r="P733" s="2"/>
      <c r="Q733" s="2"/>
      <c r="R733" s="2"/>
      <c r="S733" s="2"/>
      <c r="T733" s="2"/>
      <c r="U733" s="2"/>
      <c r="V733" s="2"/>
      <c r="W733" s="2"/>
    </row>
    <row r="734" spans="1:23" ht="75" customHeight="1" x14ac:dyDescent="0.15">
      <c r="A734" s="2">
        <v>853</v>
      </c>
      <c r="B734" s="2" t="s">
        <v>803</v>
      </c>
      <c r="C734" s="2" t="s">
        <v>804</v>
      </c>
      <c r="D734" s="2" t="s">
        <v>810</v>
      </c>
      <c r="E734" s="2">
        <v>15</v>
      </c>
      <c r="F734" s="2">
        <v>15</v>
      </c>
      <c r="G734" s="2"/>
      <c r="H734" s="2"/>
      <c r="I734" s="2" t="b">
        <f t="shared" si="2"/>
        <v>1</v>
      </c>
      <c r="J734" s="2"/>
      <c r="K734" s="2"/>
      <c r="L734" s="2"/>
      <c r="M734" s="2"/>
      <c r="N734" s="2"/>
      <c r="O734" s="2"/>
      <c r="P734" s="2"/>
      <c r="Q734" s="2"/>
      <c r="R734" s="2"/>
      <c r="S734" s="2"/>
      <c r="T734" s="2"/>
      <c r="U734" s="2"/>
      <c r="V734" s="2"/>
      <c r="W734" s="2"/>
    </row>
    <row r="735" spans="1:23" ht="75" customHeight="1" x14ac:dyDescent="0.15">
      <c r="A735" s="2">
        <v>854</v>
      </c>
      <c r="B735" s="2" t="s">
        <v>803</v>
      </c>
      <c r="C735" s="2" t="s">
        <v>804</v>
      </c>
      <c r="D735" s="2" t="s">
        <v>811</v>
      </c>
      <c r="E735" s="2">
        <v>12</v>
      </c>
      <c r="F735" s="2">
        <v>12</v>
      </c>
      <c r="G735" s="2"/>
      <c r="H735" s="2"/>
      <c r="I735" s="2" t="b">
        <f t="shared" si="2"/>
        <v>1</v>
      </c>
      <c r="J735" s="2"/>
      <c r="K735" s="2"/>
      <c r="L735" s="2"/>
      <c r="M735" s="2"/>
      <c r="N735" s="2"/>
      <c r="O735" s="2"/>
      <c r="P735" s="2"/>
      <c r="Q735" s="2"/>
      <c r="R735" s="2"/>
      <c r="S735" s="2"/>
      <c r="T735" s="2"/>
      <c r="U735" s="2"/>
      <c r="V735" s="2"/>
      <c r="W735" s="2"/>
    </row>
    <row r="736" spans="1:23" ht="75" customHeight="1" x14ac:dyDescent="0.15">
      <c r="A736" s="2">
        <v>855</v>
      </c>
      <c r="B736" s="2" t="s">
        <v>803</v>
      </c>
      <c r="C736" s="2" t="s">
        <v>804</v>
      </c>
      <c r="D736" s="2" t="s">
        <v>812</v>
      </c>
      <c r="E736" s="2">
        <v>5</v>
      </c>
      <c r="F736" s="2">
        <v>5</v>
      </c>
      <c r="G736" s="2"/>
      <c r="H736" s="2"/>
      <c r="I736" s="2" t="b">
        <f t="shared" si="2"/>
        <v>1</v>
      </c>
      <c r="J736" s="2"/>
      <c r="K736" s="2"/>
      <c r="L736" s="2"/>
      <c r="M736" s="2"/>
      <c r="N736" s="2"/>
      <c r="O736" s="2"/>
      <c r="P736" s="2"/>
      <c r="Q736" s="2"/>
      <c r="R736" s="2"/>
      <c r="S736" s="2"/>
      <c r="T736" s="2"/>
      <c r="U736" s="2"/>
      <c r="V736" s="2"/>
      <c r="W736" s="2"/>
    </row>
    <row r="737" spans="1:23" ht="75" customHeight="1" x14ac:dyDescent="0.15">
      <c r="A737" s="2">
        <v>856</v>
      </c>
      <c r="B737" s="2" t="s">
        <v>803</v>
      </c>
      <c r="C737" s="2" t="s">
        <v>804</v>
      </c>
      <c r="D737" s="2" t="s">
        <v>813</v>
      </c>
      <c r="E737" s="2">
        <v>3</v>
      </c>
      <c r="F737" s="2">
        <v>3</v>
      </c>
      <c r="G737" s="2"/>
      <c r="H737" s="2"/>
      <c r="I737" s="2" t="b">
        <f t="shared" si="2"/>
        <v>1</v>
      </c>
      <c r="J737" s="2"/>
      <c r="K737" s="2"/>
      <c r="L737" s="2"/>
      <c r="M737" s="2"/>
      <c r="N737" s="2"/>
      <c r="O737" s="2"/>
      <c r="P737" s="2"/>
      <c r="Q737" s="2"/>
      <c r="R737" s="2"/>
      <c r="S737" s="2"/>
      <c r="T737" s="2"/>
      <c r="U737" s="2"/>
      <c r="V737" s="2"/>
      <c r="W737" s="2"/>
    </row>
    <row r="738" spans="1:23" ht="75" customHeight="1" x14ac:dyDescent="0.15">
      <c r="A738" s="2">
        <v>857</v>
      </c>
      <c r="B738" s="2" t="s">
        <v>803</v>
      </c>
      <c r="C738" s="2" t="s">
        <v>804</v>
      </c>
      <c r="D738" s="2" t="s">
        <v>814</v>
      </c>
      <c r="E738" s="2">
        <v>7</v>
      </c>
      <c r="F738" s="2">
        <v>7</v>
      </c>
      <c r="G738" s="2"/>
      <c r="H738" s="2"/>
      <c r="I738" s="2" t="b">
        <f t="shared" si="2"/>
        <v>1</v>
      </c>
      <c r="J738" s="2"/>
      <c r="K738" s="2"/>
      <c r="L738" s="2"/>
      <c r="M738" s="2"/>
      <c r="N738" s="2"/>
      <c r="O738" s="2"/>
      <c r="P738" s="2"/>
      <c r="Q738" s="2"/>
      <c r="R738" s="2"/>
      <c r="S738" s="2"/>
      <c r="T738" s="2"/>
      <c r="U738" s="2"/>
      <c r="V738" s="2"/>
      <c r="W738" s="2"/>
    </row>
    <row r="739" spans="1:23" ht="75" customHeight="1" x14ac:dyDescent="0.15">
      <c r="A739" s="2">
        <v>858</v>
      </c>
      <c r="B739" s="2" t="s">
        <v>803</v>
      </c>
      <c r="C739" s="2" t="s">
        <v>804</v>
      </c>
      <c r="D739" s="2" t="s">
        <v>815</v>
      </c>
      <c r="E739" s="2">
        <v>13</v>
      </c>
      <c r="F739" s="2">
        <v>13</v>
      </c>
      <c r="G739" s="4">
        <v>13</v>
      </c>
      <c r="H739" s="3"/>
      <c r="I739" s="2" t="b">
        <f t="shared" si="2"/>
        <v>1</v>
      </c>
      <c r="J739" s="2"/>
      <c r="K739" s="2"/>
      <c r="L739" s="2"/>
      <c r="M739" s="2"/>
      <c r="N739" s="2"/>
      <c r="O739" s="2"/>
      <c r="P739" s="2"/>
      <c r="Q739" s="2"/>
      <c r="R739" s="2"/>
      <c r="S739" s="2"/>
      <c r="T739" s="2"/>
      <c r="U739" s="2"/>
      <c r="V739" s="2"/>
      <c r="W739" s="2"/>
    </row>
    <row r="740" spans="1:23" ht="75" customHeight="1" x14ac:dyDescent="0.15">
      <c r="A740" s="2">
        <v>859</v>
      </c>
      <c r="B740" s="2" t="s">
        <v>803</v>
      </c>
      <c r="C740" s="2" t="s">
        <v>804</v>
      </c>
      <c r="D740" s="2" t="s">
        <v>816</v>
      </c>
      <c r="E740" s="2">
        <v>11</v>
      </c>
      <c r="F740" s="2">
        <v>11</v>
      </c>
      <c r="G740" s="2"/>
      <c r="H740" s="2"/>
      <c r="I740" s="2" t="b">
        <f t="shared" si="2"/>
        <v>1</v>
      </c>
      <c r="J740" s="2"/>
      <c r="K740" s="2"/>
      <c r="L740" s="2"/>
      <c r="M740" s="2"/>
      <c r="N740" s="2"/>
      <c r="O740" s="2"/>
      <c r="P740" s="2"/>
      <c r="Q740" s="2"/>
      <c r="R740" s="2"/>
      <c r="S740" s="2"/>
      <c r="T740" s="2"/>
      <c r="U740" s="2"/>
      <c r="V740" s="2"/>
      <c r="W740" s="2"/>
    </row>
    <row r="741" spans="1:23" ht="75" customHeight="1" x14ac:dyDescent="0.15">
      <c r="A741" s="2">
        <v>861</v>
      </c>
      <c r="B741" s="2" t="s">
        <v>803</v>
      </c>
      <c r="C741" s="2" t="s">
        <v>804</v>
      </c>
      <c r="D741" s="2" t="s">
        <v>817</v>
      </c>
      <c r="E741" s="2">
        <v>8</v>
      </c>
      <c r="F741" s="2">
        <v>8</v>
      </c>
      <c r="G741" s="4">
        <v>8</v>
      </c>
      <c r="H741" s="3"/>
      <c r="I741" s="2" t="b">
        <f t="shared" si="2"/>
        <v>1</v>
      </c>
      <c r="J741" s="2"/>
      <c r="K741" s="2"/>
      <c r="L741" s="2"/>
      <c r="M741" s="2"/>
      <c r="N741" s="2"/>
      <c r="O741" s="2"/>
      <c r="P741" s="2"/>
      <c r="Q741" s="2"/>
      <c r="R741" s="2"/>
      <c r="S741" s="2"/>
      <c r="T741" s="2"/>
      <c r="U741" s="2"/>
      <c r="V741" s="2"/>
      <c r="W741" s="2"/>
    </row>
    <row r="742" spans="1:23" ht="75" customHeight="1" x14ac:dyDescent="0.15">
      <c r="A742" s="2">
        <v>864</v>
      </c>
      <c r="B742" s="2" t="s">
        <v>803</v>
      </c>
      <c r="C742" s="2" t="s">
        <v>804</v>
      </c>
      <c r="D742" s="2" t="s">
        <v>818</v>
      </c>
      <c r="E742" s="2">
        <v>8</v>
      </c>
      <c r="F742" s="2">
        <v>8</v>
      </c>
      <c r="G742" s="4">
        <v>7</v>
      </c>
      <c r="H742" s="4" t="s">
        <v>819</v>
      </c>
      <c r="I742" s="2" t="b">
        <f t="shared" si="2"/>
        <v>1</v>
      </c>
      <c r="J742" s="2"/>
      <c r="K742" s="2"/>
      <c r="L742" s="2"/>
      <c r="M742" s="2"/>
      <c r="N742" s="2"/>
      <c r="O742" s="2"/>
      <c r="P742" s="2"/>
      <c r="Q742" s="2"/>
      <c r="R742" s="2"/>
      <c r="S742" s="2"/>
      <c r="T742" s="2"/>
      <c r="U742" s="2"/>
      <c r="V742" s="2"/>
      <c r="W742" s="2"/>
    </row>
    <row r="743" spans="1:23" ht="75" customHeight="1" x14ac:dyDescent="0.15">
      <c r="A743" s="2">
        <v>865</v>
      </c>
      <c r="B743" s="2" t="s">
        <v>803</v>
      </c>
      <c r="C743" s="2" t="s">
        <v>804</v>
      </c>
      <c r="D743" s="2" t="s">
        <v>820</v>
      </c>
      <c r="E743" s="2">
        <v>10</v>
      </c>
      <c r="F743" s="2">
        <v>10</v>
      </c>
      <c r="G743" s="2"/>
      <c r="H743" s="2"/>
      <c r="I743" s="2" t="b">
        <f t="shared" si="2"/>
        <v>1</v>
      </c>
      <c r="J743" s="2"/>
      <c r="K743" s="2"/>
      <c r="L743" s="2"/>
      <c r="M743" s="2"/>
      <c r="N743" s="2"/>
      <c r="O743" s="2"/>
      <c r="P743" s="2"/>
      <c r="Q743" s="2"/>
      <c r="R743" s="2"/>
      <c r="S743" s="2"/>
      <c r="T743" s="2"/>
      <c r="U743" s="2"/>
      <c r="V743" s="2"/>
      <c r="W743" s="2"/>
    </row>
    <row r="744" spans="1:23" ht="75" customHeight="1" x14ac:dyDescent="0.15">
      <c r="A744" s="2">
        <v>866</v>
      </c>
      <c r="B744" s="2" t="s">
        <v>803</v>
      </c>
      <c r="C744" s="2" t="s">
        <v>804</v>
      </c>
      <c r="D744" s="2" t="s">
        <v>821</v>
      </c>
      <c r="E744" s="2">
        <v>9</v>
      </c>
      <c r="F744" s="2">
        <v>9</v>
      </c>
      <c r="G744" s="2"/>
      <c r="H744" s="2"/>
      <c r="I744" s="2" t="b">
        <f t="shared" si="2"/>
        <v>1</v>
      </c>
      <c r="J744" s="2"/>
      <c r="K744" s="2"/>
      <c r="L744" s="2"/>
      <c r="M744" s="2"/>
      <c r="N744" s="2"/>
      <c r="O744" s="2"/>
      <c r="P744" s="2"/>
      <c r="Q744" s="2"/>
      <c r="R744" s="2"/>
      <c r="S744" s="2"/>
      <c r="T744" s="2"/>
      <c r="U744" s="2"/>
      <c r="V744" s="2"/>
      <c r="W744" s="2"/>
    </row>
    <row r="745" spans="1:23" ht="75" customHeight="1" x14ac:dyDescent="0.15">
      <c r="A745" s="2">
        <v>867</v>
      </c>
      <c r="B745" s="2" t="s">
        <v>803</v>
      </c>
      <c r="C745" s="2" t="s">
        <v>804</v>
      </c>
      <c r="D745" s="2" t="s">
        <v>822</v>
      </c>
      <c r="E745" s="2">
        <v>8</v>
      </c>
      <c r="F745" s="2">
        <v>8</v>
      </c>
      <c r="G745" s="2"/>
      <c r="H745" s="2"/>
      <c r="I745" s="2" t="b">
        <f t="shared" si="2"/>
        <v>1</v>
      </c>
      <c r="J745" s="2"/>
      <c r="K745" s="2"/>
      <c r="L745" s="2"/>
      <c r="M745" s="2"/>
      <c r="N745" s="2"/>
      <c r="O745" s="2"/>
      <c r="P745" s="2"/>
      <c r="Q745" s="2"/>
      <c r="R745" s="2"/>
      <c r="S745" s="2"/>
      <c r="T745" s="2"/>
      <c r="U745" s="2"/>
      <c r="V745" s="2"/>
      <c r="W745" s="2"/>
    </row>
    <row r="746" spans="1:23" ht="75" customHeight="1" x14ac:dyDescent="0.15">
      <c r="A746" s="2">
        <v>868</v>
      </c>
      <c r="B746" s="2" t="s">
        <v>823</v>
      </c>
      <c r="C746" s="2" t="s">
        <v>824</v>
      </c>
      <c r="D746" s="2" t="s">
        <v>825</v>
      </c>
      <c r="E746" s="2" t="s">
        <v>162</v>
      </c>
      <c r="F746" s="2" t="s">
        <v>162</v>
      </c>
      <c r="G746" s="2"/>
      <c r="H746" s="2"/>
      <c r="I746" s="2" t="b">
        <f t="shared" si="2"/>
        <v>1</v>
      </c>
      <c r="J746" s="2"/>
      <c r="K746" s="2"/>
      <c r="L746" s="2"/>
      <c r="M746" s="2"/>
      <c r="N746" s="2"/>
      <c r="O746" s="2"/>
      <c r="P746" s="2"/>
      <c r="Q746" s="2"/>
      <c r="R746" s="2"/>
      <c r="S746" s="2"/>
      <c r="T746" s="2"/>
      <c r="U746" s="2"/>
      <c r="V746" s="2"/>
      <c r="W746" s="2"/>
    </row>
    <row r="747" spans="1:23" ht="75" customHeight="1" x14ac:dyDescent="0.15">
      <c r="A747" s="2">
        <v>869</v>
      </c>
      <c r="B747" s="2" t="s">
        <v>823</v>
      </c>
      <c r="C747" s="2" t="s">
        <v>824</v>
      </c>
      <c r="D747" s="2" t="s">
        <v>826</v>
      </c>
      <c r="E747" s="2" t="s">
        <v>162</v>
      </c>
      <c r="F747" s="2" t="s">
        <v>162</v>
      </c>
      <c r="G747" s="2"/>
      <c r="H747" s="2"/>
      <c r="I747" s="2" t="b">
        <f t="shared" si="2"/>
        <v>1</v>
      </c>
      <c r="J747" s="2"/>
      <c r="K747" s="2"/>
      <c r="L747" s="2"/>
      <c r="M747" s="2"/>
      <c r="N747" s="2"/>
      <c r="O747" s="2"/>
      <c r="P747" s="2"/>
      <c r="Q747" s="2"/>
      <c r="R747" s="2"/>
      <c r="S747" s="2"/>
      <c r="T747" s="2"/>
      <c r="U747" s="2"/>
      <c r="V747" s="2"/>
      <c r="W747" s="2"/>
    </row>
    <row r="748" spans="1:23" ht="75" customHeight="1" x14ac:dyDescent="0.15">
      <c r="A748" s="2">
        <v>872</v>
      </c>
      <c r="B748" s="2" t="s">
        <v>823</v>
      </c>
      <c r="C748" s="2" t="s">
        <v>824</v>
      </c>
      <c r="D748" s="2" t="s">
        <v>827</v>
      </c>
      <c r="E748" s="2">
        <v>13</v>
      </c>
      <c r="F748" s="2">
        <v>13</v>
      </c>
      <c r="G748" s="2"/>
      <c r="H748" s="2"/>
      <c r="I748" s="2" t="b">
        <f t="shared" si="2"/>
        <v>1</v>
      </c>
      <c r="J748" s="2"/>
      <c r="K748" s="2"/>
      <c r="L748" s="2"/>
      <c r="M748" s="2"/>
      <c r="N748" s="2"/>
      <c r="O748" s="2"/>
      <c r="P748" s="2"/>
      <c r="Q748" s="2"/>
      <c r="R748" s="2"/>
      <c r="S748" s="2"/>
      <c r="T748" s="2"/>
      <c r="U748" s="2"/>
      <c r="V748" s="2"/>
      <c r="W748" s="2"/>
    </row>
    <row r="749" spans="1:23" ht="75" customHeight="1" x14ac:dyDescent="0.15">
      <c r="A749" s="2">
        <v>880</v>
      </c>
      <c r="B749" s="2" t="s">
        <v>823</v>
      </c>
      <c r="C749" s="2" t="s">
        <v>824</v>
      </c>
      <c r="D749" s="2" t="s">
        <v>828</v>
      </c>
      <c r="E749" s="2">
        <v>7</v>
      </c>
      <c r="F749" s="2">
        <v>7</v>
      </c>
      <c r="G749" s="2"/>
      <c r="H749" s="2"/>
      <c r="I749" s="2" t="b">
        <f t="shared" si="2"/>
        <v>1</v>
      </c>
      <c r="J749" s="2"/>
      <c r="K749" s="2"/>
      <c r="L749" s="2"/>
      <c r="M749" s="2"/>
      <c r="N749" s="2"/>
      <c r="O749" s="2"/>
      <c r="P749" s="2"/>
      <c r="Q749" s="2"/>
      <c r="R749" s="2"/>
      <c r="S749" s="2"/>
      <c r="T749" s="2"/>
      <c r="U749" s="2"/>
      <c r="V749" s="2"/>
      <c r="W749" s="2"/>
    </row>
    <row r="750" spans="1:23" ht="75" customHeight="1" x14ac:dyDescent="0.15">
      <c r="A750" s="2">
        <v>881</v>
      </c>
      <c r="B750" s="2" t="s">
        <v>823</v>
      </c>
      <c r="C750" s="2" t="s">
        <v>824</v>
      </c>
      <c r="D750" s="2" t="s">
        <v>829</v>
      </c>
      <c r="E750" s="2">
        <v>4</v>
      </c>
      <c r="F750" s="2">
        <v>4</v>
      </c>
      <c r="G750" s="2"/>
      <c r="H750" s="2"/>
      <c r="I750" s="2" t="b">
        <f t="shared" si="2"/>
        <v>1</v>
      </c>
      <c r="J750" s="2"/>
      <c r="K750" s="2"/>
      <c r="L750" s="2"/>
      <c r="M750" s="2"/>
      <c r="N750" s="2"/>
      <c r="O750" s="2"/>
      <c r="P750" s="2"/>
      <c r="Q750" s="2"/>
      <c r="R750" s="2"/>
      <c r="S750" s="2"/>
      <c r="T750" s="2"/>
      <c r="U750" s="2"/>
      <c r="V750" s="2"/>
      <c r="W750" s="2"/>
    </row>
    <row r="751" spans="1:23" ht="75" customHeight="1" x14ac:dyDescent="0.15">
      <c r="A751" s="2">
        <v>882</v>
      </c>
      <c r="B751" s="2" t="s">
        <v>823</v>
      </c>
      <c r="C751" s="2" t="s">
        <v>824</v>
      </c>
      <c r="D751" s="2" t="s">
        <v>830</v>
      </c>
      <c r="E751" s="2">
        <v>9</v>
      </c>
      <c r="F751" s="2">
        <v>9</v>
      </c>
      <c r="G751" s="2"/>
      <c r="H751" s="2"/>
      <c r="I751" s="2" t="b">
        <f t="shared" si="2"/>
        <v>1</v>
      </c>
      <c r="J751" s="2"/>
      <c r="K751" s="2"/>
      <c r="L751" s="2"/>
      <c r="M751" s="2"/>
      <c r="N751" s="2"/>
      <c r="O751" s="2"/>
      <c r="P751" s="2"/>
      <c r="Q751" s="2"/>
      <c r="R751" s="2"/>
      <c r="S751" s="2"/>
      <c r="T751" s="2"/>
      <c r="U751" s="2"/>
      <c r="V751" s="2"/>
      <c r="W751" s="2"/>
    </row>
    <row r="752" spans="1:23" ht="75" customHeight="1" x14ac:dyDescent="0.15">
      <c r="A752" s="2">
        <v>883</v>
      </c>
      <c r="B752" s="2" t="s">
        <v>823</v>
      </c>
      <c r="C752" s="2" t="s">
        <v>824</v>
      </c>
      <c r="D752" s="2" t="s">
        <v>831</v>
      </c>
      <c r="E752" s="2">
        <v>15</v>
      </c>
      <c r="F752" s="2">
        <v>15</v>
      </c>
      <c r="G752" s="2"/>
      <c r="H752" s="2"/>
      <c r="I752" s="2" t="b">
        <f t="shared" si="2"/>
        <v>1</v>
      </c>
      <c r="J752" s="2"/>
      <c r="K752" s="2"/>
      <c r="L752" s="2"/>
      <c r="M752" s="2"/>
      <c r="N752" s="2"/>
      <c r="O752" s="2"/>
      <c r="P752" s="2"/>
      <c r="Q752" s="2"/>
      <c r="R752" s="2"/>
      <c r="S752" s="2"/>
      <c r="T752" s="2"/>
      <c r="U752" s="2"/>
      <c r="V752" s="2"/>
      <c r="W752" s="2"/>
    </row>
    <row r="753" spans="1:23" ht="75" customHeight="1" x14ac:dyDescent="0.15">
      <c r="A753" s="2">
        <v>887</v>
      </c>
      <c r="B753" s="2" t="s">
        <v>823</v>
      </c>
      <c r="C753" s="2" t="s">
        <v>824</v>
      </c>
      <c r="D753" s="2" t="s">
        <v>832</v>
      </c>
      <c r="E753" s="2">
        <v>3</v>
      </c>
      <c r="F753" s="2">
        <v>3</v>
      </c>
      <c r="G753" s="3">
        <v>3</v>
      </c>
      <c r="H753" s="4" t="s">
        <v>833</v>
      </c>
      <c r="I753" s="2" t="b">
        <f t="shared" si="2"/>
        <v>1</v>
      </c>
      <c r="J753" s="2"/>
      <c r="K753" s="2"/>
      <c r="L753" s="2"/>
      <c r="M753" s="2"/>
      <c r="N753" s="2"/>
      <c r="O753" s="2"/>
      <c r="P753" s="2"/>
      <c r="Q753" s="2"/>
      <c r="R753" s="2"/>
      <c r="S753" s="2"/>
      <c r="T753" s="2"/>
      <c r="U753" s="2"/>
      <c r="V753" s="2"/>
      <c r="W753" s="2"/>
    </row>
    <row r="754" spans="1:23" ht="75" customHeight="1" x14ac:dyDescent="0.15">
      <c r="A754" s="2">
        <v>889</v>
      </c>
      <c r="B754" s="2" t="s">
        <v>834</v>
      </c>
      <c r="C754" s="2" t="s">
        <v>835</v>
      </c>
      <c r="D754" s="2" t="s">
        <v>836</v>
      </c>
      <c r="E754" s="2" t="s">
        <v>162</v>
      </c>
      <c r="F754" s="2" t="s">
        <v>162</v>
      </c>
      <c r="G754" s="2"/>
      <c r="H754" s="2"/>
      <c r="I754" s="2" t="b">
        <f t="shared" si="2"/>
        <v>1</v>
      </c>
      <c r="J754" s="2"/>
      <c r="K754" s="2"/>
      <c r="L754" s="2"/>
      <c r="M754" s="2"/>
      <c r="N754" s="2"/>
      <c r="O754" s="2"/>
      <c r="P754" s="2"/>
      <c r="Q754" s="2"/>
      <c r="R754" s="2"/>
      <c r="S754" s="2"/>
      <c r="T754" s="2"/>
      <c r="U754" s="2"/>
      <c r="V754" s="2"/>
      <c r="W754" s="2"/>
    </row>
    <row r="755" spans="1:23" ht="75" customHeight="1" x14ac:dyDescent="0.15">
      <c r="A755" s="2">
        <v>891</v>
      </c>
      <c r="B755" s="2" t="s">
        <v>834</v>
      </c>
      <c r="C755" s="2" t="s">
        <v>835</v>
      </c>
      <c r="D755" s="2" t="s">
        <v>837</v>
      </c>
      <c r="E755" s="2">
        <v>14</v>
      </c>
      <c r="F755" s="2">
        <v>14</v>
      </c>
      <c r="G755" s="2"/>
      <c r="H755" s="2"/>
      <c r="I755" s="2" t="b">
        <f t="shared" si="2"/>
        <v>1</v>
      </c>
      <c r="J755" s="2"/>
      <c r="K755" s="2"/>
      <c r="L755" s="2"/>
      <c r="M755" s="2"/>
      <c r="N755" s="2"/>
      <c r="O755" s="2"/>
      <c r="P755" s="2"/>
      <c r="Q755" s="2"/>
      <c r="R755" s="2"/>
      <c r="S755" s="2"/>
      <c r="T755" s="2"/>
      <c r="U755" s="2"/>
      <c r="V755" s="2"/>
      <c r="W755" s="2"/>
    </row>
    <row r="756" spans="1:23" ht="75" customHeight="1" x14ac:dyDescent="0.15">
      <c r="A756" s="2">
        <v>892</v>
      </c>
      <c r="B756" s="2" t="s">
        <v>834</v>
      </c>
      <c r="C756" s="2" t="s">
        <v>835</v>
      </c>
      <c r="D756" s="2" t="s">
        <v>838</v>
      </c>
      <c r="E756" s="2">
        <v>10</v>
      </c>
      <c r="F756" s="2">
        <v>10</v>
      </c>
      <c r="G756" s="2"/>
      <c r="H756" s="2"/>
      <c r="I756" s="2" t="b">
        <f t="shared" si="2"/>
        <v>1</v>
      </c>
      <c r="J756" s="2"/>
      <c r="K756" s="2"/>
      <c r="L756" s="2"/>
      <c r="M756" s="2"/>
      <c r="N756" s="2"/>
      <c r="O756" s="2"/>
      <c r="P756" s="2"/>
      <c r="Q756" s="2"/>
      <c r="R756" s="2"/>
      <c r="S756" s="2"/>
      <c r="T756" s="2"/>
      <c r="U756" s="2"/>
      <c r="V756" s="2"/>
      <c r="W756" s="2"/>
    </row>
    <row r="757" spans="1:23" ht="75" customHeight="1" x14ac:dyDescent="0.15">
      <c r="A757" s="2">
        <v>893</v>
      </c>
      <c r="B757" s="2" t="s">
        <v>834</v>
      </c>
      <c r="C757" s="2" t="s">
        <v>835</v>
      </c>
      <c r="D757" s="2" t="s">
        <v>839</v>
      </c>
      <c r="E757" s="2">
        <v>12</v>
      </c>
      <c r="F757" s="2">
        <v>12</v>
      </c>
      <c r="G757" s="2"/>
      <c r="H757" s="2"/>
      <c r="I757" s="2" t="b">
        <f t="shared" si="2"/>
        <v>1</v>
      </c>
      <c r="J757" s="2"/>
      <c r="K757" s="2"/>
      <c r="L757" s="2"/>
      <c r="M757" s="2"/>
      <c r="N757" s="2"/>
      <c r="O757" s="2"/>
      <c r="P757" s="2"/>
      <c r="Q757" s="2"/>
      <c r="R757" s="2"/>
      <c r="S757" s="2"/>
      <c r="T757" s="2"/>
      <c r="U757" s="2"/>
      <c r="V757" s="2"/>
      <c r="W757" s="2"/>
    </row>
    <row r="758" spans="1:23" ht="75" customHeight="1" x14ac:dyDescent="0.15">
      <c r="A758" s="2">
        <v>894</v>
      </c>
      <c r="B758" s="2" t="s">
        <v>834</v>
      </c>
      <c r="C758" s="2" t="s">
        <v>835</v>
      </c>
      <c r="D758" s="2" t="s">
        <v>840</v>
      </c>
      <c r="E758" s="2">
        <v>10</v>
      </c>
      <c r="F758" s="2">
        <v>10</v>
      </c>
      <c r="G758" s="2"/>
      <c r="H758" s="2"/>
      <c r="I758" s="2" t="b">
        <f t="shared" si="2"/>
        <v>1</v>
      </c>
      <c r="J758" s="2"/>
      <c r="K758" s="2"/>
      <c r="L758" s="2"/>
      <c r="M758" s="2"/>
      <c r="N758" s="2"/>
      <c r="O758" s="2"/>
      <c r="P758" s="2"/>
      <c r="Q758" s="2"/>
      <c r="R758" s="2"/>
      <c r="S758" s="2"/>
      <c r="T758" s="2"/>
      <c r="U758" s="2"/>
      <c r="V758" s="2"/>
      <c r="W758" s="2"/>
    </row>
    <row r="759" spans="1:23" ht="75" customHeight="1" x14ac:dyDescent="0.15">
      <c r="A759" s="2">
        <v>895</v>
      </c>
      <c r="B759" s="2" t="s">
        <v>834</v>
      </c>
      <c r="C759" s="2" t="s">
        <v>835</v>
      </c>
      <c r="D759" s="2" t="s">
        <v>841</v>
      </c>
      <c r="E759" s="2">
        <v>11</v>
      </c>
      <c r="F759" s="2">
        <v>11</v>
      </c>
      <c r="G759" s="2"/>
      <c r="H759" s="2"/>
      <c r="I759" s="2" t="b">
        <f t="shared" si="2"/>
        <v>1</v>
      </c>
      <c r="J759" s="2"/>
      <c r="K759" s="2"/>
      <c r="L759" s="2"/>
      <c r="M759" s="2"/>
      <c r="N759" s="2"/>
      <c r="O759" s="2"/>
      <c r="P759" s="2"/>
      <c r="Q759" s="2"/>
      <c r="R759" s="2"/>
      <c r="S759" s="2"/>
      <c r="T759" s="2"/>
      <c r="U759" s="2"/>
      <c r="V759" s="2"/>
      <c r="W759" s="2"/>
    </row>
    <row r="760" spans="1:23" ht="75" customHeight="1" x14ac:dyDescent="0.15">
      <c r="A760" s="2">
        <v>896</v>
      </c>
      <c r="B760" s="2" t="s">
        <v>834</v>
      </c>
      <c r="C760" s="2" t="s">
        <v>835</v>
      </c>
      <c r="D760" s="2" t="s">
        <v>842</v>
      </c>
      <c r="E760" s="2">
        <v>12</v>
      </c>
      <c r="F760" s="2">
        <v>12</v>
      </c>
      <c r="G760" s="2"/>
      <c r="H760" s="2"/>
      <c r="I760" s="2" t="b">
        <f t="shared" si="2"/>
        <v>1</v>
      </c>
      <c r="J760" s="2"/>
      <c r="K760" s="2"/>
      <c r="L760" s="2"/>
      <c r="M760" s="2"/>
      <c r="N760" s="2"/>
      <c r="O760" s="2"/>
      <c r="P760" s="2"/>
      <c r="Q760" s="2"/>
      <c r="R760" s="2"/>
      <c r="S760" s="2"/>
      <c r="T760" s="2"/>
      <c r="U760" s="2"/>
      <c r="V760" s="2"/>
      <c r="W760" s="2"/>
    </row>
    <row r="761" spans="1:23" ht="75" customHeight="1" x14ac:dyDescent="0.15">
      <c r="A761" s="2">
        <v>897</v>
      </c>
      <c r="B761" s="2" t="s">
        <v>834</v>
      </c>
      <c r="C761" s="2" t="s">
        <v>835</v>
      </c>
      <c r="D761" s="2" t="s">
        <v>843</v>
      </c>
      <c r="E761" s="2">
        <v>11</v>
      </c>
      <c r="F761" s="2">
        <v>11</v>
      </c>
      <c r="G761" s="2"/>
      <c r="H761" s="2"/>
      <c r="I761" s="2" t="b">
        <f t="shared" si="2"/>
        <v>1</v>
      </c>
      <c r="J761" s="2"/>
      <c r="K761" s="2"/>
      <c r="L761" s="2"/>
      <c r="M761" s="2"/>
      <c r="N761" s="2"/>
      <c r="O761" s="2"/>
      <c r="P761" s="2"/>
      <c r="Q761" s="2"/>
      <c r="R761" s="2"/>
      <c r="S761" s="2"/>
      <c r="T761" s="2"/>
      <c r="U761" s="2"/>
      <c r="V761" s="2"/>
      <c r="W761" s="2"/>
    </row>
    <row r="762" spans="1:23" ht="75" customHeight="1" x14ac:dyDescent="0.15">
      <c r="A762" s="2">
        <v>898</v>
      </c>
      <c r="B762" s="2" t="s">
        <v>834</v>
      </c>
      <c r="C762" s="2" t="s">
        <v>835</v>
      </c>
      <c r="D762" s="2" t="s">
        <v>844</v>
      </c>
      <c r="E762" s="2">
        <v>10</v>
      </c>
      <c r="F762" s="2">
        <v>10</v>
      </c>
      <c r="G762" s="2"/>
      <c r="H762" s="2"/>
      <c r="I762" s="2" t="b">
        <f t="shared" si="2"/>
        <v>1</v>
      </c>
      <c r="J762" s="2"/>
      <c r="K762" s="2"/>
      <c r="L762" s="2"/>
      <c r="M762" s="2"/>
      <c r="N762" s="2"/>
      <c r="O762" s="2"/>
      <c r="P762" s="2"/>
      <c r="Q762" s="2"/>
      <c r="R762" s="2"/>
      <c r="S762" s="2"/>
      <c r="T762" s="2"/>
      <c r="U762" s="2"/>
      <c r="V762" s="2"/>
      <c r="W762" s="2"/>
    </row>
    <row r="763" spans="1:23" ht="75" customHeight="1" x14ac:dyDescent="0.15">
      <c r="A763" s="2">
        <v>899</v>
      </c>
      <c r="B763" s="2" t="s">
        <v>834</v>
      </c>
      <c r="C763" s="2" t="s">
        <v>835</v>
      </c>
      <c r="D763" s="2" t="s">
        <v>845</v>
      </c>
      <c r="E763" s="2">
        <v>11</v>
      </c>
      <c r="F763" s="2">
        <v>11</v>
      </c>
      <c r="G763" s="2"/>
      <c r="H763" s="2"/>
      <c r="I763" s="2" t="b">
        <f t="shared" si="2"/>
        <v>1</v>
      </c>
      <c r="J763" s="2"/>
      <c r="K763" s="2"/>
      <c r="L763" s="2"/>
      <c r="M763" s="2"/>
      <c r="N763" s="2"/>
      <c r="O763" s="2"/>
      <c r="P763" s="2"/>
      <c r="Q763" s="2"/>
      <c r="R763" s="2"/>
      <c r="S763" s="2"/>
      <c r="T763" s="2"/>
      <c r="U763" s="2"/>
      <c r="V763" s="2"/>
      <c r="W763" s="2"/>
    </row>
    <row r="764" spans="1:23" ht="75" customHeight="1" x14ac:dyDescent="0.15">
      <c r="A764" s="2">
        <v>901</v>
      </c>
      <c r="B764" s="2" t="s">
        <v>834</v>
      </c>
      <c r="C764" s="2" t="s">
        <v>835</v>
      </c>
      <c r="D764" s="2" t="s">
        <v>846</v>
      </c>
      <c r="E764" s="2">
        <v>10</v>
      </c>
      <c r="F764" s="2">
        <v>10</v>
      </c>
      <c r="G764" s="2"/>
      <c r="H764" s="2"/>
      <c r="I764" s="2" t="b">
        <f t="shared" si="2"/>
        <v>1</v>
      </c>
      <c r="J764" s="2"/>
      <c r="K764" s="2"/>
      <c r="L764" s="2"/>
      <c r="M764" s="2"/>
      <c r="N764" s="2"/>
      <c r="O764" s="2"/>
      <c r="P764" s="2"/>
      <c r="Q764" s="2"/>
      <c r="R764" s="2"/>
      <c r="S764" s="2"/>
      <c r="T764" s="2"/>
      <c r="U764" s="2"/>
      <c r="V764" s="2"/>
      <c r="W764" s="2"/>
    </row>
    <row r="765" spans="1:23" ht="75" customHeight="1" x14ac:dyDescent="0.15">
      <c r="A765" s="2">
        <v>902</v>
      </c>
      <c r="B765" s="2" t="s">
        <v>834</v>
      </c>
      <c r="C765" s="2" t="s">
        <v>835</v>
      </c>
      <c r="D765" s="2" t="s">
        <v>847</v>
      </c>
      <c r="E765" s="2">
        <v>11</v>
      </c>
      <c r="F765" s="2">
        <v>11</v>
      </c>
      <c r="G765" s="2"/>
      <c r="H765" s="2"/>
      <c r="I765" s="2" t="b">
        <f t="shared" si="2"/>
        <v>1</v>
      </c>
      <c r="J765" s="2"/>
      <c r="K765" s="2"/>
      <c r="L765" s="2"/>
      <c r="M765" s="2"/>
      <c r="N765" s="2"/>
      <c r="O765" s="2"/>
      <c r="P765" s="2"/>
      <c r="Q765" s="2"/>
      <c r="R765" s="2"/>
      <c r="S765" s="2"/>
      <c r="T765" s="2"/>
      <c r="U765" s="2"/>
      <c r="V765" s="2"/>
      <c r="W765" s="2"/>
    </row>
    <row r="766" spans="1:23" ht="75" customHeight="1" x14ac:dyDescent="0.15">
      <c r="A766" s="2">
        <v>903</v>
      </c>
      <c r="B766" s="2" t="s">
        <v>834</v>
      </c>
      <c r="C766" s="2" t="s">
        <v>835</v>
      </c>
      <c r="D766" s="2" t="s">
        <v>848</v>
      </c>
      <c r="E766" s="2">
        <v>10</v>
      </c>
      <c r="F766" s="2">
        <v>10</v>
      </c>
      <c r="G766" s="2"/>
      <c r="H766" s="2"/>
      <c r="I766" s="2" t="b">
        <f t="shared" si="2"/>
        <v>1</v>
      </c>
      <c r="J766" s="2"/>
      <c r="K766" s="2"/>
      <c r="L766" s="2"/>
      <c r="M766" s="2"/>
      <c r="N766" s="2"/>
      <c r="O766" s="2"/>
      <c r="P766" s="2"/>
      <c r="Q766" s="2"/>
      <c r="R766" s="2"/>
      <c r="S766" s="2"/>
      <c r="T766" s="2"/>
      <c r="U766" s="2"/>
      <c r="V766" s="2"/>
      <c r="W766" s="2"/>
    </row>
    <row r="767" spans="1:23" ht="75" customHeight="1" x14ac:dyDescent="0.15">
      <c r="A767" s="2">
        <v>904</v>
      </c>
      <c r="B767" s="2" t="s">
        <v>834</v>
      </c>
      <c r="C767" s="2" t="s">
        <v>835</v>
      </c>
      <c r="D767" s="2" t="s">
        <v>849</v>
      </c>
      <c r="E767" s="2">
        <v>9</v>
      </c>
      <c r="F767" s="2">
        <v>9</v>
      </c>
      <c r="G767" s="4">
        <v>9</v>
      </c>
      <c r="H767" s="3"/>
      <c r="I767" s="2" t="b">
        <f t="shared" ref="I767:I888" si="3">E767=F767</f>
        <v>1</v>
      </c>
      <c r="J767" s="2"/>
      <c r="K767" s="2"/>
      <c r="L767" s="2"/>
      <c r="M767" s="2"/>
      <c r="N767" s="2"/>
      <c r="O767" s="2"/>
      <c r="P767" s="2"/>
      <c r="Q767" s="2"/>
      <c r="R767" s="2"/>
      <c r="S767" s="2"/>
      <c r="T767" s="2"/>
      <c r="U767" s="2"/>
      <c r="V767" s="2"/>
      <c r="W767" s="2"/>
    </row>
    <row r="768" spans="1:23" ht="75" customHeight="1" x14ac:dyDescent="0.15">
      <c r="A768" s="2">
        <v>905</v>
      </c>
      <c r="B768" s="2" t="s">
        <v>834</v>
      </c>
      <c r="C768" s="2" t="s">
        <v>835</v>
      </c>
      <c r="D768" s="2" t="s">
        <v>850</v>
      </c>
      <c r="E768" s="2">
        <v>10</v>
      </c>
      <c r="F768" s="2">
        <v>10</v>
      </c>
      <c r="G768" s="2"/>
      <c r="H768" s="2"/>
      <c r="I768" s="2" t="b">
        <f t="shared" si="3"/>
        <v>1</v>
      </c>
      <c r="J768" s="2"/>
      <c r="K768" s="2"/>
      <c r="L768" s="2"/>
      <c r="M768" s="2"/>
      <c r="N768" s="2"/>
      <c r="O768" s="2"/>
      <c r="P768" s="2"/>
      <c r="Q768" s="2"/>
      <c r="R768" s="2"/>
      <c r="S768" s="2"/>
      <c r="T768" s="2"/>
      <c r="U768" s="2"/>
      <c r="V768" s="2"/>
      <c r="W768" s="2"/>
    </row>
    <row r="769" spans="1:23" ht="75" customHeight="1" x14ac:dyDescent="0.15">
      <c r="A769" s="2">
        <v>906</v>
      </c>
      <c r="B769" s="2" t="s">
        <v>834</v>
      </c>
      <c r="C769" s="2" t="s">
        <v>835</v>
      </c>
      <c r="D769" s="2" t="s">
        <v>851</v>
      </c>
      <c r="E769" s="2">
        <v>11</v>
      </c>
      <c r="F769" s="2">
        <v>11</v>
      </c>
      <c r="G769" s="2"/>
      <c r="H769" s="2"/>
      <c r="I769" s="2" t="b">
        <f t="shared" si="3"/>
        <v>1</v>
      </c>
      <c r="J769" s="2"/>
      <c r="K769" s="2"/>
      <c r="L769" s="2"/>
      <c r="M769" s="2"/>
      <c r="N769" s="2"/>
      <c r="O769" s="2"/>
      <c r="P769" s="2"/>
      <c r="Q769" s="2"/>
      <c r="R769" s="2"/>
      <c r="S769" s="2"/>
      <c r="T769" s="2"/>
      <c r="U769" s="2"/>
      <c r="V769" s="2"/>
      <c r="W769" s="2"/>
    </row>
    <row r="770" spans="1:23" ht="75" customHeight="1" x14ac:dyDescent="0.15">
      <c r="A770" s="2">
        <v>907</v>
      </c>
      <c r="B770" s="2" t="s">
        <v>834</v>
      </c>
      <c r="C770" s="2" t="s">
        <v>835</v>
      </c>
      <c r="D770" s="2" t="s">
        <v>852</v>
      </c>
      <c r="E770" s="2">
        <v>11</v>
      </c>
      <c r="F770" s="2">
        <v>11</v>
      </c>
      <c r="G770" s="2"/>
      <c r="H770" s="2"/>
      <c r="I770" s="2" t="b">
        <f t="shared" si="3"/>
        <v>1</v>
      </c>
      <c r="J770" s="2"/>
      <c r="K770" s="2"/>
      <c r="L770" s="2"/>
      <c r="M770" s="2"/>
      <c r="N770" s="2"/>
      <c r="O770" s="2"/>
      <c r="P770" s="2"/>
      <c r="Q770" s="2"/>
      <c r="R770" s="2"/>
      <c r="S770" s="2"/>
      <c r="T770" s="2"/>
      <c r="U770" s="2"/>
      <c r="V770" s="2"/>
      <c r="W770" s="2"/>
    </row>
    <row r="771" spans="1:23" ht="75" customHeight="1" x14ac:dyDescent="0.15">
      <c r="A771" s="2">
        <v>914</v>
      </c>
      <c r="B771" s="2" t="s">
        <v>853</v>
      </c>
      <c r="C771" s="2" t="s">
        <v>854</v>
      </c>
      <c r="D771" s="2" t="s">
        <v>855</v>
      </c>
      <c r="E771" s="2">
        <v>21</v>
      </c>
      <c r="F771" s="2">
        <v>21</v>
      </c>
      <c r="G771" s="2"/>
      <c r="H771" s="2"/>
      <c r="I771" s="2" t="b">
        <f t="shared" si="3"/>
        <v>1</v>
      </c>
      <c r="J771" s="2"/>
      <c r="K771" s="2"/>
      <c r="L771" s="2"/>
      <c r="M771" s="2"/>
      <c r="N771" s="2"/>
      <c r="O771" s="2"/>
      <c r="P771" s="2"/>
      <c r="Q771" s="2"/>
      <c r="R771" s="2"/>
      <c r="S771" s="2"/>
      <c r="T771" s="2"/>
      <c r="U771" s="2"/>
      <c r="V771" s="2"/>
      <c r="W771" s="2"/>
    </row>
    <row r="772" spans="1:23" ht="75" customHeight="1" x14ac:dyDescent="0.15">
      <c r="A772" s="2">
        <v>916</v>
      </c>
      <c r="B772" s="2" t="s">
        <v>853</v>
      </c>
      <c r="C772" s="2" t="s">
        <v>854</v>
      </c>
      <c r="D772" s="2" t="s">
        <v>856</v>
      </c>
      <c r="E772" s="2">
        <v>12</v>
      </c>
      <c r="F772" s="2">
        <v>12</v>
      </c>
      <c r="G772" s="2"/>
      <c r="H772" s="2"/>
      <c r="I772" s="2" t="b">
        <f t="shared" si="3"/>
        <v>1</v>
      </c>
      <c r="J772" s="2"/>
      <c r="K772" s="2"/>
      <c r="L772" s="2"/>
      <c r="M772" s="2"/>
      <c r="N772" s="2"/>
      <c r="O772" s="2"/>
      <c r="P772" s="2"/>
      <c r="Q772" s="2"/>
      <c r="R772" s="2"/>
      <c r="S772" s="2"/>
      <c r="T772" s="2"/>
      <c r="U772" s="2"/>
      <c r="V772" s="2"/>
      <c r="W772" s="2"/>
    </row>
    <row r="773" spans="1:23" ht="75" customHeight="1" x14ac:dyDescent="0.15">
      <c r="A773" s="2">
        <v>918</v>
      </c>
      <c r="B773" s="2" t="s">
        <v>853</v>
      </c>
      <c r="C773" s="2" t="s">
        <v>854</v>
      </c>
      <c r="D773" s="2" t="s">
        <v>857</v>
      </c>
      <c r="E773" s="2">
        <v>27</v>
      </c>
      <c r="F773" s="2">
        <v>20</v>
      </c>
      <c r="G773" s="3">
        <v>20</v>
      </c>
      <c r="H773" s="4" t="s">
        <v>858</v>
      </c>
      <c r="I773" s="2" t="b">
        <f t="shared" si="3"/>
        <v>0</v>
      </c>
      <c r="J773" s="2"/>
      <c r="K773" s="2"/>
      <c r="L773" s="2"/>
      <c r="M773" s="2"/>
      <c r="N773" s="2"/>
      <c r="O773" s="2"/>
      <c r="P773" s="2"/>
      <c r="Q773" s="2"/>
      <c r="R773" s="2"/>
      <c r="S773" s="2"/>
      <c r="T773" s="2"/>
      <c r="U773" s="2"/>
      <c r="V773" s="2"/>
      <c r="W773" s="2"/>
    </row>
    <row r="774" spans="1:23" ht="75" customHeight="1" x14ac:dyDescent="0.15">
      <c r="A774" s="2">
        <v>919</v>
      </c>
      <c r="B774" s="2" t="s">
        <v>853</v>
      </c>
      <c r="C774" s="2" t="s">
        <v>854</v>
      </c>
      <c r="D774" s="2" t="s">
        <v>859</v>
      </c>
      <c r="E774" s="2">
        <v>18</v>
      </c>
      <c r="F774" s="2">
        <v>18</v>
      </c>
      <c r="G774" s="2"/>
      <c r="H774" s="2"/>
      <c r="I774" s="2" t="b">
        <f t="shared" si="3"/>
        <v>1</v>
      </c>
      <c r="J774" s="2"/>
      <c r="K774" s="2"/>
      <c r="L774" s="2"/>
      <c r="M774" s="2"/>
      <c r="N774" s="2"/>
      <c r="O774" s="2"/>
      <c r="P774" s="2"/>
      <c r="Q774" s="2"/>
      <c r="R774" s="2"/>
      <c r="S774" s="2"/>
      <c r="T774" s="2"/>
      <c r="U774" s="2"/>
      <c r="V774" s="2"/>
      <c r="W774" s="2"/>
    </row>
    <row r="775" spans="1:23" ht="75" customHeight="1" x14ac:dyDescent="0.15">
      <c r="A775" s="2">
        <v>922</v>
      </c>
      <c r="B775" s="2" t="s">
        <v>853</v>
      </c>
      <c r="C775" s="2" t="s">
        <v>854</v>
      </c>
      <c r="D775" s="2" t="s">
        <v>860</v>
      </c>
      <c r="E775" s="2">
        <v>20</v>
      </c>
      <c r="F775" s="2">
        <v>20</v>
      </c>
      <c r="G775" s="2"/>
      <c r="H775" s="2"/>
      <c r="I775" s="2" t="b">
        <f t="shared" si="3"/>
        <v>1</v>
      </c>
      <c r="J775" s="2"/>
      <c r="K775" s="2"/>
      <c r="L775" s="2"/>
      <c r="M775" s="2"/>
      <c r="N775" s="2"/>
      <c r="O775" s="2"/>
      <c r="P775" s="2"/>
      <c r="Q775" s="2"/>
      <c r="R775" s="2"/>
      <c r="S775" s="2"/>
      <c r="T775" s="2"/>
      <c r="U775" s="2"/>
      <c r="V775" s="2"/>
      <c r="W775" s="2"/>
    </row>
    <row r="776" spans="1:23" ht="75" customHeight="1" x14ac:dyDescent="0.15">
      <c r="A776" s="2">
        <v>923</v>
      </c>
      <c r="B776" s="2" t="s">
        <v>853</v>
      </c>
      <c r="C776" s="2" t="s">
        <v>854</v>
      </c>
      <c r="D776" s="2" t="s">
        <v>861</v>
      </c>
      <c r="E776" s="2">
        <v>13</v>
      </c>
      <c r="F776" s="2">
        <v>13</v>
      </c>
      <c r="G776" s="2"/>
      <c r="H776" s="2"/>
      <c r="I776" s="2" t="b">
        <f t="shared" si="3"/>
        <v>1</v>
      </c>
      <c r="J776" s="2"/>
      <c r="K776" s="2"/>
      <c r="L776" s="2"/>
      <c r="M776" s="2"/>
      <c r="N776" s="2"/>
      <c r="O776" s="2"/>
      <c r="P776" s="2"/>
      <c r="Q776" s="2"/>
      <c r="R776" s="2"/>
      <c r="S776" s="2"/>
      <c r="T776" s="2"/>
      <c r="U776" s="2"/>
      <c r="V776" s="2"/>
      <c r="W776" s="2"/>
    </row>
    <row r="777" spans="1:23" ht="75" customHeight="1" x14ac:dyDescent="0.15">
      <c r="A777" s="2">
        <v>925</v>
      </c>
      <c r="B777" s="2" t="s">
        <v>853</v>
      </c>
      <c r="C777" s="2" t="s">
        <v>854</v>
      </c>
      <c r="D777" s="2" t="s">
        <v>862</v>
      </c>
      <c r="E777" s="2">
        <v>23</v>
      </c>
      <c r="F777" s="2">
        <v>23</v>
      </c>
      <c r="G777" s="2"/>
      <c r="H777" s="2"/>
      <c r="I777" s="2" t="b">
        <f t="shared" si="3"/>
        <v>1</v>
      </c>
      <c r="J777" s="2"/>
      <c r="K777" s="2"/>
      <c r="L777" s="2"/>
      <c r="M777" s="2"/>
      <c r="N777" s="2"/>
      <c r="O777" s="2"/>
      <c r="P777" s="2"/>
      <c r="Q777" s="2"/>
      <c r="R777" s="2"/>
      <c r="S777" s="2"/>
      <c r="T777" s="2"/>
      <c r="U777" s="2"/>
      <c r="V777" s="2"/>
      <c r="W777" s="2"/>
    </row>
    <row r="778" spans="1:23" ht="75" customHeight="1" x14ac:dyDescent="0.15">
      <c r="A778" s="2">
        <v>928</v>
      </c>
      <c r="B778" s="2" t="s">
        <v>863</v>
      </c>
      <c r="C778" s="2" t="s">
        <v>864</v>
      </c>
      <c r="D778" s="2" t="s">
        <v>865</v>
      </c>
      <c r="E778" s="5">
        <v>41894</v>
      </c>
      <c r="F778" s="5">
        <v>41894</v>
      </c>
      <c r="G778" s="2"/>
      <c r="H778" s="2"/>
      <c r="I778" s="2" t="b">
        <f t="shared" si="3"/>
        <v>1</v>
      </c>
      <c r="J778" s="2"/>
      <c r="K778" s="2"/>
      <c r="L778" s="2"/>
      <c r="M778" s="2"/>
      <c r="N778" s="2"/>
      <c r="O778" s="2"/>
      <c r="P778" s="2"/>
      <c r="Q778" s="2"/>
      <c r="R778" s="2"/>
      <c r="S778" s="2"/>
      <c r="T778" s="2"/>
      <c r="U778" s="2"/>
      <c r="V778" s="2"/>
      <c r="W778" s="2"/>
    </row>
    <row r="779" spans="1:23" ht="75" customHeight="1" x14ac:dyDescent="0.15">
      <c r="A779" s="2">
        <v>930</v>
      </c>
      <c r="B779" s="2" t="s">
        <v>863</v>
      </c>
      <c r="C779" s="2" t="s">
        <v>864</v>
      </c>
      <c r="D779" s="2" t="s">
        <v>866</v>
      </c>
      <c r="E779" s="6">
        <v>37577</v>
      </c>
      <c r="F779" s="6">
        <v>37577</v>
      </c>
      <c r="G779" s="2"/>
      <c r="H779" s="2"/>
      <c r="I779" s="2" t="b">
        <f t="shared" si="3"/>
        <v>1</v>
      </c>
      <c r="J779" s="2"/>
      <c r="K779" s="2"/>
      <c r="L779" s="2"/>
      <c r="M779" s="2"/>
      <c r="N779" s="2"/>
      <c r="O779" s="2"/>
      <c r="P779" s="2"/>
      <c r="Q779" s="2"/>
      <c r="R779" s="2"/>
      <c r="S779" s="2"/>
      <c r="T779" s="2"/>
      <c r="U779" s="2"/>
      <c r="V779" s="2"/>
      <c r="W779" s="2"/>
    </row>
    <row r="780" spans="1:23" ht="75" customHeight="1" x14ac:dyDescent="0.15">
      <c r="A780" s="2">
        <v>931</v>
      </c>
      <c r="B780" s="2" t="s">
        <v>863</v>
      </c>
      <c r="C780" s="2" t="s">
        <v>864</v>
      </c>
      <c r="D780" s="2" t="s">
        <v>867</v>
      </c>
      <c r="E780" s="5">
        <v>40988</v>
      </c>
      <c r="F780" s="5">
        <v>40988</v>
      </c>
      <c r="G780" s="2"/>
      <c r="H780" s="2"/>
      <c r="I780" s="2" t="b">
        <f t="shared" si="3"/>
        <v>1</v>
      </c>
      <c r="J780" s="2"/>
      <c r="K780" s="2"/>
      <c r="L780" s="2"/>
      <c r="M780" s="2"/>
      <c r="N780" s="2"/>
      <c r="O780" s="2"/>
      <c r="P780" s="2"/>
      <c r="Q780" s="2"/>
      <c r="R780" s="2"/>
      <c r="S780" s="2"/>
      <c r="T780" s="2"/>
      <c r="U780" s="2"/>
      <c r="V780" s="2"/>
      <c r="W780" s="2"/>
    </row>
    <row r="781" spans="1:23" ht="75" customHeight="1" x14ac:dyDescent="0.15">
      <c r="A781" s="2">
        <v>932</v>
      </c>
      <c r="B781" s="2" t="s">
        <v>863</v>
      </c>
      <c r="C781" s="2" t="s">
        <v>864</v>
      </c>
      <c r="D781" s="2" t="s">
        <v>868</v>
      </c>
      <c r="E781" s="6">
        <v>45217</v>
      </c>
      <c r="F781" s="6">
        <v>45217</v>
      </c>
      <c r="G781" s="2"/>
      <c r="H781" s="2"/>
      <c r="I781" s="2" t="b">
        <f t="shared" si="3"/>
        <v>1</v>
      </c>
      <c r="J781" s="2"/>
      <c r="K781" s="2"/>
      <c r="L781" s="2"/>
      <c r="M781" s="2"/>
      <c r="N781" s="2"/>
      <c r="O781" s="2"/>
      <c r="P781" s="2"/>
      <c r="Q781" s="2"/>
      <c r="R781" s="2"/>
      <c r="S781" s="2"/>
      <c r="T781" s="2"/>
      <c r="U781" s="2"/>
      <c r="V781" s="2"/>
      <c r="W781" s="2"/>
    </row>
    <row r="782" spans="1:23" ht="75" customHeight="1" x14ac:dyDescent="0.15">
      <c r="A782" s="2">
        <v>933</v>
      </c>
      <c r="B782" s="2" t="s">
        <v>863</v>
      </c>
      <c r="C782" s="2" t="s">
        <v>864</v>
      </c>
      <c r="D782" s="2" t="s">
        <v>869</v>
      </c>
      <c r="E782" s="6">
        <v>41223</v>
      </c>
      <c r="F782" s="6">
        <v>41223</v>
      </c>
      <c r="G782" s="2"/>
      <c r="H782" s="2"/>
      <c r="I782" s="2" t="b">
        <f t="shared" si="3"/>
        <v>1</v>
      </c>
      <c r="J782" s="2"/>
      <c r="K782" s="2"/>
      <c r="L782" s="2"/>
      <c r="M782" s="2"/>
      <c r="N782" s="2"/>
      <c r="O782" s="2"/>
      <c r="P782" s="2"/>
      <c r="Q782" s="2"/>
      <c r="R782" s="2"/>
      <c r="S782" s="2"/>
      <c r="T782" s="2"/>
      <c r="U782" s="2"/>
      <c r="V782" s="2"/>
      <c r="W782" s="2"/>
    </row>
    <row r="783" spans="1:23" ht="75" customHeight="1" x14ac:dyDescent="0.15">
      <c r="A783" s="2">
        <v>934</v>
      </c>
      <c r="B783" s="2" t="s">
        <v>863</v>
      </c>
      <c r="C783" s="2" t="s">
        <v>864</v>
      </c>
      <c r="D783" s="2" t="s">
        <v>870</v>
      </c>
      <c r="E783" s="5">
        <v>44254</v>
      </c>
      <c r="F783" s="5">
        <v>44254</v>
      </c>
      <c r="G783" s="2"/>
      <c r="H783" s="2"/>
      <c r="I783" s="2" t="b">
        <f t="shared" si="3"/>
        <v>1</v>
      </c>
      <c r="J783" s="2"/>
      <c r="K783" s="2"/>
      <c r="L783" s="2"/>
      <c r="M783" s="2"/>
      <c r="N783" s="2"/>
      <c r="O783" s="2"/>
      <c r="P783" s="2"/>
      <c r="Q783" s="2"/>
      <c r="R783" s="2"/>
      <c r="S783" s="2"/>
      <c r="T783" s="2"/>
      <c r="U783" s="2"/>
      <c r="V783" s="2"/>
      <c r="W783" s="2"/>
    </row>
    <row r="784" spans="1:23" ht="75" customHeight="1" x14ac:dyDescent="0.15">
      <c r="A784" s="2">
        <v>935</v>
      </c>
      <c r="B784" s="2" t="s">
        <v>863</v>
      </c>
      <c r="C784" s="2" t="s">
        <v>864</v>
      </c>
      <c r="D784" s="2" t="s">
        <v>871</v>
      </c>
      <c r="E784" s="5">
        <v>39290</v>
      </c>
      <c r="F784" s="5">
        <v>39290</v>
      </c>
      <c r="G784" s="2"/>
      <c r="H784" s="2"/>
      <c r="I784" s="2" t="b">
        <f t="shared" si="3"/>
        <v>1</v>
      </c>
      <c r="J784" s="2"/>
      <c r="K784" s="2"/>
      <c r="L784" s="2"/>
      <c r="M784" s="2"/>
      <c r="N784" s="2"/>
      <c r="O784" s="2"/>
      <c r="P784" s="2"/>
      <c r="Q784" s="2"/>
      <c r="R784" s="2"/>
      <c r="S784" s="2"/>
      <c r="T784" s="2"/>
      <c r="U784" s="2"/>
      <c r="V784" s="2"/>
      <c r="W784" s="2"/>
    </row>
    <row r="785" spans="1:23" ht="75" customHeight="1" x14ac:dyDescent="0.15">
      <c r="A785" s="2">
        <v>936</v>
      </c>
      <c r="B785" s="2" t="s">
        <v>863</v>
      </c>
      <c r="C785" s="2" t="s">
        <v>864</v>
      </c>
      <c r="D785" s="2" t="s">
        <v>872</v>
      </c>
      <c r="E785" s="5">
        <v>44477</v>
      </c>
      <c r="F785" s="5">
        <v>44477</v>
      </c>
      <c r="G785" s="2"/>
      <c r="H785" s="2"/>
      <c r="I785" s="2" t="b">
        <f t="shared" si="3"/>
        <v>1</v>
      </c>
      <c r="J785" s="2"/>
      <c r="K785" s="2"/>
      <c r="L785" s="2"/>
      <c r="M785" s="2"/>
      <c r="N785" s="2"/>
      <c r="O785" s="2"/>
      <c r="P785" s="2"/>
      <c r="Q785" s="2"/>
      <c r="R785" s="2"/>
      <c r="S785" s="2"/>
      <c r="T785" s="2"/>
      <c r="U785" s="2"/>
      <c r="V785" s="2"/>
      <c r="W785" s="2"/>
    </row>
    <row r="786" spans="1:23" ht="75" customHeight="1" x14ac:dyDescent="0.15">
      <c r="A786" s="2">
        <v>937</v>
      </c>
      <c r="B786" s="2" t="s">
        <v>863</v>
      </c>
      <c r="C786" s="2" t="s">
        <v>864</v>
      </c>
      <c r="D786" s="2" t="s">
        <v>873</v>
      </c>
      <c r="E786" s="5">
        <v>39417</v>
      </c>
      <c r="F786" s="5">
        <v>39417</v>
      </c>
      <c r="G786" s="2"/>
      <c r="H786" s="2"/>
      <c r="I786" s="2" t="b">
        <f t="shared" si="3"/>
        <v>1</v>
      </c>
      <c r="J786" s="2"/>
      <c r="K786" s="2"/>
      <c r="L786" s="2"/>
      <c r="M786" s="2"/>
      <c r="N786" s="2"/>
      <c r="O786" s="2"/>
      <c r="P786" s="2"/>
      <c r="Q786" s="2"/>
      <c r="R786" s="2"/>
      <c r="S786" s="2"/>
      <c r="T786" s="2"/>
      <c r="U786" s="2"/>
      <c r="V786" s="2"/>
      <c r="W786" s="2"/>
    </row>
    <row r="787" spans="1:23" ht="75" customHeight="1" x14ac:dyDescent="0.15">
      <c r="A787" s="2">
        <v>938</v>
      </c>
      <c r="B787" s="2" t="s">
        <v>863</v>
      </c>
      <c r="C787" s="2" t="s">
        <v>864</v>
      </c>
      <c r="D787" s="2" t="s">
        <v>874</v>
      </c>
      <c r="E787" s="5">
        <v>39918</v>
      </c>
      <c r="F787" s="5">
        <v>39918</v>
      </c>
      <c r="G787" s="2"/>
      <c r="H787" s="2"/>
      <c r="I787" s="2" t="b">
        <f t="shared" si="3"/>
        <v>1</v>
      </c>
      <c r="J787" s="2"/>
      <c r="K787" s="2"/>
      <c r="L787" s="2"/>
      <c r="M787" s="2"/>
      <c r="N787" s="2"/>
      <c r="O787" s="2"/>
      <c r="P787" s="2"/>
      <c r="Q787" s="2"/>
      <c r="R787" s="2"/>
      <c r="S787" s="2"/>
      <c r="T787" s="2"/>
      <c r="U787" s="2"/>
      <c r="V787" s="2"/>
      <c r="W787" s="2"/>
    </row>
    <row r="788" spans="1:23" ht="75" customHeight="1" x14ac:dyDescent="0.15">
      <c r="A788" s="2">
        <v>939</v>
      </c>
      <c r="B788" s="2" t="s">
        <v>863</v>
      </c>
      <c r="C788" s="2" t="s">
        <v>864</v>
      </c>
      <c r="D788" s="2" t="s">
        <v>875</v>
      </c>
      <c r="E788" s="5">
        <v>38797</v>
      </c>
      <c r="F788" s="5">
        <v>38797</v>
      </c>
      <c r="G788" s="2"/>
      <c r="H788" s="2"/>
      <c r="I788" s="2" t="b">
        <f t="shared" si="3"/>
        <v>1</v>
      </c>
      <c r="J788" s="2"/>
      <c r="K788" s="2"/>
      <c r="L788" s="2"/>
      <c r="M788" s="2"/>
      <c r="N788" s="2"/>
      <c r="O788" s="2"/>
      <c r="P788" s="2"/>
      <c r="Q788" s="2"/>
      <c r="R788" s="2"/>
      <c r="S788" s="2"/>
      <c r="T788" s="2"/>
      <c r="U788" s="2"/>
      <c r="V788" s="2"/>
      <c r="W788" s="2"/>
    </row>
    <row r="789" spans="1:23" ht="75" customHeight="1" x14ac:dyDescent="0.15">
      <c r="A789" s="2">
        <v>940</v>
      </c>
      <c r="B789" s="2" t="s">
        <v>863</v>
      </c>
      <c r="C789" s="2" t="s">
        <v>864</v>
      </c>
      <c r="D789" s="2" t="s">
        <v>876</v>
      </c>
      <c r="E789" s="5">
        <v>44574</v>
      </c>
      <c r="F789" s="5">
        <v>44574</v>
      </c>
      <c r="G789" s="2"/>
      <c r="H789" s="2"/>
      <c r="I789" s="2" t="b">
        <f t="shared" si="3"/>
        <v>1</v>
      </c>
      <c r="J789" s="2"/>
      <c r="K789" s="2"/>
      <c r="L789" s="2"/>
      <c r="M789" s="2"/>
      <c r="N789" s="2"/>
      <c r="O789" s="2"/>
      <c r="P789" s="2"/>
      <c r="Q789" s="2"/>
      <c r="R789" s="2"/>
      <c r="S789" s="2"/>
      <c r="T789" s="2"/>
      <c r="U789" s="2"/>
      <c r="V789" s="2"/>
      <c r="W789" s="2"/>
    </row>
    <row r="790" spans="1:23" ht="75" customHeight="1" x14ac:dyDescent="0.15">
      <c r="A790" s="2">
        <v>941</v>
      </c>
      <c r="B790" s="2" t="s">
        <v>863</v>
      </c>
      <c r="C790" s="2" t="s">
        <v>864</v>
      </c>
      <c r="D790" s="2" t="s">
        <v>877</v>
      </c>
      <c r="E790" s="5">
        <v>37862</v>
      </c>
      <c r="F790" s="5">
        <v>37862</v>
      </c>
      <c r="G790" s="2"/>
      <c r="H790" s="2"/>
      <c r="I790" s="2" t="b">
        <f t="shared" si="3"/>
        <v>1</v>
      </c>
      <c r="J790" s="2"/>
      <c r="K790" s="2"/>
      <c r="L790" s="2"/>
      <c r="M790" s="2"/>
      <c r="N790" s="2"/>
      <c r="O790" s="2"/>
      <c r="P790" s="2"/>
      <c r="Q790" s="2"/>
      <c r="R790" s="2"/>
      <c r="S790" s="2"/>
      <c r="T790" s="2"/>
      <c r="U790" s="2"/>
      <c r="V790" s="2"/>
      <c r="W790" s="2"/>
    </row>
    <row r="791" spans="1:23" ht="75" customHeight="1" x14ac:dyDescent="0.15">
      <c r="A791" s="2">
        <v>943</v>
      </c>
      <c r="B791" s="2" t="s">
        <v>863</v>
      </c>
      <c r="C791" s="2" t="s">
        <v>864</v>
      </c>
      <c r="D791" s="2" t="s">
        <v>878</v>
      </c>
      <c r="E791" s="6">
        <v>41988</v>
      </c>
      <c r="F791" s="6">
        <v>41988</v>
      </c>
      <c r="G791" s="2"/>
      <c r="H791" s="2"/>
      <c r="I791" s="2" t="b">
        <f t="shared" si="3"/>
        <v>1</v>
      </c>
      <c r="J791" s="2"/>
      <c r="K791" s="2"/>
      <c r="L791" s="2"/>
      <c r="M791" s="2"/>
      <c r="N791" s="2"/>
      <c r="O791" s="2"/>
      <c r="P791" s="2"/>
      <c r="Q791" s="2"/>
      <c r="R791" s="2"/>
      <c r="S791" s="2"/>
      <c r="T791" s="2"/>
      <c r="U791" s="2"/>
      <c r="V791" s="2"/>
      <c r="W791" s="2"/>
    </row>
    <row r="792" spans="1:23" ht="75" customHeight="1" x14ac:dyDescent="0.15">
      <c r="A792" s="2">
        <v>944</v>
      </c>
      <c r="B792" s="2" t="s">
        <v>863</v>
      </c>
      <c r="C792" s="2" t="s">
        <v>864</v>
      </c>
      <c r="D792" s="2" t="s">
        <v>879</v>
      </c>
      <c r="E792" s="5">
        <v>45159</v>
      </c>
      <c r="F792" s="5">
        <v>45159</v>
      </c>
      <c r="G792" s="2"/>
      <c r="H792" s="2"/>
      <c r="I792" s="2" t="b">
        <f t="shared" si="3"/>
        <v>1</v>
      </c>
      <c r="J792" s="2"/>
      <c r="K792" s="2"/>
      <c r="L792" s="2"/>
      <c r="M792" s="2"/>
      <c r="N792" s="2"/>
      <c r="O792" s="2"/>
      <c r="P792" s="2"/>
      <c r="Q792" s="2"/>
      <c r="R792" s="2"/>
      <c r="S792" s="2"/>
      <c r="T792" s="2"/>
      <c r="U792" s="2"/>
      <c r="V792" s="2"/>
      <c r="W792" s="2"/>
    </row>
    <row r="793" spans="1:23" ht="75" customHeight="1" x14ac:dyDescent="0.15">
      <c r="A793" s="2">
        <v>945</v>
      </c>
      <c r="B793" s="2" t="s">
        <v>863</v>
      </c>
      <c r="C793" s="2" t="s">
        <v>864</v>
      </c>
      <c r="D793" s="2" t="s">
        <v>880</v>
      </c>
      <c r="E793" s="5">
        <v>40784</v>
      </c>
      <c r="F793" s="5">
        <v>40784</v>
      </c>
      <c r="G793" s="2"/>
      <c r="H793" s="2"/>
      <c r="I793" s="2" t="b">
        <f t="shared" si="3"/>
        <v>1</v>
      </c>
      <c r="J793" s="2"/>
      <c r="K793" s="2"/>
      <c r="L793" s="2"/>
      <c r="M793" s="2"/>
      <c r="N793" s="2"/>
      <c r="O793" s="2"/>
      <c r="P793" s="2"/>
      <c r="Q793" s="2"/>
      <c r="R793" s="2"/>
      <c r="S793" s="2"/>
      <c r="T793" s="2"/>
      <c r="U793" s="2"/>
      <c r="V793" s="2"/>
      <c r="W793" s="2"/>
    </row>
    <row r="794" spans="1:23" ht="75" customHeight="1" x14ac:dyDescent="0.15">
      <c r="A794" s="2">
        <v>946</v>
      </c>
      <c r="B794" s="2" t="s">
        <v>863</v>
      </c>
      <c r="C794" s="2" t="s">
        <v>864</v>
      </c>
      <c r="D794" s="2" t="s">
        <v>881</v>
      </c>
      <c r="E794" s="5">
        <v>37281</v>
      </c>
      <c r="F794" s="5">
        <v>37281</v>
      </c>
      <c r="G794" s="2"/>
      <c r="H794" s="2"/>
      <c r="I794" s="2" t="b">
        <f t="shared" si="3"/>
        <v>1</v>
      </c>
      <c r="J794" s="2"/>
      <c r="K794" s="2"/>
      <c r="L794" s="2"/>
      <c r="M794" s="2"/>
      <c r="N794" s="2"/>
      <c r="O794" s="2"/>
      <c r="P794" s="2"/>
      <c r="Q794" s="2"/>
      <c r="R794" s="2"/>
      <c r="S794" s="2"/>
      <c r="T794" s="2"/>
      <c r="U794" s="2"/>
      <c r="V794" s="2"/>
      <c r="W794" s="2"/>
    </row>
    <row r="795" spans="1:23" ht="75" customHeight="1" x14ac:dyDescent="0.15">
      <c r="A795" s="2">
        <v>947</v>
      </c>
      <c r="B795" s="2" t="s">
        <v>863</v>
      </c>
      <c r="C795" s="2" t="s">
        <v>864</v>
      </c>
      <c r="D795" s="2" t="s">
        <v>882</v>
      </c>
      <c r="E795" s="5">
        <v>39910</v>
      </c>
      <c r="F795" s="5">
        <v>39910</v>
      </c>
      <c r="G795" s="2"/>
      <c r="H795" s="2"/>
      <c r="I795" s="2" t="b">
        <f t="shared" si="3"/>
        <v>1</v>
      </c>
      <c r="J795" s="2"/>
      <c r="K795" s="2"/>
      <c r="L795" s="2"/>
      <c r="M795" s="2"/>
      <c r="N795" s="2"/>
      <c r="O795" s="2"/>
      <c r="P795" s="2"/>
      <c r="Q795" s="2"/>
      <c r="R795" s="2"/>
      <c r="S795" s="2"/>
      <c r="T795" s="2"/>
      <c r="U795" s="2"/>
      <c r="V795" s="2"/>
      <c r="W795" s="2"/>
    </row>
    <row r="796" spans="1:23" ht="75" customHeight="1" x14ac:dyDescent="0.15">
      <c r="A796" s="2">
        <v>948</v>
      </c>
      <c r="B796" s="2" t="s">
        <v>883</v>
      </c>
      <c r="C796" s="2" t="s">
        <v>884</v>
      </c>
      <c r="D796" s="2" t="s">
        <v>885</v>
      </c>
      <c r="E796" s="2">
        <v>53.07</v>
      </c>
      <c r="F796" s="2">
        <v>53.07</v>
      </c>
      <c r="G796" s="2"/>
      <c r="H796" s="2"/>
      <c r="I796" s="2" t="b">
        <f t="shared" si="3"/>
        <v>1</v>
      </c>
      <c r="J796" s="2"/>
      <c r="K796" s="2"/>
      <c r="L796" s="2"/>
      <c r="M796" s="2"/>
      <c r="N796" s="2"/>
      <c r="O796" s="2"/>
      <c r="P796" s="2"/>
      <c r="Q796" s="2"/>
      <c r="R796" s="2"/>
      <c r="S796" s="2"/>
      <c r="T796" s="2"/>
      <c r="U796" s="2"/>
      <c r="V796" s="2"/>
      <c r="W796" s="2"/>
    </row>
    <row r="797" spans="1:23" ht="75" customHeight="1" x14ac:dyDescent="0.15">
      <c r="A797" s="2">
        <v>949</v>
      </c>
      <c r="B797" s="2" t="s">
        <v>883</v>
      </c>
      <c r="C797" s="2" t="s">
        <v>886</v>
      </c>
      <c r="D797" s="2" t="s">
        <v>887</v>
      </c>
      <c r="E797" s="2">
        <v>6.11</v>
      </c>
      <c r="F797" s="2">
        <v>6.11</v>
      </c>
      <c r="G797" s="2"/>
      <c r="H797" s="2"/>
      <c r="I797" s="2" t="b">
        <f t="shared" si="3"/>
        <v>1</v>
      </c>
      <c r="J797" s="2"/>
      <c r="K797" s="2"/>
      <c r="L797" s="2"/>
      <c r="M797" s="2"/>
      <c r="N797" s="2"/>
      <c r="O797" s="2"/>
      <c r="P797" s="2"/>
      <c r="Q797" s="2"/>
      <c r="R797" s="2"/>
      <c r="S797" s="2"/>
      <c r="T797" s="2"/>
      <c r="U797" s="2"/>
      <c r="V797" s="2"/>
      <c r="W797" s="2"/>
    </row>
    <row r="798" spans="1:23" ht="75" customHeight="1" x14ac:dyDescent="0.15">
      <c r="A798" s="2">
        <v>950</v>
      </c>
      <c r="B798" s="2" t="s">
        <v>883</v>
      </c>
      <c r="C798" s="2" t="s">
        <v>888</v>
      </c>
      <c r="D798" s="2" t="s">
        <v>889</v>
      </c>
      <c r="E798" s="2">
        <v>9.6</v>
      </c>
      <c r="F798" s="2">
        <v>9.6</v>
      </c>
      <c r="G798" s="2"/>
      <c r="H798" s="2"/>
      <c r="I798" s="2" t="b">
        <f t="shared" si="3"/>
        <v>1</v>
      </c>
      <c r="J798" s="2"/>
      <c r="K798" s="2"/>
      <c r="L798" s="2"/>
      <c r="M798" s="2"/>
      <c r="N798" s="2"/>
      <c r="O798" s="2"/>
      <c r="P798" s="2"/>
      <c r="Q798" s="2"/>
      <c r="R798" s="2"/>
      <c r="S798" s="2"/>
      <c r="T798" s="2"/>
      <c r="U798" s="2"/>
      <c r="V798" s="2"/>
      <c r="W798" s="2"/>
    </row>
    <row r="799" spans="1:23" ht="75" customHeight="1" x14ac:dyDescent="0.15">
      <c r="A799" s="2">
        <v>951</v>
      </c>
      <c r="B799" s="2" t="s">
        <v>883</v>
      </c>
      <c r="C799" s="2" t="s">
        <v>890</v>
      </c>
      <c r="D799" s="2" t="s">
        <v>891</v>
      </c>
      <c r="E799" s="2">
        <v>6.86</v>
      </c>
      <c r="F799" s="2">
        <v>6.86</v>
      </c>
      <c r="G799" s="2"/>
      <c r="H799" s="2"/>
      <c r="I799" s="2" t="b">
        <f t="shared" si="3"/>
        <v>1</v>
      </c>
      <c r="J799" s="2"/>
      <c r="K799" s="2"/>
      <c r="L799" s="2"/>
      <c r="M799" s="2"/>
      <c r="N799" s="2"/>
      <c r="O799" s="2"/>
      <c r="P799" s="2"/>
      <c r="Q799" s="2"/>
      <c r="R799" s="2"/>
      <c r="S799" s="2"/>
      <c r="T799" s="2"/>
      <c r="U799" s="2"/>
      <c r="V799" s="2"/>
      <c r="W799" s="2"/>
    </row>
    <row r="800" spans="1:23" ht="75" customHeight="1" x14ac:dyDescent="0.15">
      <c r="A800" s="2">
        <v>952</v>
      </c>
      <c r="B800" s="2" t="s">
        <v>883</v>
      </c>
      <c r="C800" s="2" t="s">
        <v>892</v>
      </c>
      <c r="D800" s="2" t="s">
        <v>893</v>
      </c>
      <c r="E800" s="2">
        <v>183.21</v>
      </c>
      <c r="F800" s="2">
        <v>183.21</v>
      </c>
      <c r="G800" s="2"/>
      <c r="H800" s="2"/>
      <c r="I800" s="2" t="b">
        <f t="shared" si="3"/>
        <v>1</v>
      </c>
      <c r="J800" s="2"/>
      <c r="K800" s="2"/>
      <c r="L800" s="2"/>
      <c r="M800" s="2"/>
      <c r="N800" s="2"/>
      <c r="O800" s="2"/>
      <c r="P800" s="2"/>
      <c r="Q800" s="2"/>
      <c r="R800" s="2"/>
      <c r="S800" s="2"/>
      <c r="T800" s="2"/>
      <c r="U800" s="2"/>
      <c r="V800" s="2"/>
      <c r="W800" s="2"/>
    </row>
    <row r="801" spans="1:23" ht="75" customHeight="1" x14ac:dyDescent="0.15">
      <c r="A801" s="2">
        <v>953</v>
      </c>
      <c r="B801" s="2" t="s">
        <v>883</v>
      </c>
      <c r="C801" s="2" t="s">
        <v>894</v>
      </c>
      <c r="D801" s="2" t="s">
        <v>895</v>
      </c>
      <c r="E801" s="2">
        <v>26.33</v>
      </c>
      <c r="F801" s="2">
        <v>26.33</v>
      </c>
      <c r="G801" s="2"/>
      <c r="H801" s="2"/>
      <c r="I801" s="2" t="b">
        <f t="shared" si="3"/>
        <v>1</v>
      </c>
      <c r="J801" s="2"/>
      <c r="K801" s="2"/>
      <c r="L801" s="2"/>
      <c r="M801" s="2"/>
      <c r="N801" s="2"/>
      <c r="O801" s="2"/>
      <c r="P801" s="2"/>
      <c r="Q801" s="2"/>
      <c r="R801" s="2"/>
      <c r="S801" s="2"/>
      <c r="T801" s="2"/>
      <c r="U801" s="2"/>
      <c r="V801" s="2"/>
      <c r="W801" s="2"/>
    </row>
    <row r="802" spans="1:23" ht="75" customHeight="1" x14ac:dyDescent="0.15">
      <c r="A802" s="2">
        <v>954</v>
      </c>
      <c r="B802" s="2" t="s">
        <v>883</v>
      </c>
      <c r="C802" s="2" t="s">
        <v>896</v>
      </c>
      <c r="D802" s="2" t="s">
        <v>897</v>
      </c>
      <c r="E802" s="2">
        <v>4.88</v>
      </c>
      <c r="F802" s="2">
        <v>4.88</v>
      </c>
      <c r="G802" s="2"/>
      <c r="H802" s="2"/>
      <c r="I802" s="2" t="b">
        <f t="shared" si="3"/>
        <v>1</v>
      </c>
      <c r="J802" s="2"/>
      <c r="K802" s="2"/>
      <c r="L802" s="2"/>
      <c r="M802" s="2"/>
      <c r="N802" s="2"/>
      <c r="O802" s="2"/>
      <c r="P802" s="2"/>
      <c r="Q802" s="2"/>
      <c r="R802" s="2"/>
      <c r="S802" s="2"/>
      <c r="T802" s="2"/>
      <c r="U802" s="2"/>
      <c r="V802" s="2"/>
      <c r="W802" s="2"/>
    </row>
    <row r="803" spans="1:23" ht="75" customHeight="1" x14ac:dyDescent="0.15">
      <c r="A803" s="2">
        <v>956</v>
      </c>
      <c r="B803" s="2" t="s">
        <v>883</v>
      </c>
      <c r="C803" s="2" t="s">
        <v>898</v>
      </c>
      <c r="D803" s="2" t="s">
        <v>899</v>
      </c>
      <c r="E803" s="2">
        <v>38.67</v>
      </c>
      <c r="F803" s="2">
        <v>38.67</v>
      </c>
      <c r="G803" s="2"/>
      <c r="H803" s="2"/>
      <c r="I803" s="2" t="b">
        <f t="shared" si="3"/>
        <v>1</v>
      </c>
      <c r="J803" s="2"/>
      <c r="K803" s="2"/>
      <c r="L803" s="2"/>
      <c r="M803" s="2"/>
      <c r="N803" s="2"/>
      <c r="O803" s="2"/>
      <c r="P803" s="2"/>
      <c r="Q803" s="2"/>
      <c r="R803" s="2"/>
      <c r="S803" s="2"/>
      <c r="T803" s="2"/>
      <c r="U803" s="2"/>
      <c r="V803" s="2"/>
      <c r="W803" s="2"/>
    </row>
    <row r="804" spans="1:23" ht="75" customHeight="1" x14ac:dyDescent="0.15">
      <c r="A804" s="2">
        <v>957</v>
      </c>
      <c r="B804" s="2" t="s">
        <v>883</v>
      </c>
      <c r="C804" s="2" t="s">
        <v>894</v>
      </c>
      <c r="D804" s="2" t="s">
        <v>900</v>
      </c>
      <c r="E804" s="2">
        <v>7.53</v>
      </c>
      <c r="F804" s="2">
        <v>7.53</v>
      </c>
      <c r="G804" s="2"/>
      <c r="H804" s="2"/>
      <c r="I804" s="2" t="b">
        <f t="shared" si="3"/>
        <v>1</v>
      </c>
      <c r="J804" s="2"/>
      <c r="K804" s="2"/>
      <c r="L804" s="2"/>
      <c r="M804" s="2"/>
      <c r="N804" s="2"/>
      <c r="O804" s="2"/>
      <c r="P804" s="2"/>
      <c r="Q804" s="2"/>
      <c r="R804" s="2"/>
      <c r="S804" s="2"/>
      <c r="T804" s="2"/>
      <c r="U804" s="2"/>
      <c r="V804" s="2"/>
      <c r="W804" s="2"/>
    </row>
    <row r="805" spans="1:23" ht="75" customHeight="1" x14ac:dyDescent="0.15">
      <c r="A805" s="2">
        <v>958</v>
      </c>
      <c r="B805" s="2" t="s">
        <v>883</v>
      </c>
      <c r="C805" s="2" t="s">
        <v>894</v>
      </c>
      <c r="D805" s="2" t="s">
        <v>901</v>
      </c>
      <c r="E805" s="2">
        <v>59.8</v>
      </c>
      <c r="F805" s="2">
        <v>59.8</v>
      </c>
      <c r="G805" s="2"/>
      <c r="H805" s="2"/>
      <c r="I805" s="2" t="b">
        <f t="shared" si="3"/>
        <v>1</v>
      </c>
      <c r="J805" s="2"/>
      <c r="K805" s="2"/>
      <c r="L805" s="2"/>
      <c r="M805" s="2"/>
      <c r="N805" s="2"/>
      <c r="O805" s="2"/>
      <c r="P805" s="2"/>
      <c r="Q805" s="2"/>
      <c r="R805" s="2"/>
      <c r="S805" s="2"/>
      <c r="T805" s="2"/>
      <c r="U805" s="2"/>
      <c r="V805" s="2"/>
      <c r="W805" s="2"/>
    </row>
    <row r="806" spans="1:23" ht="75" customHeight="1" x14ac:dyDescent="0.15">
      <c r="A806" s="2">
        <v>959</v>
      </c>
      <c r="B806" s="2" t="s">
        <v>883</v>
      </c>
      <c r="C806" s="2" t="s">
        <v>892</v>
      </c>
      <c r="D806" s="2" t="s">
        <v>902</v>
      </c>
      <c r="E806" s="2">
        <v>233.61</v>
      </c>
      <c r="F806" s="2">
        <v>233.61</v>
      </c>
      <c r="G806" s="2"/>
      <c r="H806" s="2"/>
      <c r="I806" s="2" t="b">
        <f t="shared" si="3"/>
        <v>1</v>
      </c>
      <c r="J806" s="2"/>
      <c r="K806" s="2"/>
      <c r="L806" s="2"/>
      <c r="M806" s="2"/>
      <c r="N806" s="2"/>
      <c r="O806" s="2"/>
      <c r="P806" s="2"/>
      <c r="Q806" s="2"/>
      <c r="R806" s="2"/>
      <c r="S806" s="2"/>
      <c r="T806" s="2"/>
      <c r="U806" s="2"/>
      <c r="V806" s="2"/>
      <c r="W806" s="2"/>
    </row>
    <row r="807" spans="1:23" ht="75" customHeight="1" x14ac:dyDescent="0.15">
      <c r="A807" s="2">
        <v>961</v>
      </c>
      <c r="B807" s="2" t="s">
        <v>883</v>
      </c>
      <c r="C807" s="2" t="s">
        <v>892</v>
      </c>
      <c r="D807" s="2" t="s">
        <v>903</v>
      </c>
      <c r="E807" s="2">
        <v>188.28</v>
      </c>
      <c r="F807" s="2">
        <v>188.28</v>
      </c>
      <c r="G807" s="2"/>
      <c r="H807" s="2"/>
      <c r="I807" s="2" t="b">
        <f t="shared" si="3"/>
        <v>1</v>
      </c>
      <c r="J807" s="2"/>
      <c r="K807" s="2"/>
      <c r="L807" s="2"/>
      <c r="M807" s="2"/>
      <c r="N807" s="2"/>
      <c r="O807" s="2"/>
      <c r="P807" s="2"/>
      <c r="Q807" s="2"/>
      <c r="R807" s="2"/>
      <c r="S807" s="2"/>
      <c r="T807" s="2"/>
      <c r="U807" s="2"/>
      <c r="V807" s="2"/>
      <c r="W807" s="2"/>
    </row>
    <row r="808" spans="1:23" ht="75" customHeight="1" x14ac:dyDescent="0.15">
      <c r="A808" s="2">
        <v>962</v>
      </c>
      <c r="B808" s="2" t="s">
        <v>883</v>
      </c>
      <c r="C808" s="2" t="s">
        <v>904</v>
      </c>
      <c r="D808" s="2" t="s">
        <v>905</v>
      </c>
      <c r="E808" s="2">
        <v>102.33</v>
      </c>
      <c r="F808" s="2">
        <v>102.33</v>
      </c>
      <c r="G808" s="2"/>
      <c r="H808" s="2"/>
      <c r="I808" s="2" t="b">
        <f t="shared" si="3"/>
        <v>1</v>
      </c>
      <c r="J808" s="2"/>
      <c r="K808" s="2"/>
      <c r="L808" s="2"/>
      <c r="M808" s="2"/>
      <c r="N808" s="2"/>
      <c r="O808" s="2"/>
      <c r="P808" s="2"/>
      <c r="Q808" s="2"/>
      <c r="R808" s="2"/>
      <c r="S808" s="2"/>
      <c r="T808" s="2"/>
      <c r="U808" s="2"/>
      <c r="V808" s="2"/>
      <c r="W808" s="2"/>
    </row>
    <row r="809" spans="1:23" ht="75" customHeight="1" x14ac:dyDescent="0.15">
      <c r="A809" s="2">
        <v>963</v>
      </c>
      <c r="B809" s="2" t="s">
        <v>883</v>
      </c>
      <c r="C809" s="2" t="s">
        <v>906</v>
      </c>
      <c r="D809" s="2" t="s">
        <v>907</v>
      </c>
      <c r="E809" s="2">
        <v>3.36</v>
      </c>
      <c r="F809" s="2">
        <v>3.36</v>
      </c>
      <c r="G809" s="2"/>
      <c r="H809" s="2"/>
      <c r="I809" s="2" t="b">
        <f t="shared" si="3"/>
        <v>1</v>
      </c>
      <c r="J809" s="2"/>
      <c r="K809" s="2"/>
      <c r="L809" s="2"/>
      <c r="M809" s="2"/>
      <c r="N809" s="2"/>
      <c r="O809" s="2"/>
      <c r="P809" s="2"/>
      <c r="Q809" s="2"/>
      <c r="R809" s="2"/>
      <c r="S809" s="2"/>
      <c r="T809" s="2"/>
      <c r="U809" s="2"/>
      <c r="V809" s="2"/>
      <c r="W809" s="2"/>
    </row>
    <row r="810" spans="1:23" ht="75" customHeight="1" x14ac:dyDescent="0.15">
      <c r="A810" s="2">
        <v>964</v>
      </c>
      <c r="B810" s="2" t="s">
        <v>883</v>
      </c>
      <c r="C810" s="2" t="s">
        <v>908</v>
      </c>
      <c r="D810" s="2" t="s">
        <v>909</v>
      </c>
      <c r="E810" s="2">
        <v>46.67</v>
      </c>
      <c r="F810" s="2">
        <v>46.67</v>
      </c>
      <c r="G810" s="2"/>
      <c r="H810" s="2"/>
      <c r="I810" s="2" t="b">
        <f t="shared" si="3"/>
        <v>1</v>
      </c>
      <c r="J810" s="2"/>
      <c r="K810" s="2"/>
      <c r="L810" s="2"/>
      <c r="M810" s="2"/>
      <c r="N810" s="2"/>
      <c r="O810" s="2"/>
      <c r="P810" s="2"/>
      <c r="Q810" s="2"/>
      <c r="R810" s="2"/>
      <c r="S810" s="2"/>
      <c r="T810" s="2"/>
      <c r="U810" s="2"/>
      <c r="V810" s="2"/>
      <c r="W810" s="2"/>
    </row>
    <row r="811" spans="1:23" ht="75" customHeight="1" x14ac:dyDescent="0.15">
      <c r="A811" s="2">
        <v>965</v>
      </c>
      <c r="B811" s="2" t="s">
        <v>883</v>
      </c>
      <c r="C811" s="2" t="s">
        <v>910</v>
      </c>
      <c r="D811" s="2" t="s">
        <v>911</v>
      </c>
      <c r="E811" s="2">
        <v>263.68</v>
      </c>
      <c r="F811" s="2">
        <v>263.68</v>
      </c>
      <c r="G811" s="2"/>
      <c r="H811" s="2"/>
      <c r="I811" s="2" t="b">
        <f t="shared" si="3"/>
        <v>1</v>
      </c>
      <c r="J811" s="2"/>
      <c r="K811" s="2"/>
      <c r="L811" s="2"/>
      <c r="M811" s="2"/>
      <c r="N811" s="2"/>
      <c r="O811" s="2"/>
      <c r="P811" s="2"/>
      <c r="Q811" s="2"/>
      <c r="R811" s="2"/>
      <c r="S811" s="2"/>
      <c r="T811" s="2"/>
      <c r="U811" s="2"/>
      <c r="V811" s="2"/>
      <c r="W811" s="2"/>
    </row>
    <row r="812" spans="1:23" ht="75" customHeight="1" x14ac:dyDescent="0.15">
      <c r="A812" s="2">
        <v>966</v>
      </c>
      <c r="B812" s="2" t="s">
        <v>883</v>
      </c>
      <c r="C812" s="2" t="s">
        <v>908</v>
      </c>
      <c r="D812" s="2" t="s">
        <v>912</v>
      </c>
      <c r="E812" s="2">
        <v>38.130000000000003</v>
      </c>
      <c r="F812" s="2">
        <v>38.130000000000003</v>
      </c>
      <c r="G812" s="2"/>
      <c r="H812" s="2"/>
      <c r="I812" s="2" t="b">
        <f t="shared" si="3"/>
        <v>1</v>
      </c>
      <c r="J812" s="2"/>
      <c r="K812" s="2"/>
      <c r="L812" s="2"/>
      <c r="M812" s="2"/>
      <c r="N812" s="2"/>
      <c r="O812" s="2"/>
      <c r="P812" s="2"/>
      <c r="Q812" s="2"/>
      <c r="R812" s="2"/>
      <c r="S812" s="2"/>
      <c r="T812" s="2"/>
      <c r="U812" s="2"/>
      <c r="V812" s="2"/>
      <c r="W812" s="2"/>
    </row>
    <row r="813" spans="1:23" ht="75" customHeight="1" x14ac:dyDescent="0.15">
      <c r="A813" s="2">
        <v>967</v>
      </c>
      <c r="B813" s="2" t="s">
        <v>883</v>
      </c>
      <c r="C813" s="2" t="s">
        <v>913</v>
      </c>
      <c r="D813" s="2" t="s">
        <v>914</v>
      </c>
      <c r="E813" s="2">
        <v>186.93</v>
      </c>
      <c r="F813" s="2">
        <v>186.93</v>
      </c>
      <c r="G813" s="2"/>
      <c r="H813" s="2"/>
      <c r="I813" s="2" t="b">
        <f t="shared" si="3"/>
        <v>1</v>
      </c>
      <c r="J813" s="2"/>
      <c r="K813" s="2"/>
      <c r="L813" s="2"/>
      <c r="M813" s="2"/>
      <c r="N813" s="2"/>
      <c r="O813" s="2"/>
      <c r="P813" s="2"/>
      <c r="Q813" s="2"/>
      <c r="R813" s="2"/>
      <c r="S813" s="2"/>
      <c r="T813" s="2"/>
      <c r="U813" s="2"/>
      <c r="V813" s="2"/>
      <c r="W813" s="2"/>
    </row>
    <row r="814" spans="1:23" ht="75" customHeight="1" x14ac:dyDescent="0.15">
      <c r="A814" s="2">
        <v>968</v>
      </c>
      <c r="B814" s="2" t="s">
        <v>915</v>
      </c>
      <c r="C814" s="2" t="s">
        <v>916</v>
      </c>
      <c r="D814" s="2" t="s">
        <v>917</v>
      </c>
      <c r="E814" s="2">
        <v>73.760000000000005</v>
      </c>
      <c r="F814" s="2">
        <v>73.760000000000005</v>
      </c>
      <c r="G814" s="2"/>
      <c r="H814" s="2"/>
      <c r="I814" s="2" t="b">
        <f t="shared" si="3"/>
        <v>1</v>
      </c>
      <c r="J814" s="2"/>
      <c r="K814" s="2"/>
      <c r="L814" s="2"/>
      <c r="M814" s="2"/>
      <c r="N814" s="2"/>
      <c r="O814" s="2"/>
      <c r="P814" s="2"/>
      <c r="Q814" s="2"/>
      <c r="R814" s="2"/>
      <c r="S814" s="2"/>
      <c r="T814" s="2"/>
      <c r="U814" s="2"/>
      <c r="V814" s="2"/>
      <c r="W814" s="2"/>
    </row>
    <row r="815" spans="1:23" ht="75" customHeight="1" x14ac:dyDescent="0.15">
      <c r="A815" s="2">
        <v>969</v>
      </c>
      <c r="B815" s="2" t="s">
        <v>915</v>
      </c>
      <c r="C815" s="2" t="s">
        <v>916</v>
      </c>
      <c r="D815" s="2" t="s">
        <v>918</v>
      </c>
      <c r="E815" s="2">
        <v>68.83</v>
      </c>
      <c r="F815" s="2">
        <v>68.83</v>
      </c>
      <c r="G815" s="2"/>
      <c r="H815" s="2"/>
      <c r="I815" s="2" t="b">
        <f t="shared" si="3"/>
        <v>1</v>
      </c>
      <c r="J815" s="2"/>
      <c r="K815" s="2"/>
      <c r="L815" s="2"/>
      <c r="M815" s="2"/>
      <c r="N815" s="2"/>
      <c r="O815" s="2"/>
      <c r="P815" s="2"/>
      <c r="Q815" s="2"/>
      <c r="R815" s="2"/>
      <c r="S815" s="2"/>
      <c r="T815" s="2"/>
      <c r="U815" s="2"/>
      <c r="V815" s="2"/>
      <c r="W815" s="2"/>
    </row>
    <row r="816" spans="1:23" ht="75" customHeight="1" x14ac:dyDescent="0.15">
      <c r="A816" s="2">
        <v>970</v>
      </c>
      <c r="B816" s="2" t="s">
        <v>915</v>
      </c>
      <c r="C816" s="2" t="s">
        <v>916</v>
      </c>
      <c r="D816" s="2" t="s">
        <v>919</v>
      </c>
      <c r="E816" s="2">
        <v>77.91</v>
      </c>
      <c r="F816" s="2">
        <v>77.91</v>
      </c>
      <c r="G816" s="2"/>
      <c r="H816" s="2"/>
      <c r="I816" s="2" t="b">
        <f t="shared" si="3"/>
        <v>1</v>
      </c>
      <c r="J816" s="2"/>
      <c r="K816" s="2"/>
      <c r="L816" s="2"/>
      <c r="M816" s="2"/>
      <c r="N816" s="2"/>
      <c r="O816" s="2"/>
      <c r="P816" s="2"/>
      <c r="Q816" s="2"/>
      <c r="R816" s="2"/>
      <c r="S816" s="2"/>
      <c r="T816" s="2"/>
      <c r="U816" s="2"/>
      <c r="V816" s="2"/>
      <c r="W816" s="2"/>
    </row>
    <row r="817" spans="1:23" ht="75" customHeight="1" x14ac:dyDescent="0.15">
      <c r="A817" s="2">
        <v>971</v>
      </c>
      <c r="B817" s="2" t="s">
        <v>915</v>
      </c>
      <c r="C817" s="2" t="s">
        <v>916</v>
      </c>
      <c r="D817" s="2" t="s">
        <v>920</v>
      </c>
      <c r="E817" s="2">
        <v>97.02</v>
      </c>
      <c r="F817" s="2">
        <v>97.02</v>
      </c>
      <c r="G817" s="2"/>
      <c r="H817" s="2"/>
      <c r="I817" s="2" t="b">
        <f t="shared" si="3"/>
        <v>1</v>
      </c>
      <c r="J817" s="2"/>
      <c r="K817" s="2"/>
      <c r="L817" s="2"/>
      <c r="M817" s="2"/>
      <c r="N817" s="2"/>
      <c r="O817" s="2"/>
      <c r="P817" s="2"/>
      <c r="Q817" s="2"/>
      <c r="R817" s="2"/>
      <c r="S817" s="2"/>
      <c r="T817" s="2"/>
      <c r="U817" s="2"/>
      <c r="V817" s="2"/>
      <c r="W817" s="2"/>
    </row>
    <row r="818" spans="1:23" ht="75" customHeight="1" x14ac:dyDescent="0.15">
      <c r="A818" s="2">
        <v>972</v>
      </c>
      <c r="B818" s="2" t="s">
        <v>915</v>
      </c>
      <c r="C818" s="2" t="s">
        <v>916</v>
      </c>
      <c r="D818" s="2" t="s">
        <v>921</v>
      </c>
      <c r="E818" s="2">
        <v>73.430000000000007</v>
      </c>
      <c r="F818" s="2">
        <v>73.430000000000007</v>
      </c>
      <c r="G818" s="2"/>
      <c r="H818" s="2"/>
      <c r="I818" s="2" t="b">
        <f t="shared" si="3"/>
        <v>1</v>
      </c>
      <c r="J818" s="2"/>
      <c r="K818" s="2"/>
      <c r="L818" s="2"/>
      <c r="M818" s="2"/>
      <c r="N818" s="2"/>
      <c r="O818" s="2"/>
      <c r="P818" s="2"/>
      <c r="Q818" s="2"/>
      <c r="R818" s="2"/>
      <c r="S818" s="2"/>
      <c r="T818" s="2"/>
      <c r="U818" s="2"/>
      <c r="V818" s="2"/>
      <c r="W818" s="2"/>
    </row>
    <row r="819" spans="1:23" ht="75" customHeight="1" x14ac:dyDescent="0.15">
      <c r="A819" s="2">
        <v>973</v>
      </c>
      <c r="B819" s="2" t="s">
        <v>915</v>
      </c>
      <c r="C819" s="2" t="s">
        <v>916</v>
      </c>
      <c r="D819" s="2" t="s">
        <v>922</v>
      </c>
      <c r="E819" s="2">
        <v>88.71</v>
      </c>
      <c r="F819" s="2">
        <v>88.71</v>
      </c>
      <c r="G819" s="2"/>
      <c r="H819" s="2"/>
      <c r="I819" s="2" t="b">
        <f t="shared" si="3"/>
        <v>1</v>
      </c>
      <c r="J819" s="2"/>
      <c r="K819" s="2"/>
      <c r="L819" s="2"/>
      <c r="M819" s="2"/>
      <c r="N819" s="2"/>
      <c r="O819" s="2"/>
      <c r="P819" s="2"/>
      <c r="Q819" s="2"/>
      <c r="R819" s="2"/>
      <c r="S819" s="2"/>
      <c r="T819" s="2"/>
      <c r="U819" s="2"/>
      <c r="V819" s="2"/>
      <c r="W819" s="2"/>
    </row>
    <row r="820" spans="1:23" ht="75" customHeight="1" x14ac:dyDescent="0.15">
      <c r="A820" s="2">
        <v>974</v>
      </c>
      <c r="B820" s="2" t="s">
        <v>915</v>
      </c>
      <c r="C820" s="2" t="s">
        <v>916</v>
      </c>
      <c r="D820" s="2" t="s">
        <v>923</v>
      </c>
      <c r="E820" s="2">
        <v>57.41</v>
      </c>
      <c r="F820" s="2">
        <v>57.41</v>
      </c>
      <c r="G820" s="2"/>
      <c r="H820" s="2"/>
      <c r="I820" s="2" t="b">
        <f t="shared" si="3"/>
        <v>1</v>
      </c>
      <c r="J820" s="2"/>
      <c r="K820" s="2"/>
      <c r="L820" s="2"/>
      <c r="M820" s="2"/>
      <c r="N820" s="2"/>
      <c r="O820" s="2"/>
      <c r="P820" s="2"/>
      <c r="Q820" s="2"/>
      <c r="R820" s="2"/>
      <c r="S820" s="2"/>
      <c r="T820" s="2"/>
      <c r="U820" s="2"/>
      <c r="V820" s="2"/>
      <c r="W820" s="2"/>
    </row>
    <row r="821" spans="1:23" ht="75" customHeight="1" x14ac:dyDescent="0.15">
      <c r="A821" s="2">
        <v>975</v>
      </c>
      <c r="B821" s="2" t="s">
        <v>915</v>
      </c>
      <c r="C821" s="2" t="s">
        <v>916</v>
      </c>
      <c r="D821" s="2" t="s">
        <v>924</v>
      </c>
      <c r="E821" s="2">
        <v>91.06</v>
      </c>
      <c r="F821" s="2">
        <v>91.06</v>
      </c>
      <c r="G821" s="2"/>
      <c r="H821" s="2"/>
      <c r="I821" s="2" t="b">
        <f t="shared" si="3"/>
        <v>1</v>
      </c>
      <c r="J821" s="2"/>
      <c r="K821" s="2"/>
      <c r="L821" s="2"/>
      <c r="M821" s="2"/>
      <c r="N821" s="2"/>
      <c r="O821" s="2"/>
      <c r="P821" s="2"/>
      <c r="Q821" s="2"/>
      <c r="R821" s="2"/>
      <c r="S821" s="2"/>
      <c r="T821" s="2"/>
      <c r="U821" s="2"/>
      <c r="V821" s="2"/>
      <c r="W821" s="2"/>
    </row>
    <row r="822" spans="1:23" ht="75" customHeight="1" x14ac:dyDescent="0.15">
      <c r="A822" s="2">
        <v>976</v>
      </c>
      <c r="B822" s="2" t="s">
        <v>915</v>
      </c>
      <c r="C822" s="2" t="s">
        <v>916</v>
      </c>
      <c r="D822" s="2" t="s">
        <v>925</v>
      </c>
      <c r="E822" s="2">
        <v>38.15</v>
      </c>
      <c r="F822" s="2">
        <v>38.15</v>
      </c>
      <c r="G822" s="2"/>
      <c r="H822" s="2"/>
      <c r="I822" s="2" t="b">
        <f t="shared" si="3"/>
        <v>1</v>
      </c>
      <c r="J822" s="2"/>
      <c r="K822" s="2"/>
      <c r="L822" s="2"/>
      <c r="M822" s="2"/>
      <c r="N822" s="2"/>
      <c r="O822" s="2"/>
      <c r="P822" s="2"/>
      <c r="Q822" s="2"/>
      <c r="R822" s="2"/>
      <c r="S822" s="2"/>
      <c r="T822" s="2"/>
      <c r="U822" s="2"/>
      <c r="V822" s="2"/>
      <c r="W822" s="2"/>
    </row>
    <row r="823" spans="1:23" ht="75" customHeight="1" x14ac:dyDescent="0.15">
      <c r="A823" s="2">
        <v>977</v>
      </c>
      <c r="B823" s="2" t="s">
        <v>915</v>
      </c>
      <c r="C823" s="2" t="s">
        <v>916</v>
      </c>
      <c r="D823" s="2" t="s">
        <v>926</v>
      </c>
      <c r="E823" s="2">
        <v>74.95</v>
      </c>
      <c r="F823" s="2">
        <v>74.95</v>
      </c>
      <c r="G823" s="2"/>
      <c r="H823" s="2"/>
      <c r="I823" s="2" t="b">
        <f t="shared" si="3"/>
        <v>1</v>
      </c>
      <c r="J823" s="2"/>
      <c r="K823" s="2"/>
      <c r="L823" s="2"/>
      <c r="M823" s="2"/>
      <c r="N823" s="2"/>
      <c r="O823" s="2"/>
      <c r="P823" s="2"/>
      <c r="Q823" s="2"/>
      <c r="R823" s="2"/>
      <c r="S823" s="2"/>
      <c r="T823" s="2"/>
      <c r="U823" s="2"/>
      <c r="V823" s="2"/>
      <c r="W823" s="2"/>
    </row>
    <row r="824" spans="1:23" ht="75" customHeight="1" x14ac:dyDescent="0.15">
      <c r="A824" s="2">
        <v>978</v>
      </c>
      <c r="B824" s="2" t="s">
        <v>915</v>
      </c>
      <c r="C824" s="2" t="s">
        <v>916</v>
      </c>
      <c r="D824" s="2" t="s">
        <v>927</v>
      </c>
      <c r="E824" s="2">
        <v>73.069999999999993</v>
      </c>
      <c r="F824" s="2">
        <v>73.069999999999993</v>
      </c>
      <c r="G824" s="2"/>
      <c r="H824" s="2"/>
      <c r="I824" s="2" t="b">
        <f t="shared" si="3"/>
        <v>1</v>
      </c>
      <c r="J824" s="2"/>
      <c r="K824" s="2"/>
      <c r="L824" s="2"/>
      <c r="M824" s="2"/>
      <c r="N824" s="2"/>
      <c r="O824" s="2"/>
      <c r="P824" s="2"/>
      <c r="Q824" s="2"/>
      <c r="R824" s="2"/>
      <c r="S824" s="2"/>
      <c r="T824" s="2"/>
      <c r="U824" s="2"/>
      <c r="V824" s="2"/>
      <c r="W824" s="2"/>
    </row>
    <row r="825" spans="1:23" ht="75" customHeight="1" x14ac:dyDescent="0.15">
      <c r="A825" s="2">
        <v>979</v>
      </c>
      <c r="B825" s="2" t="s">
        <v>915</v>
      </c>
      <c r="C825" s="2" t="s">
        <v>916</v>
      </c>
      <c r="D825" s="2" t="s">
        <v>928</v>
      </c>
      <c r="E825" s="2">
        <v>38.9</v>
      </c>
      <c r="F825" s="2">
        <v>38.9</v>
      </c>
      <c r="G825" s="2"/>
      <c r="H825" s="2"/>
      <c r="I825" s="2" t="b">
        <f t="shared" si="3"/>
        <v>1</v>
      </c>
      <c r="J825" s="2"/>
      <c r="K825" s="2"/>
      <c r="L825" s="2"/>
      <c r="M825" s="2"/>
      <c r="N825" s="2"/>
      <c r="O825" s="2"/>
      <c r="P825" s="2"/>
      <c r="Q825" s="2"/>
      <c r="R825" s="2"/>
      <c r="S825" s="2"/>
      <c r="T825" s="2"/>
      <c r="U825" s="2"/>
      <c r="V825" s="2"/>
      <c r="W825" s="2"/>
    </row>
    <row r="826" spans="1:23" ht="75" customHeight="1" x14ac:dyDescent="0.15">
      <c r="A826" s="2">
        <v>980</v>
      </c>
      <c r="B826" s="2" t="s">
        <v>915</v>
      </c>
      <c r="C826" s="2" t="s">
        <v>916</v>
      </c>
      <c r="D826" s="2" t="s">
        <v>929</v>
      </c>
      <c r="E826" s="2">
        <v>43.13</v>
      </c>
      <c r="F826" s="2">
        <v>43.13</v>
      </c>
      <c r="G826" s="2"/>
      <c r="H826" s="2"/>
      <c r="I826" s="2" t="b">
        <f t="shared" si="3"/>
        <v>1</v>
      </c>
      <c r="J826" s="2"/>
      <c r="K826" s="2"/>
      <c r="L826" s="2"/>
      <c r="M826" s="2"/>
      <c r="N826" s="2"/>
      <c r="O826" s="2"/>
      <c r="P826" s="2"/>
      <c r="Q826" s="2"/>
      <c r="R826" s="2"/>
      <c r="S826" s="2"/>
      <c r="T826" s="2"/>
      <c r="U826" s="2"/>
      <c r="V826" s="2"/>
      <c r="W826" s="2"/>
    </row>
    <row r="827" spans="1:23" ht="75" customHeight="1" x14ac:dyDescent="0.15">
      <c r="A827" s="2">
        <v>981</v>
      </c>
      <c r="B827" s="2" t="s">
        <v>915</v>
      </c>
      <c r="C827" s="2" t="s">
        <v>916</v>
      </c>
      <c r="D827" s="2" t="s">
        <v>930</v>
      </c>
      <c r="E827" s="2">
        <v>75.36</v>
      </c>
      <c r="F827" s="2">
        <v>75.36</v>
      </c>
      <c r="G827" s="2"/>
      <c r="H827" s="2"/>
      <c r="I827" s="2" t="b">
        <f t="shared" si="3"/>
        <v>1</v>
      </c>
      <c r="J827" s="2"/>
      <c r="K827" s="2"/>
      <c r="L827" s="2"/>
      <c r="M827" s="2"/>
      <c r="N827" s="2"/>
      <c r="O827" s="2"/>
      <c r="P827" s="2"/>
      <c r="Q827" s="2"/>
      <c r="R827" s="2"/>
      <c r="S827" s="2"/>
      <c r="T827" s="2"/>
      <c r="U827" s="2"/>
      <c r="V827" s="2"/>
      <c r="W827" s="2"/>
    </row>
    <row r="828" spans="1:23" ht="75" customHeight="1" x14ac:dyDescent="0.15">
      <c r="A828" s="2">
        <v>982</v>
      </c>
      <c r="B828" s="2" t="s">
        <v>915</v>
      </c>
      <c r="C828" s="2" t="s">
        <v>916</v>
      </c>
      <c r="D828" s="2" t="s">
        <v>931</v>
      </c>
      <c r="E828" s="2">
        <v>57.13</v>
      </c>
      <c r="F828" s="2">
        <v>57.13</v>
      </c>
      <c r="G828" s="2"/>
      <c r="H828" s="2"/>
      <c r="I828" s="2" t="b">
        <f t="shared" si="3"/>
        <v>1</v>
      </c>
      <c r="J828" s="2"/>
      <c r="K828" s="2"/>
      <c r="L828" s="2"/>
      <c r="M828" s="2"/>
      <c r="N828" s="2"/>
      <c r="O828" s="2"/>
      <c r="P828" s="2"/>
      <c r="Q828" s="2"/>
      <c r="R828" s="2"/>
      <c r="S828" s="2"/>
      <c r="T828" s="2"/>
      <c r="U828" s="2"/>
      <c r="V828" s="2"/>
      <c r="W828" s="2"/>
    </row>
    <row r="829" spans="1:23" ht="75" customHeight="1" x14ac:dyDescent="0.15">
      <c r="A829" s="2">
        <v>983</v>
      </c>
      <c r="B829" s="2" t="s">
        <v>915</v>
      </c>
      <c r="C829" s="2" t="s">
        <v>916</v>
      </c>
      <c r="D829" s="2" t="s">
        <v>932</v>
      </c>
      <c r="E829" s="2">
        <v>68.599999999999994</v>
      </c>
      <c r="F829" s="2">
        <v>68.599999999999994</v>
      </c>
      <c r="G829" s="2"/>
      <c r="H829" s="2"/>
      <c r="I829" s="2" t="b">
        <f t="shared" si="3"/>
        <v>1</v>
      </c>
      <c r="J829" s="2"/>
      <c r="K829" s="2"/>
      <c r="L829" s="2"/>
      <c r="M829" s="2"/>
      <c r="N829" s="2"/>
      <c r="O829" s="2"/>
      <c r="P829" s="2"/>
      <c r="Q829" s="2"/>
      <c r="R829" s="2"/>
      <c r="S829" s="2"/>
      <c r="T829" s="2"/>
      <c r="U829" s="2"/>
      <c r="V829" s="2"/>
      <c r="W829" s="2"/>
    </row>
    <row r="830" spans="1:23" ht="75" customHeight="1" x14ac:dyDescent="0.15">
      <c r="A830" s="2">
        <v>984</v>
      </c>
      <c r="B830" s="2" t="s">
        <v>915</v>
      </c>
      <c r="C830" s="2" t="s">
        <v>916</v>
      </c>
      <c r="D830" s="2" t="s">
        <v>933</v>
      </c>
      <c r="E830" s="2">
        <v>87.2</v>
      </c>
      <c r="F830" s="2">
        <v>87.2</v>
      </c>
      <c r="G830" s="2"/>
      <c r="H830" s="2"/>
      <c r="I830" s="2" t="b">
        <f t="shared" si="3"/>
        <v>1</v>
      </c>
      <c r="J830" s="2"/>
      <c r="K830" s="2"/>
      <c r="L830" s="2"/>
      <c r="M830" s="2"/>
      <c r="N830" s="2"/>
      <c r="O830" s="2"/>
      <c r="P830" s="2"/>
      <c r="Q830" s="2"/>
      <c r="R830" s="2"/>
      <c r="S830" s="2"/>
      <c r="T830" s="2"/>
      <c r="U830" s="2"/>
      <c r="V830" s="2"/>
      <c r="W830" s="2"/>
    </row>
    <row r="831" spans="1:23" ht="75" customHeight="1" x14ac:dyDescent="0.15">
      <c r="A831" s="2">
        <v>985</v>
      </c>
      <c r="B831" s="2" t="s">
        <v>915</v>
      </c>
      <c r="C831" s="2" t="s">
        <v>916</v>
      </c>
      <c r="D831" s="2" t="s">
        <v>934</v>
      </c>
      <c r="E831" s="2">
        <v>52.58</v>
      </c>
      <c r="F831" s="2">
        <v>52.58</v>
      </c>
      <c r="G831" s="2"/>
      <c r="H831" s="2"/>
      <c r="I831" s="2" t="b">
        <f t="shared" si="3"/>
        <v>1</v>
      </c>
      <c r="J831" s="2"/>
      <c r="K831" s="2"/>
      <c r="L831" s="2"/>
      <c r="M831" s="2"/>
      <c r="N831" s="2"/>
      <c r="O831" s="2"/>
      <c r="P831" s="2"/>
      <c r="Q831" s="2"/>
      <c r="R831" s="2"/>
      <c r="S831" s="2"/>
      <c r="T831" s="2"/>
      <c r="U831" s="2"/>
      <c r="V831" s="2"/>
      <c r="W831" s="2"/>
    </row>
    <row r="832" spans="1:23" ht="75" customHeight="1" x14ac:dyDescent="0.15">
      <c r="A832" s="2">
        <v>986</v>
      </c>
      <c r="B832" s="2" t="s">
        <v>915</v>
      </c>
      <c r="C832" s="2" t="s">
        <v>916</v>
      </c>
      <c r="D832" s="2" t="s">
        <v>935</v>
      </c>
      <c r="E832" s="2">
        <v>68.69</v>
      </c>
      <c r="F832" s="2">
        <v>68.69</v>
      </c>
      <c r="G832" s="2"/>
      <c r="H832" s="2"/>
      <c r="I832" s="2" t="b">
        <f t="shared" si="3"/>
        <v>1</v>
      </c>
      <c r="J832" s="2"/>
      <c r="K832" s="2"/>
      <c r="L832" s="2"/>
      <c r="M832" s="2"/>
      <c r="N832" s="2"/>
      <c r="O832" s="2"/>
      <c r="P832" s="2"/>
      <c r="Q832" s="2"/>
      <c r="R832" s="2"/>
      <c r="S832" s="2"/>
      <c r="T832" s="2"/>
      <c r="U832" s="2"/>
      <c r="V832" s="2"/>
      <c r="W832" s="2"/>
    </row>
    <row r="833" spans="1:23" ht="75" customHeight="1" x14ac:dyDescent="0.15">
      <c r="A833" s="2">
        <v>987</v>
      </c>
      <c r="B833" s="2" t="s">
        <v>915</v>
      </c>
      <c r="C833" s="2" t="s">
        <v>916</v>
      </c>
      <c r="D833" s="2" t="s">
        <v>936</v>
      </c>
      <c r="E833" s="2">
        <v>69.53</v>
      </c>
      <c r="F833" s="2">
        <v>69.53</v>
      </c>
      <c r="G833" s="2"/>
      <c r="H833" s="2"/>
      <c r="I833" s="2" t="b">
        <f t="shared" si="3"/>
        <v>1</v>
      </c>
      <c r="J833" s="2"/>
      <c r="K833" s="2"/>
      <c r="L833" s="2"/>
      <c r="M833" s="2"/>
      <c r="N833" s="2"/>
      <c r="O833" s="2"/>
      <c r="P833" s="2"/>
      <c r="Q833" s="2"/>
      <c r="R833" s="2"/>
      <c r="S833" s="2"/>
      <c r="T833" s="2"/>
      <c r="U833" s="2"/>
      <c r="V833" s="2"/>
      <c r="W833" s="2"/>
    </row>
    <row r="834" spans="1:23" ht="75" customHeight="1" x14ac:dyDescent="0.15">
      <c r="A834" s="2">
        <v>988</v>
      </c>
      <c r="B834" s="2" t="s">
        <v>937</v>
      </c>
      <c r="C834" s="2" t="s">
        <v>938</v>
      </c>
      <c r="D834" s="2" t="s">
        <v>939</v>
      </c>
      <c r="E834" s="2">
        <v>30.2</v>
      </c>
      <c r="F834" s="2">
        <v>30.2</v>
      </c>
      <c r="G834" s="2"/>
      <c r="H834" s="2"/>
      <c r="I834" s="2" t="b">
        <f t="shared" si="3"/>
        <v>1</v>
      </c>
      <c r="J834" s="2"/>
      <c r="K834" s="2"/>
      <c r="L834" s="2"/>
      <c r="M834" s="2"/>
      <c r="N834" s="2"/>
      <c r="O834" s="2"/>
      <c r="P834" s="2"/>
      <c r="Q834" s="2"/>
      <c r="R834" s="2"/>
      <c r="S834" s="2"/>
      <c r="T834" s="2"/>
      <c r="U834" s="2"/>
      <c r="V834" s="2"/>
      <c r="W834" s="2"/>
    </row>
    <row r="835" spans="1:23" ht="75" customHeight="1" x14ac:dyDescent="0.15">
      <c r="A835" s="2">
        <v>990</v>
      </c>
      <c r="B835" s="2" t="s">
        <v>937</v>
      </c>
      <c r="C835" s="2" t="s">
        <v>938</v>
      </c>
      <c r="D835" s="2" t="s">
        <v>940</v>
      </c>
      <c r="E835" s="2">
        <v>366</v>
      </c>
      <c r="F835" s="2">
        <v>366</v>
      </c>
      <c r="G835" s="2"/>
      <c r="H835" s="2"/>
      <c r="I835" s="2" t="b">
        <f t="shared" si="3"/>
        <v>1</v>
      </c>
      <c r="J835" s="2"/>
      <c r="K835" s="2"/>
      <c r="L835" s="2"/>
      <c r="M835" s="2"/>
      <c r="N835" s="2"/>
      <c r="O835" s="2"/>
      <c r="P835" s="2"/>
      <c r="Q835" s="2"/>
      <c r="R835" s="2"/>
      <c r="S835" s="2"/>
      <c r="T835" s="2"/>
      <c r="U835" s="2"/>
      <c r="V835" s="2"/>
      <c r="W835" s="2"/>
    </row>
    <row r="836" spans="1:23" ht="75" customHeight="1" x14ac:dyDescent="0.15">
      <c r="A836" s="2">
        <v>991</v>
      </c>
      <c r="B836" s="2" t="s">
        <v>937</v>
      </c>
      <c r="C836" s="2" t="s">
        <v>938</v>
      </c>
      <c r="D836" s="2" t="s">
        <v>941</v>
      </c>
      <c r="E836" s="2">
        <v>391.8</v>
      </c>
      <c r="F836" s="2">
        <v>391.8</v>
      </c>
      <c r="G836" s="2"/>
      <c r="H836" s="2"/>
      <c r="I836" s="2" t="b">
        <f t="shared" si="3"/>
        <v>1</v>
      </c>
      <c r="J836" s="2"/>
      <c r="K836" s="2"/>
      <c r="L836" s="2"/>
      <c r="M836" s="2"/>
      <c r="N836" s="2"/>
      <c r="O836" s="2"/>
      <c r="P836" s="2"/>
      <c r="Q836" s="2"/>
      <c r="R836" s="2"/>
      <c r="S836" s="2"/>
      <c r="T836" s="2"/>
      <c r="U836" s="2"/>
      <c r="V836" s="2"/>
      <c r="W836" s="2"/>
    </row>
    <row r="837" spans="1:23" ht="75" customHeight="1" x14ac:dyDescent="0.15">
      <c r="A837" s="2">
        <v>992</v>
      </c>
      <c r="B837" s="2" t="s">
        <v>937</v>
      </c>
      <c r="C837" s="2" t="s">
        <v>938</v>
      </c>
      <c r="D837" s="2" t="s">
        <v>942</v>
      </c>
      <c r="E837" s="2">
        <v>1434</v>
      </c>
      <c r="F837" s="2">
        <v>704</v>
      </c>
      <c r="G837" s="3">
        <v>704</v>
      </c>
      <c r="H837" s="3" t="s">
        <v>66</v>
      </c>
      <c r="I837" s="2" t="b">
        <f t="shared" si="3"/>
        <v>0</v>
      </c>
      <c r="J837" s="2"/>
      <c r="K837" s="2"/>
      <c r="L837" s="2"/>
      <c r="M837" s="2"/>
      <c r="N837" s="2"/>
      <c r="O837" s="2"/>
      <c r="P837" s="2"/>
      <c r="Q837" s="2"/>
      <c r="R837" s="2"/>
      <c r="S837" s="2"/>
      <c r="T837" s="2"/>
      <c r="U837" s="2"/>
      <c r="V837" s="2"/>
      <c r="W837" s="2"/>
    </row>
    <row r="838" spans="1:23" ht="75" customHeight="1" x14ac:dyDescent="0.15">
      <c r="A838" s="2">
        <v>993</v>
      </c>
      <c r="B838" s="2" t="s">
        <v>937</v>
      </c>
      <c r="C838" s="2" t="s">
        <v>938</v>
      </c>
      <c r="D838" s="2" t="s">
        <v>943</v>
      </c>
      <c r="E838" s="2">
        <v>653</v>
      </c>
      <c r="F838" s="2">
        <v>653</v>
      </c>
      <c r="G838" s="2"/>
      <c r="H838" s="2"/>
      <c r="I838" s="2" t="b">
        <f t="shared" si="3"/>
        <v>1</v>
      </c>
      <c r="J838" s="2"/>
      <c r="K838" s="2"/>
      <c r="L838" s="2"/>
      <c r="M838" s="2"/>
      <c r="N838" s="2"/>
      <c r="O838" s="2"/>
      <c r="P838" s="2"/>
      <c r="Q838" s="2"/>
      <c r="R838" s="2"/>
      <c r="S838" s="2"/>
      <c r="T838" s="2"/>
      <c r="U838" s="2"/>
      <c r="V838" s="2"/>
      <c r="W838" s="2"/>
    </row>
    <row r="839" spans="1:23" ht="75" customHeight="1" x14ac:dyDescent="0.15">
      <c r="A839" s="2">
        <v>995</v>
      </c>
      <c r="B839" s="2" t="s">
        <v>937</v>
      </c>
      <c r="C839" s="2" t="s">
        <v>938</v>
      </c>
      <c r="D839" s="2" t="s">
        <v>944</v>
      </c>
      <c r="E839" s="2">
        <v>194.5</v>
      </c>
      <c r="F839" s="2">
        <v>194.5</v>
      </c>
      <c r="G839" s="2"/>
      <c r="H839" s="2"/>
      <c r="I839" s="2" t="b">
        <f t="shared" si="3"/>
        <v>1</v>
      </c>
      <c r="J839" s="2"/>
      <c r="K839" s="2"/>
      <c r="L839" s="2"/>
      <c r="M839" s="2"/>
      <c r="N839" s="2"/>
      <c r="O839" s="2"/>
      <c r="P839" s="2"/>
      <c r="Q839" s="2"/>
      <c r="R839" s="2"/>
      <c r="S839" s="2"/>
      <c r="T839" s="2"/>
      <c r="U839" s="2"/>
      <c r="V839" s="2"/>
      <c r="W839" s="2"/>
    </row>
    <row r="840" spans="1:23" ht="75" customHeight="1" x14ac:dyDescent="0.15">
      <c r="A840" s="2">
        <v>996</v>
      </c>
      <c r="B840" s="2" t="s">
        <v>937</v>
      </c>
      <c r="C840" s="2" t="s">
        <v>938</v>
      </c>
      <c r="D840" s="2" t="s">
        <v>945</v>
      </c>
      <c r="E840" s="2">
        <v>504</v>
      </c>
      <c r="F840" s="2">
        <v>504</v>
      </c>
      <c r="G840" s="2"/>
      <c r="H840" s="2"/>
      <c r="I840" s="2" t="b">
        <f t="shared" si="3"/>
        <v>1</v>
      </c>
      <c r="J840" s="2"/>
      <c r="K840" s="2"/>
      <c r="L840" s="2"/>
      <c r="M840" s="2"/>
      <c r="N840" s="2"/>
      <c r="O840" s="2"/>
      <c r="P840" s="2"/>
      <c r="Q840" s="2"/>
      <c r="R840" s="2"/>
      <c r="S840" s="2"/>
      <c r="T840" s="2"/>
      <c r="U840" s="2"/>
      <c r="V840" s="2"/>
      <c r="W840" s="2"/>
    </row>
    <row r="841" spans="1:23" ht="75" customHeight="1" x14ac:dyDescent="0.15">
      <c r="A841" s="2">
        <v>997</v>
      </c>
      <c r="B841" s="2" t="s">
        <v>937</v>
      </c>
      <c r="C841" s="2" t="s">
        <v>938</v>
      </c>
      <c r="D841" s="2" t="s">
        <v>946</v>
      </c>
      <c r="E841" s="2">
        <v>389</v>
      </c>
      <c r="F841" s="2">
        <v>389</v>
      </c>
      <c r="G841" s="2"/>
      <c r="H841" s="2"/>
      <c r="I841" s="2" t="b">
        <f t="shared" si="3"/>
        <v>1</v>
      </c>
      <c r="J841" s="2"/>
      <c r="K841" s="2"/>
      <c r="L841" s="2"/>
      <c r="M841" s="2"/>
      <c r="N841" s="2"/>
      <c r="O841" s="2"/>
      <c r="P841" s="2"/>
      <c r="Q841" s="2"/>
      <c r="R841" s="2"/>
      <c r="S841" s="2"/>
      <c r="T841" s="2"/>
      <c r="U841" s="2"/>
      <c r="V841" s="2"/>
      <c r="W841" s="2"/>
    </row>
    <row r="842" spans="1:23" ht="75" customHeight="1" x14ac:dyDescent="0.15">
      <c r="A842" s="2">
        <v>998</v>
      </c>
      <c r="B842" s="2" t="s">
        <v>937</v>
      </c>
      <c r="C842" s="2" t="s">
        <v>938</v>
      </c>
      <c r="D842" s="2" t="s">
        <v>947</v>
      </c>
      <c r="E842" s="2">
        <v>376</v>
      </c>
      <c r="F842" s="2">
        <v>376</v>
      </c>
      <c r="G842" s="2"/>
      <c r="H842" s="2"/>
      <c r="I842" s="2" t="b">
        <f t="shared" si="3"/>
        <v>1</v>
      </c>
      <c r="J842" s="2"/>
      <c r="K842" s="2"/>
      <c r="L842" s="2"/>
      <c r="M842" s="2"/>
      <c r="N842" s="2"/>
      <c r="O842" s="2"/>
      <c r="P842" s="2"/>
      <c r="Q842" s="2"/>
      <c r="R842" s="2"/>
      <c r="S842" s="2"/>
      <c r="T842" s="2"/>
      <c r="U842" s="2"/>
      <c r="V842" s="2"/>
      <c r="W842" s="2"/>
    </row>
    <row r="843" spans="1:23" ht="75" customHeight="1" x14ac:dyDescent="0.15">
      <c r="A843" s="2">
        <v>1000</v>
      </c>
      <c r="B843" s="2" t="s">
        <v>937</v>
      </c>
      <c r="C843" s="2" t="s">
        <v>938</v>
      </c>
      <c r="D843" s="2" t="s">
        <v>948</v>
      </c>
      <c r="E843" s="2">
        <v>758</v>
      </c>
      <c r="F843" s="2">
        <v>758</v>
      </c>
      <c r="G843" s="2"/>
      <c r="H843" s="2"/>
      <c r="I843" s="2" t="b">
        <f t="shared" si="3"/>
        <v>1</v>
      </c>
      <c r="J843" s="2"/>
      <c r="K843" s="2"/>
      <c r="L843" s="2"/>
      <c r="M843" s="2"/>
      <c r="N843" s="2"/>
      <c r="O843" s="2"/>
      <c r="P843" s="2"/>
      <c r="Q843" s="2"/>
      <c r="R843" s="2"/>
      <c r="S843" s="2"/>
      <c r="T843" s="2"/>
      <c r="U843" s="2"/>
      <c r="V843" s="2"/>
      <c r="W843" s="2"/>
    </row>
    <row r="844" spans="1:23" ht="75" customHeight="1" x14ac:dyDescent="0.15">
      <c r="A844" s="2">
        <v>1001</v>
      </c>
      <c r="B844" s="2" t="s">
        <v>937</v>
      </c>
      <c r="C844" s="2" t="s">
        <v>938</v>
      </c>
      <c r="D844" s="2" t="s">
        <v>949</v>
      </c>
      <c r="E844" s="2">
        <v>238</v>
      </c>
      <c r="F844" s="2">
        <v>238</v>
      </c>
      <c r="G844" s="2"/>
      <c r="H844" s="2"/>
      <c r="I844" s="2" t="b">
        <f t="shared" si="3"/>
        <v>1</v>
      </c>
      <c r="J844" s="2"/>
      <c r="K844" s="2"/>
      <c r="L844" s="2"/>
      <c r="M844" s="2"/>
      <c r="N844" s="2"/>
      <c r="O844" s="2"/>
      <c r="P844" s="2"/>
      <c r="Q844" s="2"/>
      <c r="R844" s="2"/>
      <c r="S844" s="2"/>
      <c r="T844" s="2"/>
      <c r="U844" s="2"/>
      <c r="V844" s="2"/>
      <c r="W844" s="2"/>
    </row>
    <row r="845" spans="1:23" ht="75" customHeight="1" x14ac:dyDescent="0.15">
      <c r="A845" s="2">
        <v>1002</v>
      </c>
      <c r="B845" s="2" t="s">
        <v>937</v>
      </c>
      <c r="C845" s="2" t="s">
        <v>938</v>
      </c>
      <c r="D845" s="2" t="s">
        <v>950</v>
      </c>
      <c r="E845" s="2">
        <v>139</v>
      </c>
      <c r="F845" s="2">
        <v>139</v>
      </c>
      <c r="G845" s="2"/>
      <c r="H845" s="2"/>
      <c r="I845" s="2" t="b">
        <f t="shared" si="3"/>
        <v>1</v>
      </c>
      <c r="J845" s="2"/>
      <c r="K845" s="2"/>
      <c r="L845" s="2"/>
      <c r="M845" s="2"/>
      <c r="N845" s="2"/>
      <c r="O845" s="2"/>
      <c r="P845" s="2"/>
      <c r="Q845" s="2"/>
      <c r="R845" s="2"/>
      <c r="S845" s="2"/>
      <c r="T845" s="2"/>
      <c r="U845" s="2"/>
      <c r="V845" s="2"/>
      <c r="W845" s="2"/>
    </row>
    <row r="846" spans="1:23" ht="75" customHeight="1" x14ac:dyDescent="0.15">
      <c r="A846" s="2">
        <v>1003</v>
      </c>
      <c r="B846" s="2" t="s">
        <v>937</v>
      </c>
      <c r="C846" s="2" t="s">
        <v>938</v>
      </c>
      <c r="D846" s="2" t="s">
        <v>951</v>
      </c>
      <c r="E846" s="2">
        <v>301</v>
      </c>
      <c r="F846" s="2">
        <v>301</v>
      </c>
      <c r="G846" s="2"/>
      <c r="H846" s="2"/>
      <c r="I846" s="2" t="b">
        <f t="shared" si="3"/>
        <v>1</v>
      </c>
      <c r="J846" s="2"/>
      <c r="K846" s="2"/>
      <c r="L846" s="2"/>
      <c r="M846" s="2"/>
      <c r="N846" s="2"/>
      <c r="O846" s="2"/>
      <c r="P846" s="2"/>
      <c r="Q846" s="2"/>
      <c r="R846" s="2"/>
      <c r="S846" s="2"/>
      <c r="T846" s="2"/>
      <c r="U846" s="2"/>
      <c r="V846" s="2"/>
      <c r="W846" s="2"/>
    </row>
    <row r="847" spans="1:23" ht="75" customHeight="1" x14ac:dyDescent="0.15">
      <c r="A847" s="2">
        <v>1006</v>
      </c>
      <c r="B847" s="2" t="s">
        <v>937</v>
      </c>
      <c r="C847" s="2" t="s">
        <v>938</v>
      </c>
      <c r="D847" s="2" t="s">
        <v>952</v>
      </c>
      <c r="E847" s="2">
        <v>747</v>
      </c>
      <c r="F847" s="2">
        <v>747</v>
      </c>
      <c r="G847" s="2"/>
      <c r="H847" s="2"/>
      <c r="I847" s="2" t="b">
        <f t="shared" si="3"/>
        <v>1</v>
      </c>
      <c r="J847" s="2"/>
      <c r="K847" s="2"/>
      <c r="L847" s="2"/>
      <c r="M847" s="2"/>
      <c r="N847" s="2"/>
      <c r="O847" s="2"/>
      <c r="P847" s="2"/>
      <c r="Q847" s="2"/>
      <c r="R847" s="2"/>
      <c r="S847" s="2"/>
      <c r="T847" s="2"/>
      <c r="U847" s="2"/>
      <c r="V847" s="2"/>
      <c r="W847" s="2"/>
    </row>
    <row r="848" spans="1:23" ht="75" customHeight="1" x14ac:dyDescent="0.15">
      <c r="A848" s="2">
        <v>1007</v>
      </c>
      <c r="B848" s="2" t="s">
        <v>937</v>
      </c>
      <c r="C848" s="2" t="s">
        <v>938</v>
      </c>
      <c r="D848" s="2" t="s">
        <v>953</v>
      </c>
      <c r="E848" s="2">
        <v>1380</v>
      </c>
      <c r="F848" s="2">
        <v>650</v>
      </c>
      <c r="G848" s="2">
        <v>650</v>
      </c>
      <c r="H848" s="7" t="s">
        <v>954</v>
      </c>
      <c r="I848" s="2" t="b">
        <f t="shared" si="3"/>
        <v>0</v>
      </c>
      <c r="J848" s="2"/>
      <c r="K848" s="2"/>
      <c r="L848" s="2"/>
      <c r="M848" s="2"/>
      <c r="N848" s="2"/>
      <c r="O848" s="2"/>
      <c r="P848" s="2"/>
      <c r="Q848" s="2"/>
      <c r="R848" s="2"/>
      <c r="S848" s="2"/>
      <c r="T848" s="2"/>
      <c r="U848" s="2"/>
      <c r="V848" s="2"/>
      <c r="W848" s="2"/>
    </row>
    <row r="849" spans="1:23" ht="75" customHeight="1" x14ac:dyDescent="0.15">
      <c r="A849" s="2">
        <v>1008</v>
      </c>
      <c r="B849" s="2" t="s">
        <v>955</v>
      </c>
      <c r="C849" s="2" t="s">
        <v>956</v>
      </c>
      <c r="D849" s="2" t="s">
        <v>957</v>
      </c>
      <c r="E849" s="6">
        <v>40171</v>
      </c>
      <c r="F849" s="6">
        <v>40171</v>
      </c>
      <c r="G849" s="2"/>
      <c r="H849" s="2"/>
      <c r="I849" s="2" t="b">
        <f t="shared" si="3"/>
        <v>1</v>
      </c>
      <c r="J849" s="2"/>
      <c r="K849" s="2"/>
      <c r="L849" s="2"/>
      <c r="M849" s="2"/>
      <c r="N849" s="2"/>
      <c r="O849" s="2"/>
      <c r="P849" s="2"/>
      <c r="Q849" s="2"/>
      <c r="R849" s="2"/>
      <c r="S849" s="2"/>
      <c r="T849" s="2"/>
      <c r="U849" s="2"/>
      <c r="V849" s="2"/>
      <c r="W849" s="2"/>
    </row>
    <row r="850" spans="1:23" ht="75" customHeight="1" x14ac:dyDescent="0.15">
      <c r="A850" s="2">
        <v>1009</v>
      </c>
      <c r="B850" s="2" t="s">
        <v>955</v>
      </c>
      <c r="C850" s="2" t="s">
        <v>956</v>
      </c>
      <c r="D850" s="2" t="s">
        <v>958</v>
      </c>
      <c r="E850" s="6">
        <v>41599</v>
      </c>
      <c r="F850" s="6">
        <v>41599</v>
      </c>
      <c r="G850" s="2"/>
      <c r="H850" s="2"/>
      <c r="I850" s="2" t="b">
        <f t="shared" si="3"/>
        <v>1</v>
      </c>
      <c r="J850" s="2"/>
      <c r="K850" s="2"/>
      <c r="L850" s="2"/>
      <c r="M850" s="2"/>
      <c r="N850" s="2"/>
      <c r="O850" s="2"/>
      <c r="P850" s="2"/>
      <c r="Q850" s="2"/>
      <c r="R850" s="2"/>
      <c r="S850" s="2"/>
      <c r="T850" s="2"/>
      <c r="U850" s="2"/>
      <c r="V850" s="2"/>
      <c r="W850" s="2"/>
    </row>
    <row r="851" spans="1:23" ht="75" customHeight="1" x14ac:dyDescent="0.15">
      <c r="A851" s="2">
        <v>1010</v>
      </c>
      <c r="B851" s="2" t="s">
        <v>955</v>
      </c>
      <c r="C851" s="2" t="s">
        <v>956</v>
      </c>
      <c r="D851" s="2" t="s">
        <v>959</v>
      </c>
      <c r="E851" s="6">
        <v>40177</v>
      </c>
      <c r="F851" s="6">
        <v>40177</v>
      </c>
      <c r="G851" s="2"/>
      <c r="H851" s="2"/>
      <c r="I851" s="2" t="b">
        <f t="shared" si="3"/>
        <v>1</v>
      </c>
      <c r="J851" s="2"/>
      <c r="K851" s="2"/>
      <c r="L851" s="2"/>
      <c r="M851" s="2"/>
      <c r="N851" s="2"/>
      <c r="O851" s="2"/>
      <c r="P851" s="2"/>
      <c r="Q851" s="2"/>
      <c r="R851" s="2"/>
      <c r="S851" s="2"/>
      <c r="T851" s="2"/>
      <c r="U851" s="2"/>
      <c r="V851" s="2"/>
      <c r="W851" s="2"/>
    </row>
    <row r="852" spans="1:23" ht="75" customHeight="1" x14ac:dyDescent="0.15">
      <c r="A852" s="2">
        <v>1011</v>
      </c>
      <c r="B852" s="2" t="s">
        <v>955</v>
      </c>
      <c r="C852" s="2" t="s">
        <v>956</v>
      </c>
      <c r="D852" s="2" t="s">
        <v>960</v>
      </c>
      <c r="E852" s="5">
        <v>41394</v>
      </c>
      <c r="F852" s="5">
        <v>41394</v>
      </c>
      <c r="G852" s="2"/>
      <c r="H852" s="2"/>
      <c r="I852" s="2" t="b">
        <f t="shared" si="3"/>
        <v>1</v>
      </c>
      <c r="J852" s="2"/>
      <c r="K852" s="2"/>
      <c r="L852" s="2"/>
      <c r="M852" s="2"/>
      <c r="N852" s="2"/>
      <c r="O852" s="2"/>
      <c r="P852" s="2"/>
      <c r="Q852" s="2"/>
      <c r="R852" s="2"/>
      <c r="S852" s="2"/>
      <c r="T852" s="2"/>
      <c r="U852" s="2"/>
      <c r="V852" s="2"/>
      <c r="W852" s="2"/>
    </row>
    <row r="853" spans="1:23" ht="75" customHeight="1" x14ac:dyDescent="0.15">
      <c r="A853" s="2">
        <v>1012</v>
      </c>
      <c r="B853" s="2" t="s">
        <v>955</v>
      </c>
      <c r="C853" s="2" t="s">
        <v>956</v>
      </c>
      <c r="D853" s="2" t="s">
        <v>961</v>
      </c>
      <c r="E853" s="6">
        <v>45271</v>
      </c>
      <c r="F853" s="6">
        <v>45271</v>
      </c>
      <c r="G853" s="2"/>
      <c r="H853" s="2"/>
      <c r="I853" s="2" t="b">
        <f t="shared" si="3"/>
        <v>1</v>
      </c>
      <c r="J853" s="2"/>
      <c r="K853" s="2"/>
      <c r="L853" s="2"/>
      <c r="M853" s="2"/>
      <c r="N853" s="2"/>
      <c r="O853" s="2"/>
      <c r="P853" s="2"/>
      <c r="Q853" s="2"/>
      <c r="R853" s="2"/>
      <c r="S853" s="2"/>
      <c r="T853" s="2"/>
      <c r="U853" s="2"/>
      <c r="V853" s="2"/>
      <c r="W853" s="2"/>
    </row>
    <row r="854" spans="1:23" ht="75" customHeight="1" x14ac:dyDescent="0.15">
      <c r="A854" s="2">
        <v>1013</v>
      </c>
      <c r="B854" s="2" t="s">
        <v>955</v>
      </c>
      <c r="C854" s="2" t="s">
        <v>956</v>
      </c>
      <c r="D854" s="2" t="s">
        <v>962</v>
      </c>
      <c r="E854" s="6">
        <v>43391</v>
      </c>
      <c r="F854" s="6">
        <v>43391</v>
      </c>
      <c r="G854" s="2"/>
      <c r="H854" s="2"/>
      <c r="I854" s="2" t="b">
        <f t="shared" si="3"/>
        <v>1</v>
      </c>
      <c r="J854" s="2"/>
      <c r="K854" s="2"/>
      <c r="L854" s="2"/>
      <c r="M854" s="2"/>
      <c r="N854" s="2"/>
      <c r="O854" s="2"/>
      <c r="P854" s="2"/>
      <c r="Q854" s="2"/>
      <c r="R854" s="2"/>
      <c r="S854" s="2"/>
      <c r="T854" s="2"/>
      <c r="U854" s="2"/>
      <c r="V854" s="2"/>
      <c r="W854" s="2"/>
    </row>
    <row r="855" spans="1:23" ht="75" customHeight="1" x14ac:dyDescent="0.15">
      <c r="A855" s="2">
        <v>1014</v>
      </c>
      <c r="B855" s="2" t="s">
        <v>955</v>
      </c>
      <c r="C855" s="2" t="s">
        <v>956</v>
      </c>
      <c r="D855" s="2" t="s">
        <v>963</v>
      </c>
      <c r="E855" s="5">
        <v>36791</v>
      </c>
      <c r="F855" s="5">
        <v>36791</v>
      </c>
      <c r="G855" s="2"/>
      <c r="H855" s="2"/>
      <c r="I855" s="2" t="b">
        <f t="shared" si="3"/>
        <v>1</v>
      </c>
      <c r="J855" s="2"/>
      <c r="K855" s="2"/>
      <c r="L855" s="2"/>
      <c r="M855" s="2"/>
      <c r="N855" s="2"/>
      <c r="O855" s="2"/>
      <c r="P855" s="2"/>
      <c r="Q855" s="2"/>
      <c r="R855" s="2"/>
      <c r="S855" s="2"/>
      <c r="T855" s="2"/>
      <c r="U855" s="2"/>
      <c r="V855" s="2"/>
      <c r="W855" s="2"/>
    </row>
    <row r="856" spans="1:23" ht="75" customHeight="1" x14ac:dyDescent="0.15">
      <c r="A856" s="2">
        <v>1015</v>
      </c>
      <c r="B856" s="2" t="s">
        <v>955</v>
      </c>
      <c r="C856" s="2" t="s">
        <v>956</v>
      </c>
      <c r="D856" s="2" t="s">
        <v>964</v>
      </c>
      <c r="E856" s="5">
        <v>41400</v>
      </c>
      <c r="F856" s="5">
        <v>41400</v>
      </c>
      <c r="G856" s="2"/>
      <c r="H856" s="2"/>
      <c r="I856" s="2" t="b">
        <f t="shared" si="3"/>
        <v>1</v>
      </c>
      <c r="J856" s="2"/>
      <c r="K856" s="2"/>
      <c r="L856" s="2"/>
      <c r="M856" s="2"/>
      <c r="N856" s="2"/>
      <c r="O856" s="2"/>
      <c r="P856" s="2"/>
      <c r="Q856" s="2"/>
      <c r="R856" s="2"/>
      <c r="S856" s="2"/>
      <c r="T856" s="2"/>
      <c r="U856" s="2"/>
      <c r="V856" s="2"/>
      <c r="W856" s="2"/>
    </row>
    <row r="857" spans="1:23" ht="75" customHeight="1" x14ac:dyDescent="0.15">
      <c r="A857" s="2">
        <v>1016</v>
      </c>
      <c r="B857" s="2" t="s">
        <v>955</v>
      </c>
      <c r="C857" s="2" t="s">
        <v>956</v>
      </c>
      <c r="D857" s="2" t="s">
        <v>965</v>
      </c>
      <c r="E857" s="6">
        <v>44129</v>
      </c>
      <c r="F857" s="6">
        <v>44129</v>
      </c>
      <c r="G857" s="2"/>
      <c r="H857" s="2"/>
      <c r="I857" s="2" t="b">
        <f t="shared" si="3"/>
        <v>1</v>
      </c>
      <c r="J857" s="2"/>
      <c r="K857" s="2"/>
      <c r="L857" s="2"/>
      <c r="M857" s="2"/>
      <c r="N857" s="2"/>
      <c r="O857" s="2"/>
      <c r="P857" s="2"/>
      <c r="Q857" s="2"/>
      <c r="R857" s="2"/>
      <c r="S857" s="2"/>
      <c r="T857" s="2"/>
      <c r="U857" s="2"/>
      <c r="V857" s="2"/>
      <c r="W857" s="2"/>
    </row>
    <row r="858" spans="1:23" ht="75" customHeight="1" x14ac:dyDescent="0.15">
      <c r="A858" s="2">
        <v>1017</v>
      </c>
      <c r="B858" s="2" t="s">
        <v>955</v>
      </c>
      <c r="C858" s="2" t="s">
        <v>956</v>
      </c>
      <c r="D858" s="2" t="s">
        <v>966</v>
      </c>
      <c r="E858" s="5">
        <v>41886</v>
      </c>
      <c r="F858" s="5">
        <v>41886</v>
      </c>
      <c r="G858" s="2"/>
      <c r="H858" s="2"/>
      <c r="I858" s="2" t="b">
        <f t="shared" si="3"/>
        <v>1</v>
      </c>
      <c r="J858" s="2"/>
      <c r="K858" s="2"/>
      <c r="L858" s="2"/>
      <c r="M858" s="2"/>
      <c r="N858" s="2"/>
      <c r="O858" s="2"/>
      <c r="P858" s="2"/>
      <c r="Q858" s="2"/>
      <c r="R858" s="2"/>
      <c r="S858" s="2"/>
      <c r="T858" s="2"/>
      <c r="U858" s="2"/>
      <c r="V858" s="2"/>
      <c r="W858" s="2"/>
    </row>
    <row r="859" spans="1:23" ht="75" customHeight="1" x14ac:dyDescent="0.15">
      <c r="A859" s="2">
        <v>1018</v>
      </c>
      <c r="B859" s="2" t="s">
        <v>955</v>
      </c>
      <c r="C859" s="2" t="s">
        <v>956</v>
      </c>
      <c r="D859" s="2" t="s">
        <v>967</v>
      </c>
      <c r="E859" s="5">
        <v>42282</v>
      </c>
      <c r="F859" s="5">
        <v>42282</v>
      </c>
      <c r="G859" s="2"/>
      <c r="H859" s="2"/>
      <c r="I859" s="2" t="b">
        <f t="shared" si="3"/>
        <v>1</v>
      </c>
      <c r="J859" s="2"/>
      <c r="K859" s="2"/>
      <c r="L859" s="2"/>
      <c r="M859" s="2"/>
      <c r="N859" s="2"/>
      <c r="O859" s="2"/>
      <c r="P859" s="2"/>
      <c r="Q859" s="2"/>
      <c r="R859" s="2"/>
      <c r="S859" s="2"/>
      <c r="T859" s="2"/>
      <c r="U859" s="2"/>
      <c r="V859" s="2"/>
      <c r="W859" s="2"/>
    </row>
    <row r="860" spans="1:23" ht="75" customHeight="1" x14ac:dyDescent="0.15">
      <c r="A860" s="2">
        <v>1019</v>
      </c>
      <c r="B860" s="2" t="s">
        <v>955</v>
      </c>
      <c r="C860" s="2" t="s">
        <v>956</v>
      </c>
      <c r="D860" s="2" t="s">
        <v>968</v>
      </c>
      <c r="E860" s="6">
        <v>37577</v>
      </c>
      <c r="F860" s="6">
        <v>37577</v>
      </c>
      <c r="G860" s="2"/>
      <c r="H860" s="2"/>
      <c r="I860" s="2" t="b">
        <f t="shared" si="3"/>
        <v>1</v>
      </c>
      <c r="J860" s="2"/>
      <c r="K860" s="2"/>
      <c r="L860" s="2"/>
      <c r="M860" s="2"/>
      <c r="N860" s="2"/>
      <c r="O860" s="2"/>
      <c r="P860" s="2"/>
      <c r="Q860" s="2"/>
      <c r="R860" s="2"/>
      <c r="S860" s="2"/>
      <c r="T860" s="2"/>
      <c r="U860" s="2"/>
      <c r="V860" s="2"/>
      <c r="W860" s="2"/>
    </row>
    <row r="861" spans="1:23" ht="75" customHeight="1" x14ac:dyDescent="0.15">
      <c r="A861" s="2">
        <v>1020</v>
      </c>
      <c r="B861" s="2" t="s">
        <v>955</v>
      </c>
      <c r="C861" s="2" t="s">
        <v>956</v>
      </c>
      <c r="D861" s="2" t="s">
        <v>969</v>
      </c>
      <c r="E861" s="5">
        <v>44169</v>
      </c>
      <c r="F861" s="5">
        <v>44169</v>
      </c>
      <c r="G861" s="2"/>
      <c r="H861" s="2"/>
      <c r="I861" s="2" t="b">
        <f t="shared" si="3"/>
        <v>1</v>
      </c>
      <c r="J861" s="2"/>
      <c r="K861" s="2"/>
      <c r="L861" s="2"/>
      <c r="M861" s="2"/>
      <c r="N861" s="2"/>
      <c r="O861" s="2"/>
      <c r="P861" s="2"/>
      <c r="Q861" s="2"/>
      <c r="R861" s="2"/>
      <c r="S861" s="2"/>
      <c r="T861" s="2"/>
      <c r="U861" s="2"/>
      <c r="V861" s="2"/>
      <c r="W861" s="2"/>
    </row>
    <row r="862" spans="1:23" ht="75" customHeight="1" x14ac:dyDescent="0.15">
      <c r="A862" s="2">
        <v>1021</v>
      </c>
      <c r="B862" s="2" t="s">
        <v>955</v>
      </c>
      <c r="C862" s="2" t="s">
        <v>956</v>
      </c>
      <c r="D862" s="2" t="s">
        <v>970</v>
      </c>
      <c r="E862" s="5">
        <v>45341</v>
      </c>
      <c r="F862" s="5">
        <v>45341</v>
      </c>
      <c r="G862" s="2"/>
      <c r="H862" s="2"/>
      <c r="I862" s="2" t="b">
        <f t="shared" si="3"/>
        <v>1</v>
      </c>
      <c r="J862" s="2"/>
      <c r="K862" s="2"/>
      <c r="L862" s="2"/>
      <c r="M862" s="2"/>
      <c r="N862" s="2"/>
      <c r="O862" s="2"/>
      <c r="P862" s="2"/>
      <c r="Q862" s="2"/>
      <c r="R862" s="2"/>
      <c r="S862" s="2"/>
      <c r="T862" s="2"/>
      <c r="U862" s="2"/>
      <c r="V862" s="2"/>
      <c r="W862" s="2"/>
    </row>
    <row r="863" spans="1:23" ht="75" customHeight="1" x14ac:dyDescent="0.15">
      <c r="A863" s="2">
        <v>1022</v>
      </c>
      <c r="B863" s="2" t="s">
        <v>955</v>
      </c>
      <c r="C863" s="2" t="s">
        <v>956</v>
      </c>
      <c r="D863" s="2" t="s">
        <v>971</v>
      </c>
      <c r="E863" s="5">
        <v>39244</v>
      </c>
      <c r="F863" s="5">
        <v>39244</v>
      </c>
      <c r="G863" s="2"/>
      <c r="H863" s="2"/>
      <c r="I863" s="2" t="b">
        <f t="shared" si="3"/>
        <v>1</v>
      </c>
      <c r="J863" s="2"/>
      <c r="K863" s="2"/>
      <c r="L863" s="2"/>
      <c r="M863" s="2"/>
      <c r="N863" s="2"/>
      <c r="O863" s="2"/>
      <c r="P863" s="2"/>
      <c r="Q863" s="2"/>
      <c r="R863" s="2"/>
      <c r="S863" s="2"/>
      <c r="T863" s="2"/>
      <c r="U863" s="2"/>
      <c r="V863" s="2"/>
      <c r="W863" s="2"/>
    </row>
    <row r="864" spans="1:23" ht="75" customHeight="1" x14ac:dyDescent="0.15">
      <c r="A864" s="2">
        <v>1023</v>
      </c>
      <c r="B864" s="2" t="s">
        <v>955</v>
      </c>
      <c r="C864" s="2" t="s">
        <v>956</v>
      </c>
      <c r="D864" s="2" t="s">
        <v>972</v>
      </c>
      <c r="E864" s="5">
        <v>36596</v>
      </c>
      <c r="F864" s="5">
        <v>36596</v>
      </c>
      <c r="G864" s="2"/>
      <c r="H864" s="2"/>
      <c r="I864" s="2" t="b">
        <f t="shared" si="3"/>
        <v>1</v>
      </c>
      <c r="J864" s="2"/>
      <c r="K864" s="2"/>
      <c r="L864" s="2"/>
      <c r="M864" s="2"/>
      <c r="N864" s="2"/>
      <c r="O864" s="2"/>
      <c r="P864" s="2"/>
      <c r="Q864" s="2"/>
      <c r="R864" s="2"/>
      <c r="S864" s="2"/>
      <c r="T864" s="2"/>
      <c r="U864" s="2"/>
      <c r="V864" s="2"/>
      <c r="W864" s="2"/>
    </row>
    <row r="865" spans="1:23" ht="75" customHeight="1" x14ac:dyDescent="0.15">
      <c r="A865" s="2">
        <v>1024</v>
      </c>
      <c r="B865" s="2" t="s">
        <v>955</v>
      </c>
      <c r="C865" s="2" t="s">
        <v>956</v>
      </c>
      <c r="D865" s="2" t="s">
        <v>973</v>
      </c>
      <c r="E865" s="5">
        <v>43714</v>
      </c>
      <c r="F865" s="5">
        <v>43714</v>
      </c>
      <c r="G865" s="2"/>
      <c r="H865" s="2"/>
      <c r="I865" s="2" t="b">
        <f t="shared" si="3"/>
        <v>1</v>
      </c>
      <c r="J865" s="2"/>
      <c r="K865" s="2"/>
      <c r="L865" s="2"/>
      <c r="M865" s="2"/>
      <c r="N865" s="2"/>
      <c r="O865" s="2"/>
      <c r="P865" s="2"/>
      <c r="Q865" s="2"/>
      <c r="R865" s="2"/>
      <c r="S865" s="2"/>
      <c r="T865" s="2"/>
      <c r="U865" s="2"/>
      <c r="V865" s="2"/>
      <c r="W865" s="2"/>
    </row>
    <row r="866" spans="1:23" ht="75" customHeight="1" x14ac:dyDescent="0.15">
      <c r="A866" s="2">
        <v>1025</v>
      </c>
      <c r="B866" s="2" t="s">
        <v>955</v>
      </c>
      <c r="C866" s="2" t="s">
        <v>956</v>
      </c>
      <c r="D866" s="2" t="s">
        <v>974</v>
      </c>
      <c r="E866" s="5">
        <v>41522</v>
      </c>
      <c r="F866" s="5">
        <v>41522</v>
      </c>
      <c r="G866" s="2"/>
      <c r="H866" s="2"/>
      <c r="I866" s="2" t="b">
        <f t="shared" si="3"/>
        <v>1</v>
      </c>
      <c r="J866" s="2"/>
      <c r="K866" s="2"/>
      <c r="L866" s="2"/>
      <c r="M866" s="2"/>
      <c r="N866" s="2"/>
      <c r="O866" s="2"/>
      <c r="P866" s="2"/>
      <c r="Q866" s="2"/>
      <c r="R866" s="2"/>
      <c r="S866" s="2"/>
      <c r="T866" s="2"/>
      <c r="U866" s="2"/>
      <c r="V866" s="2"/>
      <c r="W866" s="2"/>
    </row>
    <row r="867" spans="1:23" ht="75" customHeight="1" x14ac:dyDescent="0.15">
      <c r="A867" s="2">
        <v>1026</v>
      </c>
      <c r="B867" s="2" t="s">
        <v>955</v>
      </c>
      <c r="C867" s="2" t="s">
        <v>956</v>
      </c>
      <c r="D867" s="2" t="s">
        <v>975</v>
      </c>
      <c r="E867" s="5">
        <v>39029</v>
      </c>
      <c r="F867" s="5">
        <v>39029</v>
      </c>
      <c r="G867" s="2"/>
      <c r="H867" s="2"/>
      <c r="I867" s="2" t="b">
        <f t="shared" si="3"/>
        <v>1</v>
      </c>
      <c r="J867" s="2"/>
      <c r="K867" s="2"/>
      <c r="L867" s="2"/>
      <c r="M867" s="2"/>
      <c r="N867" s="2"/>
      <c r="O867" s="2"/>
      <c r="P867" s="2"/>
      <c r="Q867" s="2"/>
      <c r="R867" s="2"/>
      <c r="S867" s="2"/>
      <c r="T867" s="2"/>
      <c r="U867" s="2"/>
      <c r="V867" s="2"/>
      <c r="W867" s="2"/>
    </row>
    <row r="868" spans="1:23" ht="75" customHeight="1" x14ac:dyDescent="0.15">
      <c r="A868" s="2">
        <v>1027</v>
      </c>
      <c r="B868" s="2" t="s">
        <v>955</v>
      </c>
      <c r="C868" s="2" t="s">
        <v>956</v>
      </c>
      <c r="D868" s="2" t="s">
        <v>976</v>
      </c>
      <c r="E868" s="5">
        <v>41141</v>
      </c>
      <c r="F868" s="5">
        <v>41141</v>
      </c>
      <c r="G868" s="2"/>
      <c r="H868" s="2"/>
      <c r="I868" s="2" t="b">
        <f t="shared" si="3"/>
        <v>1</v>
      </c>
      <c r="J868" s="2"/>
      <c r="K868" s="2"/>
      <c r="L868" s="2"/>
      <c r="M868" s="2"/>
      <c r="N868" s="2"/>
      <c r="O868" s="2"/>
      <c r="P868" s="2"/>
      <c r="Q868" s="2"/>
      <c r="R868" s="2"/>
      <c r="S868" s="2"/>
      <c r="T868" s="2"/>
      <c r="U868" s="2"/>
      <c r="V868" s="2"/>
      <c r="W868" s="2"/>
    </row>
    <row r="869" spans="1:23" ht="75" customHeight="1" x14ac:dyDescent="0.15">
      <c r="A869" s="2">
        <v>1028</v>
      </c>
      <c r="B869" s="2" t="s">
        <v>977</v>
      </c>
      <c r="C869" s="2" t="s">
        <v>978</v>
      </c>
      <c r="D869" s="2" t="s">
        <v>979</v>
      </c>
      <c r="E869" s="2">
        <v>6</v>
      </c>
      <c r="F869" s="2">
        <v>6</v>
      </c>
      <c r="G869" s="2"/>
      <c r="H869" s="2"/>
      <c r="I869" s="2" t="b">
        <f t="shared" si="3"/>
        <v>1</v>
      </c>
      <c r="J869" s="2"/>
      <c r="K869" s="2"/>
      <c r="L869" s="2"/>
      <c r="M869" s="2"/>
      <c r="N869" s="2"/>
      <c r="O869" s="2"/>
      <c r="P869" s="2"/>
      <c r="Q869" s="2"/>
      <c r="R869" s="2"/>
      <c r="S869" s="2"/>
      <c r="T869" s="2"/>
      <c r="U869" s="2"/>
      <c r="V869" s="2"/>
      <c r="W869" s="2"/>
    </row>
    <row r="870" spans="1:23" ht="75" customHeight="1" x14ac:dyDescent="0.15">
      <c r="A870" s="2">
        <v>1029</v>
      </c>
      <c r="B870" s="2" t="s">
        <v>977</v>
      </c>
      <c r="C870" s="2" t="s">
        <v>978</v>
      </c>
      <c r="D870" s="2" t="s">
        <v>980</v>
      </c>
      <c r="E870" s="2">
        <v>99</v>
      </c>
      <c r="F870" s="2">
        <v>99</v>
      </c>
      <c r="G870" s="2"/>
      <c r="H870" s="2"/>
      <c r="I870" s="2" t="b">
        <f t="shared" si="3"/>
        <v>1</v>
      </c>
      <c r="J870" s="2"/>
      <c r="K870" s="2"/>
      <c r="L870" s="2"/>
      <c r="M870" s="2"/>
      <c r="N870" s="2"/>
      <c r="O870" s="2"/>
      <c r="P870" s="2"/>
      <c r="Q870" s="2"/>
      <c r="R870" s="2"/>
      <c r="S870" s="2"/>
      <c r="T870" s="2"/>
      <c r="U870" s="2"/>
      <c r="V870" s="2"/>
      <c r="W870" s="2"/>
    </row>
    <row r="871" spans="1:23" ht="75" customHeight="1" x14ac:dyDescent="0.15">
      <c r="A871" s="2">
        <v>1030</v>
      </c>
      <c r="B871" s="2" t="s">
        <v>977</v>
      </c>
      <c r="C871" s="2" t="s">
        <v>978</v>
      </c>
      <c r="D871" s="2" t="s">
        <v>981</v>
      </c>
      <c r="E871" s="2">
        <v>25</v>
      </c>
      <c r="F871" s="2">
        <v>25</v>
      </c>
      <c r="G871" s="2"/>
      <c r="H871" s="2"/>
      <c r="I871" s="2" t="b">
        <f t="shared" si="3"/>
        <v>1</v>
      </c>
      <c r="J871" s="2"/>
      <c r="K871" s="2"/>
      <c r="L871" s="2"/>
      <c r="M871" s="2"/>
      <c r="N871" s="2"/>
      <c r="O871" s="2"/>
      <c r="P871" s="2"/>
      <c r="Q871" s="2"/>
      <c r="R871" s="2"/>
      <c r="S871" s="2"/>
      <c r="T871" s="2"/>
      <c r="U871" s="2"/>
      <c r="V871" s="2"/>
      <c r="W871" s="2"/>
    </row>
    <row r="872" spans="1:23" ht="75" customHeight="1" x14ac:dyDescent="0.15">
      <c r="A872" s="2">
        <v>1031</v>
      </c>
      <c r="B872" s="2" t="s">
        <v>977</v>
      </c>
      <c r="C872" s="2" t="s">
        <v>978</v>
      </c>
      <c r="D872" s="2" t="s">
        <v>982</v>
      </c>
      <c r="E872" s="2">
        <v>62</v>
      </c>
      <c r="F872" s="2">
        <v>62</v>
      </c>
      <c r="G872" s="2"/>
      <c r="H872" s="2"/>
      <c r="I872" s="2" t="b">
        <f t="shared" si="3"/>
        <v>1</v>
      </c>
      <c r="J872" s="2"/>
      <c r="K872" s="2"/>
      <c r="L872" s="2"/>
      <c r="M872" s="2"/>
      <c r="N872" s="2"/>
      <c r="O872" s="2"/>
      <c r="P872" s="2"/>
      <c r="Q872" s="2"/>
      <c r="R872" s="2"/>
      <c r="S872" s="2"/>
      <c r="T872" s="2"/>
      <c r="U872" s="2"/>
      <c r="V872" s="2"/>
      <c r="W872" s="2"/>
    </row>
    <row r="873" spans="1:23" ht="75" customHeight="1" x14ac:dyDescent="0.15">
      <c r="A873" s="2">
        <v>1032</v>
      </c>
      <c r="B873" s="2" t="s">
        <v>977</v>
      </c>
      <c r="C873" s="2" t="s">
        <v>978</v>
      </c>
      <c r="D873" s="2" t="s">
        <v>983</v>
      </c>
      <c r="E873" s="2">
        <v>249</v>
      </c>
      <c r="F873" s="2">
        <v>249</v>
      </c>
      <c r="G873" s="2"/>
      <c r="H873" s="2"/>
      <c r="I873" s="2" t="b">
        <f t="shared" si="3"/>
        <v>1</v>
      </c>
      <c r="J873" s="2"/>
      <c r="K873" s="2"/>
      <c r="L873" s="2"/>
      <c r="M873" s="2"/>
      <c r="N873" s="2"/>
      <c r="O873" s="2"/>
      <c r="P873" s="2"/>
      <c r="Q873" s="2"/>
      <c r="R873" s="2"/>
      <c r="S873" s="2"/>
      <c r="T873" s="2"/>
      <c r="U873" s="2"/>
      <c r="V873" s="2"/>
      <c r="W873" s="2"/>
    </row>
    <row r="874" spans="1:23" ht="75" customHeight="1" x14ac:dyDescent="0.15">
      <c r="A874" s="2">
        <v>1033</v>
      </c>
      <c r="B874" s="2" t="s">
        <v>977</v>
      </c>
      <c r="C874" s="2" t="s">
        <v>978</v>
      </c>
      <c r="D874" s="2" t="s">
        <v>984</v>
      </c>
      <c r="E874" s="2">
        <v>200</v>
      </c>
      <c r="F874" s="2">
        <v>200</v>
      </c>
      <c r="G874" s="2"/>
      <c r="H874" s="2"/>
      <c r="I874" s="2" t="b">
        <f t="shared" si="3"/>
        <v>1</v>
      </c>
      <c r="J874" s="2"/>
      <c r="K874" s="2"/>
      <c r="L874" s="2"/>
      <c r="M874" s="2"/>
      <c r="N874" s="2"/>
      <c r="O874" s="2"/>
      <c r="P874" s="2"/>
      <c r="Q874" s="2"/>
      <c r="R874" s="2"/>
      <c r="S874" s="2"/>
      <c r="T874" s="2"/>
      <c r="U874" s="2"/>
      <c r="V874" s="2"/>
      <c r="W874" s="2"/>
    </row>
    <row r="875" spans="1:23" ht="75" customHeight="1" x14ac:dyDescent="0.15">
      <c r="A875" s="2">
        <v>1034</v>
      </c>
      <c r="B875" s="2" t="s">
        <v>977</v>
      </c>
      <c r="C875" s="2" t="s">
        <v>978</v>
      </c>
      <c r="D875" s="2" t="s">
        <v>985</v>
      </c>
      <c r="E875" s="2">
        <v>248</v>
      </c>
      <c r="F875" s="2">
        <v>248</v>
      </c>
      <c r="G875" s="2"/>
      <c r="H875" s="2"/>
      <c r="I875" s="2" t="b">
        <f t="shared" si="3"/>
        <v>1</v>
      </c>
      <c r="J875" s="2"/>
      <c r="K875" s="2"/>
      <c r="L875" s="2"/>
      <c r="M875" s="2"/>
      <c r="N875" s="2"/>
      <c r="O875" s="2"/>
      <c r="P875" s="2"/>
      <c r="Q875" s="2"/>
      <c r="R875" s="2"/>
      <c r="S875" s="2"/>
      <c r="T875" s="2"/>
      <c r="U875" s="2"/>
      <c r="V875" s="2"/>
      <c r="W875" s="2"/>
    </row>
    <row r="876" spans="1:23" ht="75" customHeight="1" x14ac:dyDescent="0.15">
      <c r="A876" s="2">
        <v>1035</v>
      </c>
      <c r="B876" s="2" t="s">
        <v>977</v>
      </c>
      <c r="C876" s="2" t="s">
        <v>978</v>
      </c>
      <c r="D876" s="2" t="s">
        <v>986</v>
      </c>
      <c r="E876" s="2">
        <v>213</v>
      </c>
      <c r="F876" s="2">
        <v>213</v>
      </c>
      <c r="G876" s="2"/>
      <c r="H876" s="2"/>
      <c r="I876" s="2" t="b">
        <f t="shared" si="3"/>
        <v>1</v>
      </c>
      <c r="J876" s="2"/>
      <c r="K876" s="2"/>
      <c r="L876" s="2"/>
      <c r="M876" s="2"/>
      <c r="N876" s="2"/>
      <c r="O876" s="2"/>
      <c r="P876" s="2"/>
      <c r="Q876" s="2"/>
      <c r="R876" s="2"/>
      <c r="S876" s="2"/>
      <c r="T876" s="2"/>
      <c r="U876" s="2"/>
      <c r="V876" s="2"/>
      <c r="W876" s="2"/>
    </row>
    <row r="877" spans="1:23" ht="75" customHeight="1" x14ac:dyDescent="0.15">
      <c r="A877" s="2">
        <v>1036</v>
      </c>
      <c r="B877" s="2" t="s">
        <v>977</v>
      </c>
      <c r="C877" s="2" t="s">
        <v>978</v>
      </c>
      <c r="D877" s="2" t="s">
        <v>987</v>
      </c>
      <c r="E877" s="2">
        <v>125</v>
      </c>
      <c r="F877" s="2">
        <v>125</v>
      </c>
      <c r="G877" s="2"/>
      <c r="H877" s="2"/>
      <c r="I877" s="2" t="b">
        <f t="shared" si="3"/>
        <v>1</v>
      </c>
      <c r="J877" s="2"/>
      <c r="K877" s="2"/>
      <c r="L877" s="2"/>
      <c r="M877" s="2"/>
      <c r="N877" s="2"/>
      <c r="O877" s="2"/>
      <c r="P877" s="2"/>
      <c r="Q877" s="2"/>
      <c r="R877" s="2"/>
      <c r="S877" s="2"/>
      <c r="T877" s="2"/>
      <c r="U877" s="2"/>
      <c r="V877" s="2"/>
      <c r="W877" s="2"/>
    </row>
    <row r="878" spans="1:23" ht="75" customHeight="1" x14ac:dyDescent="0.15">
      <c r="A878" s="2">
        <v>1037</v>
      </c>
      <c r="B878" s="2" t="s">
        <v>977</v>
      </c>
      <c r="C878" s="2" t="s">
        <v>978</v>
      </c>
      <c r="D878" s="2" t="s">
        <v>988</v>
      </c>
      <c r="E878" s="2">
        <v>107</v>
      </c>
      <c r="F878" s="2">
        <v>107</v>
      </c>
      <c r="G878" s="2"/>
      <c r="H878" s="2"/>
      <c r="I878" s="2" t="b">
        <f t="shared" si="3"/>
        <v>1</v>
      </c>
      <c r="J878" s="2"/>
      <c r="K878" s="2"/>
      <c r="L878" s="2"/>
      <c r="M878" s="2"/>
      <c r="N878" s="2"/>
      <c r="O878" s="2"/>
      <c r="P878" s="2"/>
      <c r="Q878" s="2"/>
      <c r="R878" s="2"/>
      <c r="S878" s="2"/>
      <c r="T878" s="2"/>
      <c r="U878" s="2"/>
      <c r="V878" s="2"/>
      <c r="W878" s="2"/>
    </row>
    <row r="879" spans="1:23" ht="75" customHeight="1" x14ac:dyDescent="0.15">
      <c r="A879" s="2">
        <v>1038</v>
      </c>
      <c r="B879" s="2" t="s">
        <v>977</v>
      </c>
      <c r="C879" s="2" t="s">
        <v>978</v>
      </c>
      <c r="D879" s="2" t="s">
        <v>989</v>
      </c>
      <c r="E879" s="2">
        <v>127</v>
      </c>
      <c r="F879" s="2">
        <v>127</v>
      </c>
      <c r="G879" s="2"/>
      <c r="H879" s="2"/>
      <c r="I879" s="2" t="b">
        <f t="shared" si="3"/>
        <v>1</v>
      </c>
      <c r="J879" s="2"/>
      <c r="K879" s="2"/>
      <c r="L879" s="2"/>
      <c r="M879" s="2"/>
      <c r="N879" s="2"/>
      <c r="O879" s="2"/>
      <c r="P879" s="2"/>
      <c r="Q879" s="2"/>
      <c r="R879" s="2"/>
      <c r="S879" s="2"/>
      <c r="T879" s="2"/>
      <c r="U879" s="2"/>
      <c r="V879" s="2"/>
      <c r="W879" s="2"/>
    </row>
    <row r="880" spans="1:23" ht="75" customHeight="1" x14ac:dyDescent="0.15">
      <c r="A880" s="2">
        <v>1039</v>
      </c>
      <c r="B880" s="2" t="s">
        <v>977</v>
      </c>
      <c r="C880" s="2" t="s">
        <v>978</v>
      </c>
      <c r="D880" s="2" t="s">
        <v>990</v>
      </c>
      <c r="E880" s="2">
        <v>238</v>
      </c>
      <c r="F880" s="2">
        <v>238</v>
      </c>
      <c r="G880" s="2"/>
      <c r="H880" s="2"/>
      <c r="I880" s="2" t="b">
        <f t="shared" si="3"/>
        <v>1</v>
      </c>
      <c r="J880" s="2"/>
      <c r="K880" s="2"/>
      <c r="L880" s="2"/>
      <c r="M880" s="2"/>
      <c r="N880" s="2"/>
      <c r="O880" s="2"/>
      <c r="P880" s="2"/>
      <c r="Q880" s="2"/>
      <c r="R880" s="2"/>
      <c r="S880" s="2"/>
      <c r="T880" s="2"/>
      <c r="U880" s="2"/>
      <c r="V880" s="2"/>
      <c r="W880" s="2"/>
    </row>
    <row r="881" spans="1:23" ht="75" customHeight="1" x14ac:dyDescent="0.15">
      <c r="A881" s="2">
        <v>1040</v>
      </c>
      <c r="B881" s="2" t="s">
        <v>977</v>
      </c>
      <c r="C881" s="2" t="s">
        <v>978</v>
      </c>
      <c r="D881" s="2" t="s">
        <v>991</v>
      </c>
      <c r="E881" s="2">
        <v>173</v>
      </c>
      <c r="F881" s="2">
        <v>173</v>
      </c>
      <c r="G881" s="2"/>
      <c r="H881" s="2"/>
      <c r="I881" s="2" t="b">
        <f t="shared" si="3"/>
        <v>1</v>
      </c>
      <c r="J881" s="2"/>
      <c r="K881" s="2"/>
      <c r="L881" s="2"/>
      <c r="M881" s="2"/>
      <c r="N881" s="2"/>
      <c r="O881" s="2"/>
      <c r="P881" s="2"/>
      <c r="Q881" s="2"/>
      <c r="R881" s="2"/>
      <c r="S881" s="2"/>
      <c r="T881" s="2"/>
      <c r="U881" s="2"/>
      <c r="V881" s="2"/>
      <c r="W881" s="2"/>
    </row>
    <row r="882" spans="1:23" ht="75" customHeight="1" x14ac:dyDescent="0.15">
      <c r="A882" s="2">
        <v>1041</v>
      </c>
      <c r="B882" s="2" t="s">
        <v>977</v>
      </c>
      <c r="C882" s="2" t="s">
        <v>978</v>
      </c>
      <c r="D882" s="2" t="s">
        <v>992</v>
      </c>
      <c r="E882" s="2">
        <v>31</v>
      </c>
      <c r="F882" s="2">
        <v>31</v>
      </c>
      <c r="G882" s="2"/>
      <c r="H882" s="2"/>
      <c r="I882" s="2" t="b">
        <f t="shared" si="3"/>
        <v>1</v>
      </c>
      <c r="J882" s="2"/>
      <c r="K882" s="2"/>
      <c r="L882" s="2"/>
      <c r="M882" s="2"/>
      <c r="N882" s="2"/>
      <c r="O882" s="2"/>
      <c r="P882" s="2"/>
      <c r="Q882" s="2"/>
      <c r="R882" s="2"/>
      <c r="S882" s="2"/>
      <c r="T882" s="2"/>
      <c r="U882" s="2"/>
      <c r="V882" s="2"/>
      <c r="W882" s="2"/>
    </row>
    <row r="883" spans="1:23" ht="75" customHeight="1" x14ac:dyDescent="0.15">
      <c r="A883" s="2">
        <v>1042</v>
      </c>
      <c r="B883" s="2" t="s">
        <v>977</v>
      </c>
      <c r="C883" s="2" t="s">
        <v>978</v>
      </c>
      <c r="D883" s="2" t="s">
        <v>993</v>
      </c>
      <c r="E883" s="2">
        <v>206</v>
      </c>
      <c r="F883" s="2">
        <v>206</v>
      </c>
      <c r="G883" s="2"/>
      <c r="H883" s="2"/>
      <c r="I883" s="2" t="b">
        <f t="shared" si="3"/>
        <v>1</v>
      </c>
      <c r="J883" s="2"/>
      <c r="K883" s="2"/>
      <c r="L883" s="2"/>
      <c r="M883" s="2"/>
      <c r="N883" s="2"/>
      <c r="O883" s="2"/>
      <c r="P883" s="2"/>
      <c r="Q883" s="2"/>
      <c r="R883" s="2"/>
      <c r="S883" s="2"/>
      <c r="T883" s="2"/>
      <c r="U883" s="2"/>
      <c r="V883" s="2"/>
      <c r="W883" s="2"/>
    </row>
    <row r="884" spans="1:23" ht="75" customHeight="1" x14ac:dyDescent="0.15">
      <c r="A884" s="2">
        <v>1043</v>
      </c>
      <c r="B884" s="2" t="s">
        <v>977</v>
      </c>
      <c r="C884" s="2" t="s">
        <v>978</v>
      </c>
      <c r="D884" s="2" t="s">
        <v>994</v>
      </c>
      <c r="E884" s="2">
        <v>185</v>
      </c>
      <c r="F884" s="2">
        <v>185</v>
      </c>
      <c r="G884" s="2"/>
      <c r="H884" s="2"/>
      <c r="I884" s="2" t="b">
        <f t="shared" si="3"/>
        <v>1</v>
      </c>
      <c r="J884" s="2"/>
      <c r="K884" s="2"/>
      <c r="L884" s="2"/>
      <c r="M884" s="2"/>
      <c r="N884" s="2"/>
      <c r="O884" s="2"/>
      <c r="P884" s="2"/>
      <c r="Q884" s="2"/>
      <c r="R884" s="2"/>
      <c r="S884" s="2"/>
      <c r="T884" s="2"/>
      <c r="U884" s="2"/>
      <c r="V884" s="2"/>
      <c r="W884" s="2"/>
    </row>
    <row r="885" spans="1:23" ht="75" customHeight="1" x14ac:dyDescent="0.15">
      <c r="A885" s="2">
        <v>1044</v>
      </c>
      <c r="B885" s="2" t="s">
        <v>977</v>
      </c>
      <c r="C885" s="2" t="s">
        <v>978</v>
      </c>
      <c r="D885" s="2" t="s">
        <v>995</v>
      </c>
      <c r="E885" s="2">
        <v>255</v>
      </c>
      <c r="F885" s="2">
        <v>255</v>
      </c>
      <c r="G885" s="2"/>
      <c r="H885" s="2"/>
      <c r="I885" s="2" t="b">
        <f t="shared" si="3"/>
        <v>1</v>
      </c>
      <c r="J885" s="2"/>
      <c r="K885" s="2"/>
      <c r="L885" s="2"/>
      <c r="M885" s="2"/>
      <c r="N885" s="2"/>
      <c r="O885" s="2"/>
      <c r="P885" s="2"/>
      <c r="Q885" s="2"/>
      <c r="R885" s="2"/>
      <c r="S885" s="2"/>
      <c r="T885" s="2"/>
      <c r="U885" s="2"/>
      <c r="V885" s="2"/>
      <c r="W885" s="2"/>
    </row>
    <row r="886" spans="1:23" ht="75" customHeight="1" x14ac:dyDescent="0.15">
      <c r="A886" s="2">
        <v>1045</v>
      </c>
      <c r="B886" s="2" t="s">
        <v>977</v>
      </c>
      <c r="C886" s="2" t="s">
        <v>978</v>
      </c>
      <c r="D886" s="2" t="s">
        <v>996</v>
      </c>
      <c r="E886" s="2">
        <v>156</v>
      </c>
      <c r="F886" s="2">
        <v>156</v>
      </c>
      <c r="G886" s="2"/>
      <c r="H886" s="2"/>
      <c r="I886" s="2" t="b">
        <f t="shared" si="3"/>
        <v>1</v>
      </c>
      <c r="J886" s="2"/>
      <c r="K886" s="2"/>
      <c r="L886" s="2"/>
      <c r="M886" s="2"/>
      <c r="N886" s="2"/>
      <c r="O886" s="2"/>
      <c r="P886" s="2"/>
      <c r="Q886" s="2"/>
      <c r="R886" s="2"/>
      <c r="S886" s="2"/>
      <c r="T886" s="2"/>
      <c r="U886" s="2"/>
      <c r="V886" s="2"/>
      <c r="W886" s="2"/>
    </row>
    <row r="887" spans="1:23" ht="75" customHeight="1" x14ac:dyDescent="0.15">
      <c r="A887" s="2">
        <v>1046</v>
      </c>
      <c r="B887" s="2" t="s">
        <v>977</v>
      </c>
      <c r="C887" s="2" t="s">
        <v>978</v>
      </c>
      <c r="D887" s="2" t="s">
        <v>997</v>
      </c>
      <c r="E887" s="2">
        <v>244</v>
      </c>
      <c r="F887" s="2">
        <v>244</v>
      </c>
      <c r="G887" s="2"/>
      <c r="H887" s="2"/>
      <c r="I887" s="2" t="b">
        <f t="shared" si="3"/>
        <v>1</v>
      </c>
      <c r="J887" s="2"/>
      <c r="K887" s="2"/>
      <c r="L887" s="2"/>
      <c r="M887" s="2"/>
      <c r="N887" s="2"/>
      <c r="O887" s="2"/>
      <c r="P887" s="2"/>
      <c r="Q887" s="2"/>
      <c r="R887" s="2"/>
      <c r="S887" s="2"/>
      <c r="T887" s="2"/>
      <c r="U887" s="2"/>
      <c r="V887" s="2"/>
      <c r="W887" s="2"/>
    </row>
    <row r="888" spans="1:23" ht="75" customHeight="1" x14ac:dyDescent="0.15">
      <c r="A888" s="2">
        <v>1047</v>
      </c>
      <c r="B888" s="2" t="s">
        <v>977</v>
      </c>
      <c r="C888" s="2" t="s">
        <v>978</v>
      </c>
      <c r="D888" s="2" t="s">
        <v>998</v>
      </c>
      <c r="E888" s="2">
        <v>100</v>
      </c>
      <c r="F888" s="2">
        <v>100</v>
      </c>
      <c r="G888" s="2"/>
      <c r="H888" s="2"/>
      <c r="I888" s="2" t="b">
        <f t="shared" si="3"/>
        <v>1</v>
      </c>
      <c r="J888" s="2"/>
      <c r="K888" s="2"/>
      <c r="L888" s="2"/>
      <c r="M888" s="2"/>
      <c r="N888" s="2"/>
      <c r="O888" s="2"/>
      <c r="P888" s="2"/>
      <c r="Q888" s="2"/>
      <c r="R888" s="2"/>
      <c r="S888" s="2"/>
      <c r="T888" s="2"/>
      <c r="U888" s="2"/>
      <c r="V888" s="2"/>
      <c r="W888" s="2"/>
    </row>
    <row r="889" spans="1:23" ht="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row>
    <row r="890" spans="1:23" ht="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row>
    <row r="891" spans="1:23" ht="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row>
    <row r="892" spans="1:23" ht="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row>
    <row r="893" spans="1:23" ht="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row>
    <row r="894" spans="1:23" ht="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row>
    <row r="895" spans="1:23" ht="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row>
    <row r="896" spans="1:23" ht="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row>
    <row r="897" spans="1:23" ht="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row>
    <row r="898" spans="1:23" ht="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row>
    <row r="899" spans="1:23" ht="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row>
    <row r="900" spans="1:23" ht="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row>
    <row r="901" spans="1:23" ht="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row>
    <row r="902" spans="1:23" ht="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row>
    <row r="903" spans="1:23" ht="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row>
    <row r="904" spans="1:23" ht="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row>
    <row r="905" spans="1:23" ht="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row>
    <row r="906" spans="1:23" ht="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row>
    <row r="907" spans="1:23" ht="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row>
    <row r="908" spans="1:23" ht="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row>
    <row r="909" spans="1:23" ht="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row>
    <row r="910" spans="1:23" ht="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row>
    <row r="911" spans="1:23" ht="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row>
    <row r="912" spans="1:23" ht="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row>
    <row r="913" spans="1:23" ht="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row>
    <row r="914" spans="1:23" ht="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row>
    <row r="915" spans="1:23" ht="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row>
    <row r="916" spans="1:23" ht="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row>
    <row r="917" spans="1:23" ht="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row>
    <row r="918" spans="1:23" ht="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row>
    <row r="919" spans="1:23" ht="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row>
    <row r="920" spans="1:23" ht="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row>
    <row r="921" spans="1:23" ht="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row>
    <row r="922" spans="1:23" ht="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row>
    <row r="923" spans="1:23" ht="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row>
    <row r="924" spans="1:23" ht="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row>
    <row r="925" spans="1:23" ht="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row>
    <row r="926" spans="1:23" ht="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row>
    <row r="927" spans="1:23" ht="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row>
    <row r="928" spans="1:23" ht="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row>
    <row r="929" spans="1:23" ht="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row>
    <row r="930" spans="1:23" ht="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row>
    <row r="931" spans="1:23" ht="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row>
    <row r="932" spans="1:23" ht="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row>
    <row r="933" spans="1:23" ht="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row>
    <row r="934" spans="1:23" ht="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row>
    <row r="935" spans="1:23" ht="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row>
    <row r="936" spans="1:23" ht="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row>
    <row r="937" spans="1:23" ht="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row>
    <row r="938" spans="1:23" ht="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row>
    <row r="939" spans="1:23" ht="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row>
    <row r="940" spans="1:23" ht="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row>
    <row r="941" spans="1:23" ht="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row>
    <row r="942" spans="1:23" ht="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row>
    <row r="943" spans="1:23" ht="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row>
    <row r="944" spans="1:23" ht="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row>
    <row r="945" spans="1:23" ht="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row>
    <row r="946" spans="1:23" ht="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row>
    <row r="947" spans="1:23" ht="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row>
    <row r="948" spans="1:23" ht="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row>
    <row r="949" spans="1:23" ht="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row>
    <row r="950" spans="1:23" ht="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row>
    <row r="951" spans="1:23" ht="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row>
    <row r="952" spans="1:23" ht="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row>
    <row r="953" spans="1:23" ht="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row>
    <row r="954" spans="1:23" ht="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row>
    <row r="955" spans="1:23" ht="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row>
    <row r="956" spans="1:23" ht="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row>
    <row r="957" spans="1:23" ht="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row>
    <row r="958" spans="1:23" ht="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row>
    <row r="959" spans="1:23" ht="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row>
    <row r="960" spans="1:23" ht="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row>
    <row r="961" spans="1:23" ht="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row>
    <row r="962" spans="1:23" ht="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row>
    <row r="963" spans="1:23" ht="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row>
    <row r="964" spans="1:23" ht="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row>
    <row r="965" spans="1:23" ht="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row>
    <row r="966" spans="1:23" ht="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row>
    <row r="967" spans="1:23" ht="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row>
    <row r="968" spans="1:23" ht="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row>
    <row r="969" spans="1:23" ht="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row>
    <row r="970" spans="1:23" ht="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row>
    <row r="971" spans="1:23" ht="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row>
    <row r="972" spans="1:23" ht="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row>
    <row r="973" spans="1:23" ht="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row>
    <row r="974" spans="1:23" ht="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row>
    <row r="975" spans="1:23" ht="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row>
    <row r="976" spans="1:23" ht="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row>
    <row r="977" spans="1:23" ht="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row>
    <row r="978" spans="1:23" ht="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row>
    <row r="979" spans="1:23" ht="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row>
    <row r="980" spans="1:23" ht="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row>
    <row r="981" spans="1:23" ht="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row>
    <row r="982" spans="1:23" ht="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row>
    <row r="983" spans="1:23" ht="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row>
    <row r="984" spans="1:23" ht="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row>
    <row r="985" spans="1:23" ht="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row>
    <row r="986" spans="1:23" ht="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row>
    <row r="987" spans="1:23" ht="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row>
    <row r="988" spans="1:23" ht="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row>
    <row r="989" spans="1:23" ht="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row>
    <row r="990" spans="1:23" ht="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row>
    <row r="991" spans="1:23" ht="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row>
    <row r="992" spans="1:23" ht="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row>
    <row r="993" spans="1:23" ht="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row>
    <row r="994" spans="1:23" ht="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row>
    <row r="995" spans="1:23" ht="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row>
    <row r="996" spans="1:23" ht="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row>
    <row r="997" spans="1:23" ht="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row>
    <row r="998" spans="1:23" ht="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row>
    <row r="999" spans="1:23" ht="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row>
    <row r="1000" spans="1:23" ht="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spans="1:23" ht="75" customHeight="1"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spans="1:23" ht="75" customHeight="1"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spans="1:23" ht="75" customHeight="1"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spans="1:23" ht="75" customHeight="1"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spans="1:23" ht="75" customHeight="1"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spans="1:23" ht="75" customHeight="1"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spans="1:23" ht="75" customHeight="1"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spans="1:23" ht="75" customHeight="1" x14ac:dyDescent="0.15">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spans="1:23" ht="75" customHeight="1" x14ac:dyDescent="0.15">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spans="1:23" ht="75" customHeight="1" x14ac:dyDescent="0.15">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spans="1:23" ht="75" customHeight="1" x14ac:dyDescent="0.15">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spans="1:23" ht="75" customHeight="1" x14ac:dyDescent="0.15">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spans="1:23" ht="75" customHeight="1" x14ac:dyDescent="0.15">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spans="1:23" ht="75" customHeight="1" x14ac:dyDescent="0.15">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spans="1:23" ht="75" customHeight="1" x14ac:dyDescent="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spans="1:23" ht="75" customHeight="1" x14ac:dyDescent="0.15">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spans="1:23" ht="75" customHeight="1" x14ac:dyDescent="0.15">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row r="1018" spans="1:23" ht="75" customHeight="1" x14ac:dyDescent="0.15">
      <c r="A1018" s="2"/>
      <c r="B1018" s="2"/>
      <c r="C1018" s="2"/>
      <c r="D1018" s="2"/>
      <c r="E1018" s="2"/>
      <c r="F1018" s="2"/>
      <c r="G1018" s="2"/>
      <c r="H1018" s="2"/>
      <c r="I1018" s="2"/>
      <c r="J1018" s="2"/>
      <c r="K1018" s="2"/>
      <c r="L1018" s="2"/>
      <c r="M1018" s="2"/>
      <c r="N1018" s="2"/>
      <c r="O1018" s="2"/>
      <c r="P1018" s="2"/>
      <c r="Q1018" s="2"/>
      <c r="R1018" s="2"/>
      <c r="S1018" s="2"/>
      <c r="T1018" s="2"/>
      <c r="U1018" s="2"/>
      <c r="V1018" s="2"/>
      <c r="W1018" s="2"/>
    </row>
    <row r="1019" spans="1:23" ht="75" customHeight="1" x14ac:dyDescent="0.15">
      <c r="A1019" s="2"/>
      <c r="B1019" s="2"/>
      <c r="C1019" s="2"/>
      <c r="D1019" s="2"/>
      <c r="E1019" s="2"/>
      <c r="F1019" s="2"/>
      <c r="G1019" s="2"/>
      <c r="H1019" s="2"/>
      <c r="I1019" s="2"/>
      <c r="J1019" s="2"/>
      <c r="K1019" s="2"/>
      <c r="L1019" s="2"/>
      <c r="M1019" s="2"/>
      <c r="N1019" s="2"/>
      <c r="O1019" s="2"/>
      <c r="P1019" s="2"/>
      <c r="Q1019" s="2"/>
      <c r="R1019" s="2"/>
      <c r="S1019" s="2"/>
      <c r="T1019" s="2"/>
      <c r="U1019" s="2"/>
      <c r="V1019" s="2"/>
      <c r="W1019" s="2"/>
    </row>
    <row r="1020" spans="1:23" ht="75" customHeight="1" x14ac:dyDescent="0.15">
      <c r="A1020" s="2"/>
      <c r="B1020" s="2"/>
      <c r="C1020" s="2"/>
      <c r="D1020" s="2"/>
      <c r="E1020" s="2"/>
      <c r="F1020" s="2"/>
      <c r="G1020" s="2"/>
      <c r="H1020" s="2"/>
      <c r="I1020" s="2"/>
      <c r="J1020" s="2"/>
      <c r="K1020" s="2"/>
      <c r="L1020" s="2"/>
      <c r="M1020" s="2"/>
      <c r="N1020" s="2"/>
      <c r="O1020" s="2"/>
      <c r="P1020" s="2"/>
      <c r="Q1020" s="2"/>
      <c r="R1020" s="2"/>
      <c r="S1020" s="2"/>
      <c r="T1020" s="2"/>
      <c r="U1020" s="2"/>
      <c r="V1020" s="2"/>
      <c r="W1020" s="2"/>
    </row>
    <row r="1021" spans="1:23" ht="75" customHeight="1" x14ac:dyDescent="0.15">
      <c r="A1021" s="2"/>
      <c r="B1021" s="2"/>
      <c r="C1021" s="2"/>
      <c r="D1021" s="2"/>
      <c r="E1021" s="2"/>
      <c r="F1021" s="2"/>
      <c r="G1021" s="2"/>
      <c r="H1021" s="2"/>
      <c r="I1021" s="2"/>
      <c r="J1021" s="2"/>
      <c r="K1021" s="2"/>
      <c r="L1021" s="2"/>
      <c r="M1021" s="2"/>
      <c r="N1021" s="2"/>
      <c r="O1021" s="2"/>
      <c r="P1021" s="2"/>
      <c r="Q1021" s="2"/>
      <c r="R1021" s="2"/>
      <c r="S1021" s="2"/>
      <c r="T1021" s="2"/>
      <c r="U1021" s="2"/>
      <c r="V1021" s="2"/>
      <c r="W1021" s="2"/>
    </row>
    <row r="1022" spans="1:23" ht="75" customHeight="1" x14ac:dyDescent="0.15">
      <c r="A1022" s="2"/>
      <c r="B1022" s="2"/>
      <c r="C1022" s="2"/>
      <c r="D1022" s="2"/>
      <c r="E1022" s="2"/>
      <c r="F1022" s="2"/>
      <c r="G1022" s="2"/>
      <c r="H1022" s="2"/>
      <c r="I1022" s="2"/>
      <c r="J1022" s="2"/>
      <c r="K1022" s="2"/>
      <c r="L1022" s="2"/>
      <c r="M1022" s="2"/>
      <c r="N1022" s="2"/>
      <c r="O1022" s="2"/>
      <c r="P1022" s="2"/>
      <c r="Q1022" s="2"/>
      <c r="R1022" s="2"/>
      <c r="S1022" s="2"/>
      <c r="T1022" s="2"/>
      <c r="U1022" s="2"/>
      <c r="V1022" s="2"/>
      <c r="W1022" s="2"/>
    </row>
    <row r="1023" spans="1:23" ht="75" customHeight="1" x14ac:dyDescent="0.15">
      <c r="A1023" s="2"/>
      <c r="B1023" s="2"/>
      <c r="C1023" s="2"/>
      <c r="D1023" s="2"/>
      <c r="E1023" s="2"/>
      <c r="F1023" s="2"/>
      <c r="G1023" s="2"/>
      <c r="H1023" s="2"/>
      <c r="I1023" s="2"/>
      <c r="J1023" s="2"/>
      <c r="K1023" s="2"/>
      <c r="L1023" s="2"/>
      <c r="M1023" s="2"/>
      <c r="N1023" s="2"/>
      <c r="O1023" s="2"/>
      <c r="P1023" s="2"/>
      <c r="Q1023" s="2"/>
      <c r="R1023" s="2"/>
      <c r="S1023" s="2"/>
      <c r="T1023" s="2"/>
      <c r="U1023" s="2"/>
      <c r="V1023" s="2"/>
      <c r="W1023" s="2"/>
    </row>
    <row r="1024" spans="1:23" ht="75" customHeight="1" x14ac:dyDescent="0.15">
      <c r="A1024" s="2"/>
      <c r="B1024" s="2"/>
      <c r="C1024" s="2"/>
      <c r="D1024" s="2"/>
      <c r="E1024" s="2"/>
      <c r="F1024" s="2"/>
      <c r="G1024" s="2"/>
      <c r="H1024" s="2"/>
      <c r="I1024" s="2"/>
      <c r="J1024" s="2"/>
      <c r="K1024" s="2"/>
      <c r="L1024" s="2"/>
      <c r="M1024" s="2"/>
      <c r="N1024" s="2"/>
      <c r="O1024" s="2"/>
      <c r="P1024" s="2"/>
      <c r="Q1024" s="2"/>
      <c r="R1024" s="2"/>
      <c r="S1024" s="2"/>
      <c r="T1024" s="2"/>
      <c r="U1024" s="2"/>
      <c r="V1024" s="2"/>
      <c r="W1024" s="2"/>
    </row>
    <row r="1025" spans="1:23" ht="75" customHeight="1" x14ac:dyDescent="0.15">
      <c r="A1025" s="2"/>
      <c r="B1025" s="2"/>
      <c r="C1025" s="2"/>
      <c r="D1025" s="2"/>
      <c r="E1025" s="2"/>
      <c r="F1025" s="2"/>
      <c r="G1025" s="2"/>
      <c r="H1025" s="2"/>
      <c r="I1025" s="2"/>
      <c r="J1025" s="2"/>
      <c r="K1025" s="2"/>
      <c r="L1025" s="2"/>
      <c r="M1025" s="2"/>
      <c r="N1025" s="2"/>
      <c r="O1025" s="2"/>
      <c r="P1025" s="2"/>
      <c r="Q1025" s="2"/>
      <c r="R1025" s="2"/>
      <c r="S1025" s="2"/>
      <c r="T1025" s="2"/>
      <c r="U1025" s="2"/>
      <c r="V1025" s="2"/>
      <c r="W1025" s="2"/>
    </row>
    <row r="1026" spans="1:23" ht="75" customHeight="1" x14ac:dyDescent="0.15">
      <c r="A1026" s="2"/>
      <c r="B1026" s="2"/>
      <c r="C1026" s="2"/>
      <c r="D1026" s="2"/>
      <c r="E1026" s="2"/>
      <c r="F1026" s="2"/>
      <c r="G1026" s="2"/>
      <c r="H1026" s="2"/>
      <c r="I1026" s="2"/>
      <c r="J1026" s="2"/>
      <c r="K1026" s="2"/>
      <c r="L1026" s="2"/>
      <c r="M1026" s="2"/>
      <c r="N1026" s="2"/>
      <c r="O1026" s="2"/>
      <c r="P1026" s="2"/>
      <c r="Q1026" s="2"/>
      <c r="R1026" s="2"/>
      <c r="S1026" s="2"/>
      <c r="T1026" s="2"/>
      <c r="U1026" s="2"/>
      <c r="V1026" s="2"/>
      <c r="W1026" s="2"/>
    </row>
    <row r="1027" spans="1:23" ht="75" customHeight="1" x14ac:dyDescent="0.15">
      <c r="A1027" s="2"/>
      <c r="B1027" s="2"/>
      <c r="C1027" s="2"/>
      <c r="D1027" s="2"/>
      <c r="E1027" s="2"/>
      <c r="F1027" s="2"/>
      <c r="G1027" s="2"/>
      <c r="H1027" s="2"/>
      <c r="I1027" s="2"/>
      <c r="J1027" s="2"/>
      <c r="K1027" s="2"/>
      <c r="L1027" s="2"/>
      <c r="M1027" s="2"/>
      <c r="N1027" s="2"/>
      <c r="O1027" s="2"/>
      <c r="P1027" s="2"/>
      <c r="Q1027" s="2"/>
      <c r="R1027" s="2"/>
      <c r="S1027" s="2"/>
      <c r="T1027" s="2"/>
      <c r="U1027" s="2"/>
      <c r="V1027" s="2"/>
      <c r="W1027" s="2"/>
    </row>
    <row r="1028" spans="1:23" ht="75" customHeight="1" x14ac:dyDescent="0.15">
      <c r="A1028" s="2"/>
      <c r="B1028" s="2"/>
      <c r="C1028" s="2"/>
      <c r="D1028" s="2"/>
      <c r="E1028" s="2"/>
      <c r="F1028" s="2"/>
      <c r="G1028" s="2"/>
      <c r="H1028" s="2"/>
      <c r="I1028" s="2"/>
      <c r="J1028" s="2"/>
      <c r="K1028" s="2"/>
      <c r="L1028" s="2"/>
      <c r="M1028" s="2"/>
      <c r="N1028" s="2"/>
      <c r="O1028" s="2"/>
      <c r="P1028" s="2"/>
      <c r="Q1028" s="2"/>
      <c r="R1028" s="2"/>
      <c r="S1028" s="2"/>
      <c r="T1028" s="2"/>
      <c r="U1028" s="2"/>
      <c r="V1028" s="2"/>
      <c r="W1028" s="2"/>
    </row>
    <row r="1029" spans="1:23" ht="75" customHeight="1" x14ac:dyDescent="0.15">
      <c r="A1029" s="2"/>
      <c r="B1029" s="2"/>
      <c r="C1029" s="2"/>
      <c r="D1029" s="2"/>
      <c r="E1029" s="2"/>
      <c r="F1029" s="2"/>
      <c r="G1029" s="2"/>
      <c r="H1029" s="2"/>
      <c r="I1029" s="2"/>
      <c r="J1029" s="2"/>
      <c r="K1029" s="2"/>
      <c r="L1029" s="2"/>
      <c r="M1029" s="2"/>
      <c r="N1029" s="2"/>
      <c r="O1029" s="2"/>
      <c r="P1029" s="2"/>
      <c r="Q1029" s="2"/>
      <c r="R1029" s="2"/>
      <c r="S1029" s="2"/>
      <c r="T1029" s="2"/>
      <c r="U1029" s="2"/>
      <c r="V1029" s="2"/>
      <c r="W1029" s="2"/>
    </row>
    <row r="1030" spans="1:23" ht="75" customHeight="1" x14ac:dyDescent="0.15">
      <c r="A1030" s="2"/>
      <c r="B1030" s="2"/>
      <c r="C1030" s="2"/>
      <c r="D1030" s="2"/>
      <c r="E1030" s="2"/>
      <c r="F1030" s="2"/>
      <c r="G1030" s="2"/>
      <c r="H1030" s="2"/>
      <c r="I1030" s="2"/>
      <c r="J1030" s="2"/>
      <c r="K1030" s="2"/>
      <c r="L1030" s="2"/>
      <c r="M1030" s="2"/>
      <c r="N1030" s="2"/>
      <c r="O1030" s="2"/>
      <c r="P1030" s="2"/>
      <c r="Q1030" s="2"/>
      <c r="R1030" s="2"/>
      <c r="S1030" s="2"/>
      <c r="T1030" s="2"/>
      <c r="U1030" s="2"/>
      <c r="V1030" s="2"/>
      <c r="W1030" s="2"/>
    </row>
    <row r="1031" spans="1:23" ht="75" customHeight="1" x14ac:dyDescent="0.15">
      <c r="A1031" s="2"/>
      <c r="B1031" s="2"/>
      <c r="C1031" s="2"/>
      <c r="D1031" s="2"/>
      <c r="E1031" s="2"/>
      <c r="F1031" s="2"/>
      <c r="G1031" s="2"/>
      <c r="H1031" s="2"/>
      <c r="I1031" s="2"/>
      <c r="J1031" s="2"/>
      <c r="K1031" s="2"/>
      <c r="L1031" s="2"/>
      <c r="M1031" s="2"/>
      <c r="N1031" s="2"/>
      <c r="O1031" s="2"/>
      <c r="P1031" s="2"/>
      <c r="Q1031" s="2"/>
      <c r="R1031" s="2"/>
      <c r="S1031" s="2"/>
      <c r="T1031" s="2"/>
      <c r="U1031" s="2"/>
      <c r="V1031" s="2"/>
      <c r="W1031" s="2"/>
    </row>
    <row r="1032" spans="1:23" ht="75" customHeight="1" x14ac:dyDescent="0.15">
      <c r="A1032" s="2"/>
      <c r="B1032" s="2"/>
      <c r="C1032" s="2"/>
      <c r="D1032" s="2"/>
      <c r="E1032" s="2"/>
      <c r="F1032" s="2"/>
      <c r="G1032" s="2"/>
      <c r="H1032" s="2"/>
      <c r="I1032" s="2"/>
      <c r="J1032" s="2"/>
      <c r="K1032" s="2"/>
      <c r="L1032" s="2"/>
      <c r="M1032" s="2"/>
      <c r="N1032" s="2"/>
      <c r="O1032" s="2"/>
      <c r="P1032" s="2"/>
      <c r="Q1032" s="2"/>
      <c r="R1032" s="2"/>
      <c r="S1032" s="2"/>
      <c r="T1032" s="2"/>
      <c r="U1032" s="2"/>
      <c r="V1032" s="2"/>
      <c r="W1032" s="2"/>
    </row>
    <row r="1033" spans="1:23" ht="75" customHeight="1" x14ac:dyDescent="0.15">
      <c r="A1033" s="2"/>
      <c r="B1033" s="2"/>
      <c r="C1033" s="2"/>
      <c r="D1033" s="2"/>
      <c r="E1033" s="2"/>
      <c r="F1033" s="2"/>
      <c r="G1033" s="2"/>
      <c r="H1033" s="2"/>
      <c r="I1033" s="2"/>
      <c r="J1033" s="2"/>
      <c r="K1033" s="2"/>
      <c r="L1033" s="2"/>
      <c r="M1033" s="2"/>
      <c r="N1033" s="2"/>
      <c r="O1033" s="2"/>
      <c r="P1033" s="2"/>
      <c r="Q1033" s="2"/>
      <c r="R1033" s="2"/>
      <c r="S1033" s="2"/>
      <c r="T1033" s="2"/>
      <c r="U1033" s="2"/>
      <c r="V1033" s="2"/>
      <c r="W1033" s="2"/>
    </row>
    <row r="1034" spans="1:23" ht="75" customHeight="1" x14ac:dyDescent="0.15">
      <c r="A1034" s="2"/>
      <c r="B1034" s="2"/>
      <c r="C1034" s="2"/>
      <c r="D1034" s="2"/>
      <c r="E1034" s="2"/>
      <c r="F1034" s="2"/>
      <c r="G1034" s="2"/>
      <c r="H1034" s="2"/>
      <c r="I1034" s="2"/>
      <c r="J1034" s="2"/>
      <c r="K1034" s="2"/>
      <c r="L1034" s="2"/>
      <c r="M1034" s="2"/>
      <c r="N1034" s="2"/>
      <c r="O1034" s="2"/>
      <c r="P1034" s="2"/>
      <c r="Q1034" s="2"/>
      <c r="R1034" s="2"/>
      <c r="S1034" s="2"/>
      <c r="T1034" s="2"/>
      <c r="U1034" s="2"/>
      <c r="V1034" s="2"/>
      <c r="W1034" s="2"/>
    </row>
    <row r="1035" spans="1:23" ht="75" customHeight="1" x14ac:dyDescent="0.15">
      <c r="A1035" s="2"/>
      <c r="B1035" s="2"/>
      <c r="C1035" s="2"/>
      <c r="D1035" s="2"/>
      <c r="E1035" s="2"/>
      <c r="F1035" s="2"/>
      <c r="G1035" s="2"/>
      <c r="H1035" s="2"/>
      <c r="I1035" s="2"/>
      <c r="J1035" s="2"/>
      <c r="K1035" s="2"/>
      <c r="L1035" s="2"/>
      <c r="M1035" s="2"/>
      <c r="N1035" s="2"/>
      <c r="O1035" s="2"/>
      <c r="P1035" s="2"/>
      <c r="Q1035" s="2"/>
      <c r="R1035" s="2"/>
      <c r="S1035" s="2"/>
      <c r="T1035" s="2"/>
      <c r="U1035" s="2"/>
      <c r="V1035" s="2"/>
      <c r="W1035" s="2"/>
    </row>
    <row r="1036" spans="1:23" ht="75" customHeight="1" x14ac:dyDescent="0.15">
      <c r="A1036" s="2"/>
      <c r="B1036" s="2"/>
      <c r="C1036" s="2"/>
      <c r="D1036" s="2"/>
      <c r="E1036" s="2"/>
      <c r="F1036" s="2"/>
      <c r="G1036" s="2"/>
      <c r="H1036" s="2"/>
      <c r="I1036" s="2"/>
      <c r="J1036" s="2"/>
      <c r="K1036" s="2"/>
      <c r="L1036" s="2"/>
      <c r="M1036" s="2"/>
      <c r="N1036" s="2"/>
      <c r="O1036" s="2"/>
      <c r="P1036" s="2"/>
      <c r="Q1036" s="2"/>
      <c r="R1036" s="2"/>
      <c r="S1036" s="2"/>
      <c r="T1036" s="2"/>
      <c r="U1036" s="2"/>
      <c r="V1036" s="2"/>
      <c r="W1036" s="2"/>
    </row>
    <row r="1037" spans="1:23" ht="75" customHeight="1" x14ac:dyDescent="0.15">
      <c r="A1037" s="2"/>
      <c r="B1037" s="2"/>
      <c r="C1037" s="2"/>
      <c r="D1037" s="2"/>
      <c r="E1037" s="2"/>
      <c r="F1037" s="2"/>
      <c r="G1037" s="2"/>
      <c r="H1037" s="2"/>
      <c r="I1037" s="2"/>
      <c r="J1037" s="2"/>
      <c r="K1037" s="2"/>
      <c r="L1037" s="2"/>
      <c r="M1037" s="2"/>
      <c r="N1037" s="2"/>
      <c r="O1037" s="2"/>
      <c r="P1037" s="2"/>
      <c r="Q1037" s="2"/>
      <c r="R1037" s="2"/>
      <c r="S1037" s="2"/>
      <c r="T1037" s="2"/>
      <c r="U1037" s="2"/>
      <c r="V1037" s="2"/>
      <c r="W1037" s="2"/>
    </row>
    <row r="1038" spans="1:23" ht="75" customHeight="1" x14ac:dyDescent="0.15">
      <c r="A1038" s="2"/>
      <c r="B1038" s="2"/>
      <c r="C1038" s="2"/>
      <c r="D1038" s="2"/>
      <c r="E1038" s="2"/>
      <c r="F1038" s="2"/>
      <c r="G1038" s="2"/>
      <c r="H1038" s="2"/>
      <c r="I1038" s="2"/>
      <c r="J1038" s="2"/>
      <c r="K1038" s="2"/>
      <c r="L1038" s="2"/>
      <c r="M1038" s="2"/>
      <c r="N1038" s="2"/>
      <c r="O1038" s="2"/>
      <c r="P1038" s="2"/>
      <c r="Q1038" s="2"/>
      <c r="R1038" s="2"/>
      <c r="S1038" s="2"/>
      <c r="T1038" s="2"/>
      <c r="U1038" s="2"/>
      <c r="V1038" s="2"/>
      <c r="W1038" s="2"/>
    </row>
    <row r="1039" spans="1:23" ht="75" customHeight="1" x14ac:dyDescent="0.15">
      <c r="A1039" s="2"/>
      <c r="B1039" s="2"/>
      <c r="C1039" s="2"/>
      <c r="D1039" s="2"/>
      <c r="E1039" s="2"/>
      <c r="F1039" s="2"/>
      <c r="G1039" s="2"/>
      <c r="H1039" s="2"/>
      <c r="I1039" s="2"/>
      <c r="J1039" s="2"/>
      <c r="K1039" s="2"/>
      <c r="L1039" s="2"/>
      <c r="M1039" s="2"/>
      <c r="N1039" s="2"/>
      <c r="O1039" s="2"/>
      <c r="P1039" s="2"/>
      <c r="Q1039" s="2"/>
      <c r="R1039" s="2"/>
      <c r="S1039" s="2"/>
      <c r="T1039" s="2"/>
      <c r="U1039" s="2"/>
      <c r="V1039" s="2"/>
      <c r="W1039" s="2"/>
    </row>
    <row r="1040" spans="1:23" ht="75" customHeight="1" x14ac:dyDescent="0.15">
      <c r="A1040" s="2"/>
      <c r="B1040" s="2"/>
      <c r="C1040" s="2"/>
      <c r="D1040" s="2"/>
      <c r="E1040" s="2"/>
      <c r="F1040" s="2"/>
      <c r="G1040" s="2"/>
      <c r="H1040" s="2"/>
      <c r="I1040" s="2"/>
      <c r="J1040" s="2"/>
      <c r="K1040" s="2"/>
      <c r="L1040" s="2"/>
      <c r="M1040" s="2"/>
      <c r="N1040" s="2"/>
      <c r="O1040" s="2"/>
      <c r="P1040" s="2"/>
      <c r="Q1040" s="2"/>
      <c r="R1040" s="2"/>
      <c r="S1040" s="2"/>
      <c r="T1040" s="2"/>
      <c r="U1040" s="2"/>
      <c r="V1040" s="2"/>
      <c r="W1040" s="2"/>
    </row>
    <row r="1041" spans="1:23" ht="75" customHeight="1" x14ac:dyDescent="0.15">
      <c r="A1041" s="2"/>
      <c r="B1041" s="2"/>
      <c r="C1041" s="2"/>
      <c r="D1041" s="2"/>
      <c r="E1041" s="2"/>
      <c r="F1041" s="2"/>
      <c r="G1041" s="2"/>
      <c r="H1041" s="2"/>
      <c r="I1041" s="2"/>
      <c r="J1041" s="2"/>
      <c r="K1041" s="2"/>
      <c r="L1041" s="2"/>
      <c r="M1041" s="2"/>
      <c r="N1041" s="2"/>
      <c r="O1041" s="2"/>
      <c r="P1041" s="2"/>
      <c r="Q1041" s="2"/>
      <c r="R1041" s="2"/>
      <c r="S1041" s="2"/>
      <c r="T1041" s="2"/>
      <c r="U1041" s="2"/>
      <c r="V1041" s="2"/>
      <c r="W1041" s="2"/>
    </row>
    <row r="1042" spans="1:23" ht="75" customHeight="1" x14ac:dyDescent="0.15">
      <c r="A1042" s="2"/>
      <c r="B1042" s="2"/>
      <c r="C1042" s="2"/>
      <c r="D1042" s="2"/>
      <c r="E1042" s="2"/>
      <c r="F1042" s="2"/>
      <c r="G1042" s="2"/>
      <c r="H1042" s="2"/>
      <c r="I1042" s="2"/>
      <c r="J1042" s="2"/>
      <c r="K1042" s="2"/>
      <c r="L1042" s="2"/>
      <c r="M1042" s="2"/>
      <c r="N1042" s="2"/>
      <c r="O1042" s="2"/>
      <c r="P1042" s="2"/>
      <c r="Q1042" s="2"/>
      <c r="R1042" s="2"/>
      <c r="S1042" s="2"/>
      <c r="T1042" s="2"/>
      <c r="U1042" s="2"/>
      <c r="V1042" s="2"/>
      <c r="W1042" s="2"/>
    </row>
    <row r="1043" spans="1:23" ht="75" customHeight="1" x14ac:dyDescent="0.15">
      <c r="A1043" s="2"/>
      <c r="B1043" s="2"/>
      <c r="C1043" s="2"/>
      <c r="D1043" s="2"/>
      <c r="E1043" s="2"/>
      <c r="F1043" s="2"/>
      <c r="G1043" s="2"/>
      <c r="H1043" s="2"/>
      <c r="I1043" s="2"/>
      <c r="J1043" s="2"/>
      <c r="K1043" s="2"/>
      <c r="L1043" s="2"/>
      <c r="M1043" s="2"/>
      <c r="N1043" s="2"/>
      <c r="O1043" s="2"/>
      <c r="P1043" s="2"/>
      <c r="Q1043" s="2"/>
      <c r="R1043" s="2"/>
      <c r="S1043" s="2"/>
      <c r="T1043" s="2"/>
      <c r="U1043" s="2"/>
      <c r="V1043" s="2"/>
      <c r="W1043" s="2"/>
    </row>
    <row r="1044" spans="1:23" ht="75" customHeight="1" x14ac:dyDescent="0.15">
      <c r="A1044" s="2"/>
      <c r="B1044" s="2"/>
      <c r="C1044" s="2"/>
      <c r="D1044" s="2"/>
      <c r="E1044" s="2"/>
      <c r="F1044" s="2"/>
      <c r="G1044" s="2"/>
      <c r="H1044" s="2"/>
      <c r="I1044" s="2"/>
      <c r="J1044" s="2"/>
      <c r="K1044" s="2"/>
      <c r="L1044" s="2"/>
      <c r="M1044" s="2"/>
      <c r="N1044" s="2"/>
      <c r="O1044" s="2"/>
      <c r="P1044" s="2"/>
      <c r="Q1044" s="2"/>
      <c r="R1044" s="2"/>
      <c r="S1044" s="2"/>
      <c r="T1044" s="2"/>
      <c r="U1044" s="2"/>
      <c r="V1044" s="2"/>
      <c r="W1044" s="2"/>
    </row>
    <row r="1045" spans="1:23" ht="75" customHeight="1" x14ac:dyDescent="0.15">
      <c r="A1045" s="2"/>
      <c r="B1045" s="2"/>
      <c r="C1045" s="2"/>
      <c r="D1045" s="2"/>
      <c r="E1045" s="2"/>
      <c r="F1045" s="2"/>
      <c r="G1045" s="2"/>
      <c r="H1045" s="2"/>
      <c r="I1045" s="2"/>
      <c r="J1045" s="2"/>
      <c r="K1045" s="2"/>
      <c r="L1045" s="2"/>
      <c r="M1045" s="2"/>
      <c r="N1045" s="2"/>
      <c r="O1045" s="2"/>
      <c r="P1045" s="2"/>
      <c r="Q1045" s="2"/>
      <c r="R1045" s="2"/>
      <c r="S1045" s="2"/>
      <c r="T1045" s="2"/>
      <c r="U1045" s="2"/>
      <c r="V1045" s="2"/>
      <c r="W1045" s="2"/>
    </row>
    <row r="1046" spans="1:23" ht="75" customHeight="1" x14ac:dyDescent="0.15">
      <c r="A1046" s="2"/>
      <c r="B1046" s="2"/>
      <c r="C1046" s="2"/>
      <c r="D1046" s="2"/>
      <c r="E1046" s="2"/>
      <c r="F1046" s="2"/>
      <c r="G1046" s="2"/>
      <c r="H1046" s="2"/>
      <c r="I1046" s="2"/>
      <c r="J1046" s="2"/>
      <c r="K1046" s="2"/>
      <c r="L1046" s="2"/>
      <c r="M1046" s="2"/>
      <c r="N1046" s="2"/>
      <c r="O1046" s="2"/>
      <c r="P1046" s="2"/>
      <c r="Q1046" s="2"/>
      <c r="R1046" s="2"/>
      <c r="S1046" s="2"/>
      <c r="T1046" s="2"/>
      <c r="U1046" s="2"/>
      <c r="V1046" s="2"/>
      <c r="W1046" s="2"/>
    </row>
    <row r="1047" spans="1:23" ht="75" customHeight="1" x14ac:dyDescent="0.15">
      <c r="A1047" s="2"/>
      <c r="B1047" s="2"/>
      <c r="C1047" s="2"/>
      <c r="D1047" s="2"/>
      <c r="E1047" s="2"/>
      <c r="F1047" s="2"/>
      <c r="G1047" s="2"/>
      <c r="H1047" s="2"/>
      <c r="I1047" s="2"/>
      <c r="J1047" s="2"/>
      <c r="K1047" s="2"/>
      <c r="L1047" s="2"/>
      <c r="M1047" s="2"/>
      <c r="N1047" s="2"/>
      <c r="O1047" s="2"/>
      <c r="P1047" s="2"/>
      <c r="Q1047" s="2"/>
      <c r="R1047" s="2"/>
      <c r="S1047" s="2"/>
      <c r="T1047" s="2"/>
      <c r="U1047" s="2"/>
      <c r="V1047" s="2"/>
      <c r="W1047" s="2"/>
    </row>
    <row r="1048" spans="1:23" ht="75" customHeight="1" x14ac:dyDescent="0.15">
      <c r="A1048" s="2"/>
      <c r="B1048" s="2"/>
      <c r="C1048" s="2"/>
      <c r="D1048" s="2"/>
      <c r="E1048" s="2"/>
      <c r="F1048" s="2"/>
      <c r="G1048" s="2"/>
      <c r="H1048" s="2"/>
      <c r="I1048" s="2"/>
      <c r="J1048" s="2"/>
      <c r="K1048" s="2"/>
      <c r="L1048" s="2"/>
      <c r="M1048" s="2"/>
      <c r="N1048" s="2"/>
      <c r="O1048" s="2"/>
      <c r="P1048" s="2"/>
      <c r="Q1048" s="2"/>
      <c r="R1048" s="2"/>
      <c r="S1048" s="2"/>
      <c r="T1048" s="2"/>
      <c r="U1048" s="2"/>
      <c r="V1048" s="2"/>
      <c r="W1048" s="2"/>
    </row>
    <row r="1049" spans="1:23" ht="75" customHeight="1" x14ac:dyDescent="0.15">
      <c r="A1049" s="2"/>
      <c r="B1049" s="2"/>
      <c r="C1049" s="2"/>
      <c r="D1049" s="2"/>
      <c r="E1049" s="2"/>
      <c r="F1049" s="2"/>
      <c r="G1049" s="2"/>
      <c r="H1049" s="2"/>
      <c r="I1049" s="2"/>
      <c r="J1049" s="2"/>
      <c r="K1049" s="2"/>
      <c r="L1049" s="2"/>
      <c r="M1049" s="2"/>
      <c r="N1049" s="2"/>
      <c r="O1049" s="2"/>
      <c r="P1049" s="2"/>
      <c r="Q1049" s="2"/>
      <c r="R1049" s="2"/>
      <c r="S1049" s="2"/>
      <c r="T1049" s="2"/>
      <c r="U1049" s="2"/>
      <c r="V1049" s="2"/>
      <c r="W1049" s="2"/>
    </row>
    <row r="1050" spans="1:23" ht="75" customHeight="1" x14ac:dyDescent="0.15">
      <c r="A1050" s="2"/>
      <c r="B1050" s="2"/>
      <c r="C1050" s="2"/>
      <c r="D1050" s="2"/>
      <c r="E1050" s="2"/>
      <c r="F1050" s="2"/>
      <c r="G1050" s="2"/>
      <c r="H1050" s="2"/>
      <c r="I1050" s="2"/>
      <c r="J1050" s="2"/>
      <c r="K1050" s="2"/>
      <c r="L1050" s="2"/>
      <c r="M1050" s="2"/>
      <c r="N1050" s="2"/>
      <c r="O1050" s="2"/>
      <c r="P1050" s="2"/>
      <c r="Q1050" s="2"/>
      <c r="R1050" s="2"/>
      <c r="S1050" s="2"/>
      <c r="T1050" s="2"/>
      <c r="U1050" s="2"/>
      <c r="V1050" s="2"/>
      <c r="W1050" s="2"/>
    </row>
    <row r="1051" spans="1:23" ht="75" customHeight="1" x14ac:dyDescent="0.15">
      <c r="A1051" s="2"/>
      <c r="B1051" s="2"/>
      <c r="C1051" s="2"/>
      <c r="D1051" s="2"/>
      <c r="E1051" s="2"/>
      <c r="F1051" s="2"/>
      <c r="G1051" s="2"/>
      <c r="H1051" s="2"/>
      <c r="I1051" s="2"/>
      <c r="J1051" s="2"/>
      <c r="K1051" s="2"/>
      <c r="L1051" s="2"/>
      <c r="M1051" s="2"/>
      <c r="N1051" s="2"/>
      <c r="O1051" s="2"/>
      <c r="P1051" s="2"/>
      <c r="Q1051" s="2"/>
      <c r="R1051" s="2"/>
      <c r="S1051" s="2"/>
      <c r="T1051" s="2"/>
      <c r="U1051" s="2"/>
      <c r="V1051" s="2"/>
      <c r="W1051" s="2"/>
    </row>
    <row r="1052" spans="1:23" ht="75" customHeight="1" x14ac:dyDescent="0.15">
      <c r="A1052" s="2"/>
      <c r="B1052" s="2"/>
      <c r="C1052" s="2"/>
      <c r="D1052" s="2"/>
      <c r="E1052" s="2"/>
      <c r="F1052" s="2"/>
      <c r="G1052" s="2"/>
      <c r="H1052" s="2"/>
      <c r="I1052" s="2"/>
      <c r="J1052" s="2"/>
      <c r="K1052" s="2"/>
      <c r="L1052" s="2"/>
      <c r="M1052" s="2"/>
      <c r="N1052" s="2"/>
      <c r="O1052" s="2"/>
      <c r="P1052" s="2"/>
      <c r="Q1052" s="2"/>
      <c r="R1052" s="2"/>
      <c r="S1052" s="2"/>
      <c r="T1052" s="2"/>
      <c r="U1052" s="2"/>
      <c r="V1052" s="2"/>
      <c r="W1052" s="2"/>
    </row>
    <row r="1053" spans="1:23" ht="75" customHeight="1" x14ac:dyDescent="0.15">
      <c r="A1053" s="2"/>
      <c r="B1053" s="2"/>
      <c r="C1053" s="2"/>
      <c r="D1053" s="2"/>
      <c r="E1053" s="2"/>
      <c r="F1053" s="2"/>
      <c r="G1053" s="2"/>
      <c r="H1053" s="2"/>
      <c r="I1053" s="2"/>
      <c r="J1053" s="2"/>
      <c r="K1053" s="2"/>
      <c r="L1053" s="2"/>
      <c r="M1053" s="2"/>
      <c r="N1053" s="2"/>
      <c r="O1053" s="2"/>
      <c r="P1053" s="2"/>
      <c r="Q1053" s="2"/>
      <c r="R1053" s="2"/>
      <c r="S1053" s="2"/>
      <c r="T1053" s="2"/>
      <c r="U1053" s="2"/>
      <c r="V1053" s="2"/>
      <c r="W1053" s="2"/>
    </row>
    <row r="1054" spans="1:23" ht="75" customHeight="1" x14ac:dyDescent="0.15">
      <c r="A1054" s="2"/>
      <c r="B1054" s="2"/>
      <c r="C1054" s="2"/>
      <c r="D1054" s="2"/>
      <c r="E1054" s="2"/>
      <c r="F1054" s="2"/>
      <c r="G1054" s="2"/>
      <c r="H1054" s="2"/>
      <c r="I1054" s="2"/>
      <c r="J1054" s="2"/>
      <c r="K1054" s="2"/>
      <c r="L1054" s="2"/>
      <c r="M1054" s="2"/>
      <c r="N1054" s="2"/>
      <c r="O1054" s="2"/>
      <c r="P1054" s="2"/>
      <c r="Q1054" s="2"/>
      <c r="R1054" s="2"/>
      <c r="S1054" s="2"/>
      <c r="T1054" s="2"/>
      <c r="U1054" s="2"/>
      <c r="V1054" s="2"/>
      <c r="W1054" s="2"/>
    </row>
    <row r="1055" spans="1:23" ht="75" customHeight="1" x14ac:dyDescent="0.15">
      <c r="A1055" s="2"/>
      <c r="B1055" s="2"/>
      <c r="C1055" s="2"/>
      <c r="D1055" s="2"/>
      <c r="E1055" s="2"/>
      <c r="F1055" s="2"/>
      <c r="G1055" s="2"/>
      <c r="H1055" s="2"/>
      <c r="I1055" s="2"/>
      <c r="J1055" s="2"/>
      <c r="K1055" s="2"/>
      <c r="L1055" s="2"/>
      <c r="M1055" s="2"/>
      <c r="N1055" s="2"/>
      <c r="O1055" s="2"/>
      <c r="P1055" s="2"/>
      <c r="Q1055" s="2"/>
      <c r="R1055" s="2"/>
      <c r="S1055" s="2"/>
      <c r="T1055" s="2"/>
      <c r="U1055" s="2"/>
      <c r="V1055" s="2"/>
      <c r="W1055" s="2"/>
    </row>
    <row r="1056" spans="1:23" ht="75" customHeight="1" x14ac:dyDescent="0.15">
      <c r="A1056" s="2"/>
      <c r="B1056" s="2"/>
      <c r="C1056" s="2"/>
      <c r="D1056" s="2"/>
      <c r="E1056" s="2"/>
      <c r="F1056" s="2"/>
      <c r="G1056" s="2"/>
      <c r="H1056" s="2"/>
      <c r="I1056" s="2"/>
      <c r="J1056" s="2"/>
      <c r="K1056" s="2"/>
      <c r="L1056" s="2"/>
      <c r="M1056" s="2"/>
      <c r="N1056" s="2"/>
      <c r="O1056" s="2"/>
      <c r="P1056" s="2"/>
      <c r="Q1056" s="2"/>
      <c r="R1056" s="2"/>
      <c r="S1056" s="2"/>
      <c r="T1056" s="2"/>
      <c r="U1056" s="2"/>
      <c r="V1056" s="2"/>
      <c r="W1056" s="2"/>
    </row>
    <row r="1057" spans="1:23" ht="75" customHeight="1" x14ac:dyDescent="0.15">
      <c r="A1057" s="2"/>
      <c r="B1057" s="2"/>
      <c r="C1057" s="2"/>
      <c r="D1057" s="2"/>
      <c r="E1057" s="2"/>
      <c r="F1057" s="2"/>
      <c r="G1057" s="2"/>
      <c r="H1057" s="2"/>
      <c r="I1057" s="2"/>
      <c r="J1057" s="2"/>
      <c r="K1057" s="2"/>
      <c r="L1057" s="2"/>
      <c r="M1057" s="2"/>
      <c r="N1057" s="2"/>
      <c r="O1057" s="2"/>
      <c r="P1057" s="2"/>
      <c r="Q1057" s="2"/>
      <c r="R1057" s="2"/>
      <c r="S1057" s="2"/>
      <c r="T1057" s="2"/>
      <c r="U1057" s="2"/>
      <c r="V1057" s="2"/>
      <c r="W1057" s="2"/>
    </row>
    <row r="1058" spans="1:23" ht="75" customHeight="1" x14ac:dyDescent="0.15">
      <c r="A1058" s="2"/>
      <c r="B1058" s="2"/>
      <c r="C1058" s="2"/>
      <c r="D1058" s="2"/>
      <c r="E1058" s="2"/>
      <c r="F1058" s="2"/>
      <c r="G1058" s="2"/>
      <c r="H1058" s="2"/>
      <c r="I1058" s="2"/>
      <c r="J1058" s="2"/>
      <c r="K1058" s="2"/>
      <c r="L1058" s="2"/>
      <c r="M1058" s="2"/>
      <c r="N1058" s="2"/>
      <c r="O1058" s="2"/>
      <c r="P1058" s="2"/>
      <c r="Q1058" s="2"/>
      <c r="R1058" s="2"/>
      <c r="S1058" s="2"/>
      <c r="T1058" s="2"/>
      <c r="U1058" s="2"/>
      <c r="V1058" s="2"/>
      <c r="W1058" s="2"/>
    </row>
    <row r="1059" spans="1:23" ht="75" customHeight="1" x14ac:dyDescent="0.15">
      <c r="A1059" s="2"/>
      <c r="B1059" s="2"/>
      <c r="C1059" s="2"/>
      <c r="D1059" s="2"/>
      <c r="E1059" s="2"/>
      <c r="F1059" s="2"/>
      <c r="G1059" s="2"/>
      <c r="H1059" s="2"/>
      <c r="I1059" s="2"/>
      <c r="J1059" s="2"/>
      <c r="K1059" s="2"/>
      <c r="L1059" s="2"/>
      <c r="M1059" s="2"/>
      <c r="N1059" s="2"/>
      <c r="O1059" s="2"/>
      <c r="P1059" s="2"/>
      <c r="Q1059" s="2"/>
      <c r="R1059" s="2"/>
      <c r="S1059" s="2"/>
      <c r="T1059" s="2"/>
      <c r="U1059" s="2"/>
      <c r="V1059" s="2"/>
      <c r="W1059" s="2"/>
    </row>
    <row r="1060" spans="1:23" ht="75" customHeight="1" x14ac:dyDescent="0.15">
      <c r="A1060" s="2"/>
      <c r="B1060" s="2"/>
      <c r="C1060" s="2"/>
      <c r="D1060" s="2"/>
      <c r="E1060" s="2"/>
      <c r="F1060" s="2"/>
      <c r="G1060" s="2"/>
      <c r="H1060" s="2"/>
      <c r="I1060" s="2"/>
      <c r="J1060" s="2"/>
      <c r="K1060" s="2"/>
      <c r="L1060" s="2"/>
      <c r="M1060" s="2"/>
      <c r="N1060" s="2"/>
      <c r="O1060" s="2"/>
      <c r="P1060" s="2"/>
      <c r="Q1060" s="2"/>
      <c r="R1060" s="2"/>
      <c r="S1060" s="2"/>
      <c r="T1060" s="2"/>
      <c r="U1060" s="2"/>
      <c r="V1060" s="2"/>
      <c r="W1060" s="2"/>
    </row>
    <row r="1061" spans="1:23" ht="75" customHeight="1" x14ac:dyDescent="0.15">
      <c r="A1061" s="2"/>
      <c r="B1061" s="2"/>
      <c r="C1061" s="2"/>
      <c r="D1061" s="2"/>
      <c r="E1061" s="2"/>
      <c r="F1061" s="2"/>
      <c r="G1061" s="2"/>
      <c r="H1061" s="2"/>
      <c r="I1061" s="2"/>
      <c r="J1061" s="2"/>
      <c r="K1061" s="2"/>
      <c r="L1061" s="2"/>
      <c r="M1061" s="2"/>
      <c r="N1061" s="2"/>
      <c r="O1061" s="2"/>
      <c r="P1061" s="2"/>
      <c r="Q1061" s="2"/>
      <c r="R1061" s="2"/>
      <c r="S1061" s="2"/>
      <c r="T1061" s="2"/>
      <c r="U1061" s="2"/>
      <c r="V1061" s="2"/>
      <c r="W1061" s="2"/>
    </row>
    <row r="1062" spans="1:23" ht="75" customHeight="1" x14ac:dyDescent="0.15">
      <c r="A1062" s="2"/>
      <c r="B1062" s="2"/>
      <c r="C1062" s="2"/>
      <c r="D1062" s="2"/>
      <c r="E1062" s="2"/>
      <c r="F1062" s="2"/>
      <c r="G1062" s="2"/>
      <c r="H1062" s="2"/>
      <c r="I1062" s="2"/>
      <c r="J1062" s="2"/>
      <c r="K1062" s="2"/>
      <c r="L1062" s="2"/>
      <c r="M1062" s="2"/>
      <c r="N1062" s="2"/>
      <c r="O1062" s="2"/>
      <c r="P1062" s="2"/>
      <c r="Q1062" s="2"/>
      <c r="R1062" s="2"/>
      <c r="S1062" s="2"/>
      <c r="T1062" s="2"/>
      <c r="U1062" s="2"/>
      <c r="V1062" s="2"/>
      <c r="W1062" s="2"/>
    </row>
    <row r="1063" spans="1:23" ht="75" customHeight="1" x14ac:dyDescent="0.15">
      <c r="A1063" s="2"/>
      <c r="B1063" s="2"/>
      <c r="C1063" s="2"/>
      <c r="D1063" s="2"/>
      <c r="E1063" s="2"/>
      <c r="F1063" s="2"/>
      <c r="G1063" s="2"/>
      <c r="H1063" s="2"/>
      <c r="I1063" s="2"/>
      <c r="J1063" s="2"/>
      <c r="K1063" s="2"/>
      <c r="L1063" s="2"/>
      <c r="M1063" s="2"/>
      <c r="N1063" s="2"/>
      <c r="O1063" s="2"/>
      <c r="P1063" s="2"/>
      <c r="Q1063" s="2"/>
      <c r="R1063" s="2"/>
      <c r="S1063" s="2"/>
      <c r="T1063" s="2"/>
      <c r="U1063" s="2"/>
      <c r="V1063" s="2"/>
      <c r="W1063" s="2"/>
    </row>
    <row r="1064" spans="1:23" ht="75" customHeight="1" x14ac:dyDescent="0.15">
      <c r="A1064" s="2"/>
      <c r="B1064" s="2"/>
      <c r="C1064" s="2"/>
      <c r="D1064" s="2"/>
      <c r="E1064" s="2"/>
      <c r="F1064" s="2"/>
      <c r="G1064" s="2"/>
      <c r="H1064" s="2"/>
      <c r="I1064" s="2"/>
      <c r="J1064" s="2"/>
      <c r="K1064" s="2"/>
      <c r="L1064" s="2"/>
      <c r="M1064" s="2"/>
      <c r="N1064" s="2"/>
      <c r="O1064" s="2"/>
      <c r="P1064" s="2"/>
      <c r="Q1064" s="2"/>
      <c r="R1064" s="2"/>
      <c r="S1064" s="2"/>
      <c r="T1064" s="2"/>
      <c r="U1064" s="2"/>
      <c r="V1064" s="2"/>
      <c r="W1064" s="2"/>
    </row>
    <row r="1065" spans="1:23" ht="75" customHeight="1" x14ac:dyDescent="0.15">
      <c r="A1065" s="2"/>
      <c r="B1065" s="2"/>
      <c r="C1065" s="2"/>
      <c r="D1065" s="2"/>
      <c r="E1065" s="2"/>
      <c r="F1065" s="2"/>
      <c r="G1065" s="2"/>
      <c r="H1065" s="2"/>
      <c r="I1065" s="2"/>
      <c r="J1065" s="2"/>
      <c r="K1065" s="2"/>
      <c r="L1065" s="2"/>
      <c r="M1065" s="2"/>
      <c r="N1065" s="2"/>
      <c r="O1065" s="2"/>
      <c r="P1065" s="2"/>
      <c r="Q1065" s="2"/>
      <c r="R1065" s="2"/>
      <c r="S1065" s="2"/>
      <c r="T1065" s="2"/>
      <c r="U1065" s="2"/>
      <c r="V1065" s="2"/>
      <c r="W1065" s="2"/>
    </row>
    <row r="1066" spans="1:23" ht="75" customHeight="1" x14ac:dyDescent="0.15">
      <c r="A1066" s="2"/>
      <c r="B1066" s="2"/>
      <c r="C1066" s="2"/>
      <c r="D1066" s="2"/>
      <c r="E1066" s="2"/>
      <c r="F1066" s="2"/>
      <c r="G1066" s="2"/>
      <c r="H1066" s="2"/>
      <c r="I1066" s="2"/>
      <c r="J1066" s="2"/>
      <c r="K1066" s="2"/>
      <c r="L1066" s="2"/>
      <c r="M1066" s="2"/>
      <c r="N1066" s="2"/>
      <c r="O1066" s="2"/>
      <c r="P1066" s="2"/>
      <c r="Q1066" s="2"/>
      <c r="R1066" s="2"/>
      <c r="S1066" s="2"/>
      <c r="T1066" s="2"/>
      <c r="U1066" s="2"/>
      <c r="V1066" s="2"/>
      <c r="W1066" s="2"/>
    </row>
    <row r="1067" spans="1:23" ht="75" customHeight="1" x14ac:dyDescent="0.15">
      <c r="A1067" s="2"/>
      <c r="B1067" s="2"/>
      <c r="C1067" s="2"/>
      <c r="D1067" s="2"/>
      <c r="E1067" s="2"/>
      <c r="F1067" s="2"/>
      <c r="G1067" s="2"/>
      <c r="H1067" s="2"/>
      <c r="I1067" s="2"/>
      <c r="J1067" s="2"/>
      <c r="K1067" s="2"/>
      <c r="L1067" s="2"/>
      <c r="M1067" s="2"/>
      <c r="N1067" s="2"/>
      <c r="O1067" s="2"/>
      <c r="P1067" s="2"/>
      <c r="Q1067" s="2"/>
      <c r="R1067" s="2"/>
      <c r="S1067" s="2"/>
      <c r="T1067" s="2"/>
      <c r="U1067" s="2"/>
      <c r="V1067" s="2"/>
      <c r="W1067" s="2"/>
    </row>
    <row r="1068" spans="1:23" ht="75" customHeight="1" x14ac:dyDescent="0.15">
      <c r="A1068" s="2"/>
      <c r="B1068" s="2"/>
      <c r="C1068" s="2"/>
      <c r="D1068" s="2"/>
      <c r="E1068" s="2"/>
      <c r="F1068" s="2"/>
      <c r="G1068" s="2"/>
      <c r="H1068" s="2"/>
      <c r="I1068" s="2"/>
      <c r="J1068" s="2"/>
      <c r="K1068" s="2"/>
      <c r="L1068" s="2"/>
      <c r="M1068" s="2"/>
      <c r="N1068" s="2"/>
      <c r="O1068" s="2"/>
      <c r="P1068" s="2"/>
      <c r="Q1068" s="2"/>
      <c r="R1068" s="2"/>
      <c r="S1068" s="2"/>
      <c r="T1068" s="2"/>
      <c r="U1068" s="2"/>
      <c r="V1068" s="2"/>
      <c r="W1068" s="2"/>
    </row>
    <row r="1069" spans="1:23" ht="75" customHeight="1" x14ac:dyDescent="0.15">
      <c r="A1069" s="2"/>
      <c r="B1069" s="2"/>
      <c r="C1069" s="2"/>
      <c r="D1069" s="2"/>
      <c r="E1069" s="2"/>
      <c r="F1069" s="2"/>
      <c r="G1069" s="2"/>
      <c r="H1069" s="2"/>
      <c r="I1069" s="2"/>
      <c r="J1069" s="2"/>
      <c r="K1069" s="2"/>
      <c r="L1069" s="2"/>
      <c r="M1069" s="2"/>
      <c r="N1069" s="2"/>
      <c r="O1069" s="2"/>
      <c r="P1069" s="2"/>
      <c r="Q1069" s="2"/>
      <c r="R1069" s="2"/>
      <c r="S1069" s="2"/>
      <c r="T1069" s="2"/>
      <c r="U1069" s="2"/>
      <c r="V1069" s="2"/>
      <c r="W1069" s="2"/>
    </row>
    <row r="1070" spans="1:23" ht="75" customHeight="1" x14ac:dyDescent="0.15">
      <c r="A1070" s="2"/>
      <c r="B1070" s="2"/>
      <c r="C1070" s="2"/>
      <c r="D1070" s="2"/>
      <c r="E1070" s="2"/>
      <c r="F1070" s="2"/>
      <c r="G1070" s="2"/>
      <c r="H1070" s="2"/>
      <c r="I1070" s="2"/>
      <c r="J1070" s="2"/>
      <c r="K1070" s="2"/>
      <c r="L1070" s="2"/>
      <c r="M1070" s="2"/>
      <c r="N1070" s="2"/>
      <c r="O1070" s="2"/>
      <c r="P1070" s="2"/>
      <c r="Q1070" s="2"/>
      <c r="R1070" s="2"/>
      <c r="S1070" s="2"/>
      <c r="T1070" s="2"/>
      <c r="U1070" s="2"/>
      <c r="V1070" s="2"/>
      <c r="W1070" s="2"/>
    </row>
    <row r="1071" spans="1:23" ht="75" customHeight="1" x14ac:dyDescent="0.15">
      <c r="A1071" s="2"/>
      <c r="B1071" s="2"/>
      <c r="C1071" s="2"/>
      <c r="D1071" s="2"/>
      <c r="E1071" s="2"/>
      <c r="F1071" s="2"/>
      <c r="G1071" s="2"/>
      <c r="H1071" s="2"/>
      <c r="I1071" s="2"/>
      <c r="J1071" s="2"/>
      <c r="K1071" s="2"/>
      <c r="L1071" s="2"/>
      <c r="M1071" s="2"/>
      <c r="N1071" s="2"/>
      <c r="O1071" s="2"/>
      <c r="P1071" s="2"/>
      <c r="Q1071" s="2"/>
      <c r="R1071" s="2"/>
      <c r="S1071" s="2"/>
      <c r="T1071" s="2"/>
      <c r="U1071" s="2"/>
      <c r="V1071" s="2"/>
      <c r="W1071" s="2"/>
    </row>
    <row r="1072" spans="1:23" ht="75" customHeight="1" x14ac:dyDescent="0.15">
      <c r="A1072" s="2"/>
      <c r="B1072" s="2"/>
      <c r="C1072" s="2"/>
      <c r="D1072" s="2"/>
      <c r="E1072" s="2"/>
      <c r="F1072" s="2"/>
      <c r="G1072" s="2"/>
      <c r="H1072" s="2"/>
      <c r="I1072" s="2"/>
      <c r="J1072" s="2"/>
      <c r="K1072" s="2"/>
      <c r="L1072" s="2"/>
      <c r="M1072" s="2"/>
      <c r="N1072" s="2"/>
      <c r="O1072" s="2"/>
      <c r="P1072" s="2"/>
      <c r="Q1072" s="2"/>
      <c r="R1072" s="2"/>
      <c r="S1072" s="2"/>
      <c r="T1072" s="2"/>
      <c r="U1072" s="2"/>
      <c r="V1072" s="2"/>
      <c r="W1072" s="2"/>
    </row>
    <row r="1073" spans="1:23" ht="75" customHeight="1" x14ac:dyDescent="0.15">
      <c r="A1073" s="2"/>
      <c r="B1073" s="2"/>
      <c r="C1073" s="2"/>
      <c r="D1073" s="2"/>
      <c r="E1073" s="2"/>
      <c r="F1073" s="2"/>
      <c r="G1073" s="2"/>
      <c r="H1073" s="2"/>
      <c r="I1073" s="2"/>
      <c r="J1073" s="2"/>
      <c r="K1073" s="2"/>
      <c r="L1073" s="2"/>
      <c r="M1073" s="2"/>
      <c r="N1073" s="2"/>
      <c r="O1073" s="2"/>
      <c r="P1073" s="2"/>
      <c r="Q1073" s="2"/>
      <c r="R1073" s="2"/>
      <c r="S1073" s="2"/>
      <c r="T1073" s="2"/>
      <c r="U1073" s="2"/>
      <c r="V1073" s="2"/>
      <c r="W1073" s="2"/>
    </row>
    <row r="1074" spans="1:23" ht="75" customHeight="1" x14ac:dyDescent="0.15">
      <c r="A1074" s="2"/>
      <c r="B1074" s="2"/>
      <c r="C1074" s="2"/>
      <c r="D1074" s="2"/>
      <c r="E1074" s="2"/>
      <c r="F1074" s="2"/>
      <c r="G1074" s="2"/>
      <c r="H1074" s="2"/>
      <c r="I1074" s="2"/>
      <c r="J1074" s="2"/>
      <c r="K1074" s="2"/>
      <c r="L1074" s="2"/>
      <c r="M1074" s="2"/>
      <c r="N1074" s="2"/>
      <c r="O1074" s="2"/>
      <c r="P1074" s="2"/>
      <c r="Q1074" s="2"/>
      <c r="R1074" s="2"/>
      <c r="S1074" s="2"/>
      <c r="T1074" s="2"/>
      <c r="U1074" s="2"/>
      <c r="V1074" s="2"/>
      <c r="W1074" s="2"/>
    </row>
    <row r="1075" spans="1:23" ht="75" customHeight="1" x14ac:dyDescent="0.15">
      <c r="A1075" s="2"/>
      <c r="B1075" s="2"/>
      <c r="C1075" s="2"/>
      <c r="D1075" s="2"/>
      <c r="E1075" s="2"/>
      <c r="F1075" s="2"/>
      <c r="G1075" s="2"/>
      <c r="H1075" s="2"/>
      <c r="I1075" s="2"/>
      <c r="J1075" s="2"/>
      <c r="K1075" s="2"/>
      <c r="L1075" s="2"/>
      <c r="M1075" s="2"/>
      <c r="N1075" s="2"/>
      <c r="O1075" s="2"/>
      <c r="P1075" s="2"/>
      <c r="Q1075" s="2"/>
      <c r="R1075" s="2"/>
      <c r="S1075" s="2"/>
      <c r="T1075" s="2"/>
      <c r="U1075" s="2"/>
      <c r="V1075" s="2"/>
      <c r="W1075" s="2"/>
    </row>
    <row r="1076" spans="1:23" ht="75" customHeight="1" x14ac:dyDescent="0.15">
      <c r="A1076" s="2"/>
      <c r="B1076" s="2"/>
      <c r="C1076" s="2"/>
      <c r="D1076" s="2"/>
      <c r="E1076" s="2"/>
      <c r="F1076" s="2"/>
      <c r="G1076" s="2"/>
      <c r="H1076" s="2"/>
      <c r="I1076" s="2"/>
      <c r="J1076" s="2"/>
      <c r="K1076" s="2"/>
      <c r="L1076" s="2"/>
      <c r="M1076" s="2"/>
      <c r="N1076" s="2"/>
      <c r="O1076" s="2"/>
      <c r="P1076" s="2"/>
      <c r="Q1076" s="2"/>
      <c r="R1076" s="2"/>
      <c r="S1076" s="2"/>
      <c r="T1076" s="2"/>
      <c r="U1076" s="2"/>
      <c r="V1076" s="2"/>
      <c r="W1076" s="2"/>
    </row>
    <row r="1077" spans="1:23" ht="75" customHeight="1" x14ac:dyDescent="0.15">
      <c r="A1077" s="2"/>
      <c r="B1077" s="2"/>
      <c r="C1077" s="2"/>
      <c r="D1077" s="2"/>
      <c r="E1077" s="2"/>
      <c r="F1077" s="2"/>
      <c r="G1077" s="2"/>
      <c r="H1077" s="2"/>
      <c r="I1077" s="2"/>
      <c r="J1077" s="2"/>
      <c r="K1077" s="2"/>
      <c r="L1077" s="2"/>
      <c r="M1077" s="2"/>
      <c r="N1077" s="2"/>
      <c r="O1077" s="2"/>
      <c r="P1077" s="2"/>
      <c r="Q1077" s="2"/>
      <c r="R1077" s="2"/>
      <c r="S1077" s="2"/>
      <c r="T1077" s="2"/>
      <c r="U1077" s="2"/>
      <c r="V1077" s="2"/>
      <c r="W1077" s="2"/>
    </row>
    <row r="1078" spans="1:23" ht="75" customHeight="1" x14ac:dyDescent="0.15">
      <c r="A1078" s="2"/>
      <c r="B1078" s="2"/>
      <c r="C1078" s="2"/>
      <c r="D1078" s="2"/>
      <c r="E1078" s="2"/>
      <c r="F1078" s="2"/>
      <c r="G1078" s="2"/>
      <c r="H1078" s="2"/>
      <c r="I1078" s="2"/>
      <c r="J1078" s="2"/>
      <c r="K1078" s="2"/>
      <c r="L1078" s="2"/>
      <c r="M1078" s="2"/>
      <c r="N1078" s="2"/>
      <c r="O1078" s="2"/>
      <c r="P1078" s="2"/>
      <c r="Q1078" s="2"/>
      <c r="R1078" s="2"/>
      <c r="S1078" s="2"/>
      <c r="T1078" s="2"/>
      <c r="U1078" s="2"/>
      <c r="V1078" s="2"/>
      <c r="W1078" s="2"/>
    </row>
    <row r="1079" spans="1:23" ht="75" customHeight="1" x14ac:dyDescent="0.15">
      <c r="A1079" s="2"/>
      <c r="B1079" s="2"/>
      <c r="C1079" s="2"/>
      <c r="D1079" s="2"/>
      <c r="E1079" s="2"/>
      <c r="F1079" s="2"/>
      <c r="G1079" s="2"/>
      <c r="H1079" s="2"/>
      <c r="I1079" s="2"/>
      <c r="J1079" s="2"/>
      <c r="K1079" s="2"/>
      <c r="L1079" s="2"/>
      <c r="M1079" s="2"/>
      <c r="N1079" s="2"/>
      <c r="O1079" s="2"/>
      <c r="P1079" s="2"/>
      <c r="Q1079" s="2"/>
      <c r="R1079" s="2"/>
      <c r="S1079" s="2"/>
      <c r="T1079" s="2"/>
      <c r="U1079" s="2"/>
      <c r="V1079" s="2"/>
      <c r="W1079" s="2"/>
    </row>
    <row r="1080" spans="1:23" ht="75" customHeight="1" x14ac:dyDescent="0.15">
      <c r="A1080" s="2"/>
      <c r="B1080" s="2"/>
      <c r="C1080" s="2"/>
      <c r="D1080" s="2"/>
      <c r="E1080" s="2"/>
      <c r="F1080" s="2"/>
      <c r="G1080" s="2"/>
      <c r="H1080" s="2"/>
      <c r="I1080" s="2"/>
      <c r="J1080" s="2"/>
      <c r="K1080" s="2"/>
      <c r="L1080" s="2"/>
      <c r="M1080" s="2"/>
      <c r="N1080" s="2"/>
      <c r="O1080" s="2"/>
      <c r="P1080" s="2"/>
      <c r="Q1080" s="2"/>
      <c r="R1080" s="2"/>
      <c r="S1080" s="2"/>
      <c r="T1080" s="2"/>
      <c r="U1080" s="2"/>
      <c r="V1080" s="2"/>
      <c r="W1080" s="2"/>
    </row>
    <row r="1081" spans="1:23" ht="75" customHeight="1" x14ac:dyDescent="0.15">
      <c r="A1081" s="2"/>
      <c r="B1081" s="2"/>
      <c r="C1081" s="2"/>
      <c r="D1081" s="2"/>
      <c r="E1081" s="2"/>
      <c r="F1081" s="2"/>
      <c r="G1081" s="2"/>
      <c r="H1081" s="2"/>
      <c r="I1081" s="2"/>
      <c r="J1081" s="2"/>
      <c r="K1081" s="2"/>
      <c r="L1081" s="2"/>
      <c r="M1081" s="2"/>
      <c r="N1081" s="2"/>
      <c r="O1081" s="2"/>
      <c r="P1081" s="2"/>
      <c r="Q1081" s="2"/>
      <c r="R1081" s="2"/>
      <c r="S1081" s="2"/>
      <c r="T1081" s="2"/>
      <c r="U1081" s="2"/>
      <c r="V1081" s="2"/>
      <c r="W1081" s="2"/>
    </row>
    <row r="1082" spans="1:23" ht="75" customHeight="1" x14ac:dyDescent="0.15">
      <c r="A1082" s="2"/>
      <c r="B1082" s="2"/>
      <c r="C1082" s="2"/>
      <c r="D1082" s="2"/>
      <c r="E1082" s="2"/>
      <c r="F1082" s="2"/>
      <c r="G1082" s="2"/>
      <c r="H1082" s="2"/>
      <c r="I1082" s="2"/>
      <c r="J1082" s="2"/>
      <c r="K1082" s="2"/>
      <c r="L1082" s="2"/>
      <c r="M1082" s="2"/>
      <c r="N1082" s="2"/>
      <c r="O1082" s="2"/>
      <c r="P1082" s="2"/>
      <c r="Q1082" s="2"/>
      <c r="R1082" s="2"/>
      <c r="S1082" s="2"/>
      <c r="T1082" s="2"/>
      <c r="U1082" s="2"/>
      <c r="V1082" s="2"/>
      <c r="W1082" s="2"/>
    </row>
    <row r="1083" spans="1:23" ht="75" customHeight="1" x14ac:dyDescent="0.15">
      <c r="A1083" s="2"/>
      <c r="B1083" s="2"/>
      <c r="C1083" s="2"/>
      <c r="D1083" s="2"/>
      <c r="E1083" s="2"/>
      <c r="F1083" s="2"/>
      <c r="G1083" s="2"/>
      <c r="H1083" s="2"/>
      <c r="I1083" s="2"/>
      <c r="J1083" s="2"/>
      <c r="K1083" s="2"/>
      <c r="L1083" s="2"/>
      <c r="M1083" s="2"/>
      <c r="N1083" s="2"/>
      <c r="O1083" s="2"/>
      <c r="P1083" s="2"/>
      <c r="Q1083" s="2"/>
      <c r="R1083" s="2"/>
      <c r="S1083" s="2"/>
      <c r="T1083" s="2"/>
      <c r="U1083" s="2"/>
      <c r="V1083" s="2"/>
      <c r="W1083" s="2"/>
    </row>
    <row r="1084" spans="1:23" ht="75" customHeight="1" x14ac:dyDescent="0.15">
      <c r="A1084" s="2"/>
      <c r="B1084" s="2"/>
      <c r="C1084" s="2"/>
      <c r="D1084" s="2"/>
      <c r="E1084" s="2"/>
      <c r="F1084" s="2"/>
      <c r="G1084" s="2"/>
      <c r="H1084" s="2"/>
      <c r="I1084" s="2"/>
      <c r="J1084" s="2"/>
      <c r="K1084" s="2"/>
      <c r="L1084" s="2"/>
      <c r="M1084" s="2"/>
      <c r="N1084" s="2"/>
      <c r="O1084" s="2"/>
      <c r="P1084" s="2"/>
      <c r="Q1084" s="2"/>
      <c r="R1084" s="2"/>
      <c r="S1084" s="2"/>
      <c r="T1084" s="2"/>
      <c r="U1084" s="2"/>
      <c r="V1084" s="2"/>
      <c r="W1084" s="2"/>
    </row>
    <row r="1085" spans="1:23" ht="75" customHeight="1" x14ac:dyDescent="0.15">
      <c r="A1085" s="2"/>
      <c r="B1085" s="2"/>
      <c r="C1085" s="2"/>
      <c r="D1085" s="2"/>
      <c r="E1085" s="2"/>
      <c r="F1085" s="2"/>
      <c r="G1085" s="2"/>
      <c r="H1085" s="2"/>
      <c r="I1085" s="2"/>
      <c r="J1085" s="2"/>
      <c r="K1085" s="2"/>
      <c r="L1085" s="2"/>
      <c r="M1085" s="2"/>
      <c r="N1085" s="2"/>
      <c r="O1085" s="2"/>
      <c r="P1085" s="2"/>
      <c r="Q1085" s="2"/>
      <c r="R1085" s="2"/>
      <c r="S1085" s="2"/>
      <c r="T1085" s="2"/>
      <c r="U1085" s="2"/>
      <c r="V1085" s="2"/>
      <c r="W1085" s="2"/>
    </row>
    <row r="1086" spans="1:23" ht="75" customHeight="1" x14ac:dyDescent="0.15">
      <c r="A1086" s="2"/>
      <c r="B1086" s="2"/>
      <c r="C1086" s="2"/>
      <c r="D1086" s="2"/>
      <c r="E1086" s="2"/>
      <c r="F1086" s="2"/>
      <c r="G1086" s="2"/>
      <c r="H1086" s="2"/>
      <c r="I1086" s="2"/>
      <c r="J1086" s="2"/>
      <c r="K1086" s="2"/>
      <c r="L1086" s="2"/>
      <c r="M1086" s="2"/>
      <c r="N1086" s="2"/>
      <c r="O1086" s="2"/>
      <c r="P1086" s="2"/>
      <c r="Q1086" s="2"/>
      <c r="R1086" s="2"/>
      <c r="S1086" s="2"/>
      <c r="T1086" s="2"/>
      <c r="U1086" s="2"/>
      <c r="V1086" s="2"/>
      <c r="W1086" s="2"/>
    </row>
    <row r="1087" spans="1:23" ht="75" customHeight="1" x14ac:dyDescent="0.15">
      <c r="A1087" s="2"/>
      <c r="B1087" s="2"/>
      <c r="C1087" s="2"/>
      <c r="D1087" s="2"/>
      <c r="E1087" s="2"/>
      <c r="F1087" s="2"/>
      <c r="G1087" s="2"/>
      <c r="H1087" s="2"/>
      <c r="I1087" s="2"/>
      <c r="J1087" s="2"/>
      <c r="K1087" s="2"/>
      <c r="L1087" s="2"/>
      <c r="M1087" s="2"/>
      <c r="N1087" s="2"/>
      <c r="O1087" s="2"/>
      <c r="P1087" s="2"/>
      <c r="Q1087" s="2"/>
      <c r="R1087" s="2"/>
      <c r="S1087" s="2"/>
      <c r="T1087" s="2"/>
      <c r="U1087" s="2"/>
      <c r="V1087" s="2"/>
      <c r="W1087" s="2"/>
    </row>
    <row r="1088" spans="1:23" ht="75" customHeight="1" x14ac:dyDescent="0.15">
      <c r="A1088" s="2"/>
      <c r="B1088" s="2"/>
      <c r="C1088" s="2"/>
      <c r="D1088" s="2"/>
      <c r="E1088" s="2"/>
      <c r="F1088" s="2"/>
      <c r="G1088" s="2"/>
      <c r="H1088" s="2"/>
      <c r="I1088" s="2"/>
      <c r="J1088" s="2"/>
      <c r="K1088" s="2"/>
      <c r="L1088" s="2"/>
      <c r="M1088" s="2"/>
      <c r="N1088" s="2"/>
      <c r="O1088" s="2"/>
      <c r="P1088" s="2"/>
      <c r="Q1088" s="2"/>
      <c r="R1088" s="2"/>
      <c r="S1088" s="2"/>
      <c r="T1088" s="2"/>
      <c r="U1088" s="2"/>
      <c r="V1088" s="2"/>
      <c r="W1088" s="2"/>
    </row>
    <row r="1089" spans="1:23" ht="75" customHeight="1" x14ac:dyDescent="0.15">
      <c r="A1089" s="2"/>
      <c r="B1089" s="2"/>
      <c r="C1089" s="2"/>
      <c r="D1089" s="2"/>
      <c r="E1089" s="2"/>
      <c r="F1089" s="2"/>
      <c r="G1089" s="2"/>
      <c r="H1089" s="2"/>
      <c r="I1089" s="2"/>
      <c r="J1089" s="2"/>
      <c r="K1089" s="2"/>
      <c r="L1089" s="2"/>
      <c r="M1089" s="2"/>
      <c r="N1089" s="2"/>
      <c r="O1089" s="2"/>
      <c r="P1089" s="2"/>
      <c r="Q1089" s="2"/>
      <c r="R1089" s="2"/>
      <c r="S1089" s="2"/>
      <c r="T1089" s="2"/>
      <c r="U1089" s="2"/>
      <c r="V1089" s="2"/>
      <c r="W1089" s="2"/>
    </row>
    <row r="1090" spans="1:23" ht="75" customHeight="1" x14ac:dyDescent="0.15">
      <c r="A1090" s="2"/>
      <c r="B1090" s="2"/>
      <c r="C1090" s="2"/>
      <c r="D1090" s="2"/>
      <c r="E1090" s="2"/>
      <c r="F1090" s="2"/>
      <c r="G1090" s="2"/>
      <c r="H1090" s="2"/>
      <c r="I1090" s="2"/>
      <c r="J1090" s="2"/>
      <c r="K1090" s="2"/>
      <c r="L1090" s="2"/>
      <c r="M1090" s="2"/>
      <c r="N1090" s="2"/>
      <c r="O1090" s="2"/>
      <c r="P1090" s="2"/>
      <c r="Q1090" s="2"/>
      <c r="R1090" s="2"/>
      <c r="S1090" s="2"/>
      <c r="T1090" s="2"/>
      <c r="U1090" s="2"/>
      <c r="V1090" s="2"/>
      <c r="W1090" s="2"/>
    </row>
    <row r="1091" spans="1:23" ht="75" customHeight="1" x14ac:dyDescent="0.15">
      <c r="A1091" s="2"/>
      <c r="B1091" s="2"/>
      <c r="C1091" s="2"/>
      <c r="D1091" s="2"/>
      <c r="E1091" s="2"/>
      <c r="F1091" s="2"/>
      <c r="G1091" s="2"/>
      <c r="H1091" s="2"/>
      <c r="I1091" s="2"/>
      <c r="J1091" s="2"/>
      <c r="K1091" s="2"/>
      <c r="L1091" s="2"/>
      <c r="M1091" s="2"/>
      <c r="N1091" s="2"/>
      <c r="O1091" s="2"/>
      <c r="P1091" s="2"/>
      <c r="Q1091" s="2"/>
      <c r="R1091" s="2"/>
      <c r="S1091" s="2"/>
      <c r="T1091" s="2"/>
      <c r="U1091" s="2"/>
      <c r="V1091" s="2"/>
      <c r="W1091" s="2"/>
    </row>
    <row r="1092" spans="1:23" ht="75" customHeight="1" x14ac:dyDescent="0.15">
      <c r="A1092" s="2"/>
      <c r="B1092" s="2"/>
      <c r="C1092" s="2"/>
      <c r="D1092" s="2"/>
      <c r="E1092" s="2"/>
      <c r="F1092" s="2"/>
      <c r="G1092" s="2"/>
      <c r="H1092" s="2"/>
      <c r="I1092" s="2"/>
      <c r="J1092" s="2"/>
      <c r="K1092" s="2"/>
      <c r="L1092" s="2"/>
      <c r="M1092" s="2"/>
      <c r="N1092" s="2"/>
      <c r="O1092" s="2"/>
      <c r="P1092" s="2"/>
      <c r="Q1092" s="2"/>
      <c r="R1092" s="2"/>
      <c r="S1092" s="2"/>
      <c r="T1092" s="2"/>
      <c r="U1092" s="2"/>
      <c r="V1092" s="2"/>
      <c r="W1092" s="2"/>
    </row>
    <row r="1093" spans="1:23" ht="75" customHeight="1" x14ac:dyDescent="0.15">
      <c r="A1093" s="2"/>
      <c r="B1093" s="2"/>
      <c r="C1093" s="2"/>
      <c r="D1093" s="2"/>
      <c r="E1093" s="2"/>
      <c r="F1093" s="2"/>
      <c r="G1093" s="2"/>
      <c r="H1093" s="2"/>
      <c r="I1093" s="2"/>
      <c r="J1093" s="2"/>
      <c r="K1093" s="2"/>
      <c r="L1093" s="2"/>
      <c r="M1093" s="2"/>
      <c r="N1093" s="2"/>
      <c r="O1093" s="2"/>
      <c r="P1093" s="2"/>
      <c r="Q1093" s="2"/>
      <c r="R1093" s="2"/>
      <c r="S1093" s="2"/>
      <c r="T1093" s="2"/>
      <c r="U1093" s="2"/>
      <c r="V1093" s="2"/>
      <c r="W1093" s="2"/>
    </row>
    <row r="1094" spans="1:23" ht="75" customHeight="1" x14ac:dyDescent="0.15">
      <c r="A1094" s="2"/>
      <c r="B1094" s="2"/>
      <c r="C1094" s="2"/>
      <c r="D1094" s="2"/>
      <c r="E1094" s="2"/>
      <c r="F1094" s="2"/>
      <c r="G1094" s="2"/>
      <c r="H1094" s="2"/>
      <c r="I1094" s="2"/>
      <c r="J1094" s="2"/>
      <c r="K1094" s="2"/>
      <c r="L1094" s="2"/>
      <c r="M1094" s="2"/>
      <c r="N1094" s="2"/>
      <c r="O1094" s="2"/>
      <c r="P1094" s="2"/>
      <c r="Q1094" s="2"/>
      <c r="R1094" s="2"/>
      <c r="S1094" s="2"/>
      <c r="T1094" s="2"/>
      <c r="U1094" s="2"/>
      <c r="V1094" s="2"/>
      <c r="W1094" s="2"/>
    </row>
    <row r="1095" spans="1:23" ht="75" customHeight="1" x14ac:dyDescent="0.15">
      <c r="A1095" s="2"/>
      <c r="B1095" s="2"/>
      <c r="C1095" s="2"/>
      <c r="D1095" s="2"/>
      <c r="E1095" s="2"/>
      <c r="F1095" s="2"/>
      <c r="G1095" s="2"/>
      <c r="H1095" s="2"/>
      <c r="I1095" s="2"/>
      <c r="J1095" s="2"/>
      <c r="K1095" s="2"/>
      <c r="L1095" s="2"/>
      <c r="M1095" s="2"/>
      <c r="N1095" s="2"/>
      <c r="O1095" s="2"/>
      <c r="P1095" s="2"/>
      <c r="Q1095" s="2"/>
      <c r="R1095" s="2"/>
      <c r="S1095" s="2"/>
      <c r="T1095" s="2"/>
      <c r="U1095" s="2"/>
      <c r="V1095" s="2"/>
      <c r="W1095" s="2"/>
    </row>
    <row r="1096" spans="1:23" ht="75" customHeight="1" x14ac:dyDescent="0.15">
      <c r="A1096" s="2"/>
      <c r="B1096" s="2"/>
      <c r="C1096" s="2"/>
      <c r="D1096" s="2"/>
      <c r="E1096" s="2"/>
      <c r="F1096" s="2"/>
      <c r="G1096" s="2"/>
      <c r="H1096" s="2"/>
      <c r="I1096" s="2"/>
      <c r="J1096" s="2"/>
      <c r="K1096" s="2"/>
      <c r="L1096" s="2"/>
      <c r="M1096" s="2"/>
      <c r="N1096" s="2"/>
      <c r="O1096" s="2"/>
      <c r="P1096" s="2"/>
      <c r="Q1096" s="2"/>
      <c r="R1096" s="2"/>
      <c r="S1096" s="2"/>
      <c r="T1096" s="2"/>
      <c r="U1096" s="2"/>
      <c r="V1096" s="2"/>
      <c r="W1096" s="2"/>
    </row>
    <row r="1097" spans="1:23" ht="75" customHeight="1" x14ac:dyDescent="0.15">
      <c r="A1097" s="2"/>
      <c r="B1097" s="2"/>
      <c r="C1097" s="2"/>
      <c r="D1097" s="2"/>
      <c r="E1097" s="2"/>
      <c r="F1097" s="2"/>
      <c r="G1097" s="2"/>
      <c r="H1097" s="2"/>
      <c r="I1097" s="2"/>
      <c r="J1097" s="2"/>
      <c r="K1097" s="2"/>
      <c r="L1097" s="2"/>
      <c r="M1097" s="2"/>
      <c r="N1097" s="2"/>
      <c r="O1097" s="2"/>
      <c r="P1097" s="2"/>
      <c r="Q1097" s="2"/>
      <c r="R1097" s="2"/>
      <c r="S1097" s="2"/>
      <c r="T1097" s="2"/>
      <c r="U1097" s="2"/>
      <c r="V1097" s="2"/>
      <c r="W1097" s="2"/>
    </row>
    <row r="1098" spans="1:23" ht="75" customHeight="1" x14ac:dyDescent="0.15">
      <c r="A1098" s="2"/>
      <c r="B1098" s="2"/>
      <c r="C1098" s="2"/>
      <c r="D1098" s="2"/>
      <c r="E1098" s="2"/>
      <c r="F1098" s="2"/>
      <c r="G1098" s="2"/>
      <c r="H1098" s="2"/>
      <c r="I1098" s="2"/>
      <c r="J1098" s="2"/>
      <c r="K1098" s="2"/>
      <c r="L1098" s="2"/>
      <c r="M1098" s="2"/>
      <c r="N1098" s="2"/>
      <c r="O1098" s="2"/>
      <c r="P1098" s="2"/>
      <c r="Q1098" s="2"/>
      <c r="R1098" s="2"/>
      <c r="S1098" s="2"/>
      <c r="T1098" s="2"/>
      <c r="U1098" s="2"/>
      <c r="V1098" s="2"/>
      <c r="W1098" s="2"/>
    </row>
    <row r="1099" spans="1:23" ht="75" customHeight="1" x14ac:dyDescent="0.15">
      <c r="A1099" s="2"/>
      <c r="B1099" s="2"/>
      <c r="C1099" s="2"/>
      <c r="D1099" s="2"/>
      <c r="E1099" s="2"/>
      <c r="F1099" s="2"/>
      <c r="G1099" s="2"/>
      <c r="H1099" s="2"/>
      <c r="I1099" s="2"/>
      <c r="J1099" s="2"/>
      <c r="K1099" s="2"/>
      <c r="L1099" s="2"/>
      <c r="M1099" s="2"/>
      <c r="N1099" s="2"/>
      <c r="O1099" s="2"/>
      <c r="P1099" s="2"/>
      <c r="Q1099" s="2"/>
      <c r="R1099" s="2"/>
      <c r="S1099" s="2"/>
      <c r="T1099" s="2"/>
      <c r="U1099" s="2"/>
      <c r="V1099" s="2"/>
      <c r="W1099" s="2"/>
    </row>
    <row r="1100" spans="1:23" ht="75" customHeight="1" x14ac:dyDescent="0.15">
      <c r="A1100" s="2"/>
      <c r="B1100" s="2"/>
      <c r="C1100" s="2"/>
      <c r="D1100" s="2"/>
      <c r="E1100" s="2"/>
      <c r="F1100" s="2"/>
      <c r="G1100" s="2"/>
      <c r="H1100" s="2"/>
      <c r="I1100" s="2"/>
      <c r="J1100" s="2"/>
      <c r="K1100" s="2"/>
      <c r="L1100" s="2"/>
      <c r="M1100" s="2"/>
      <c r="N1100" s="2"/>
      <c r="O1100" s="2"/>
      <c r="P1100" s="2"/>
      <c r="Q1100" s="2"/>
      <c r="R1100" s="2"/>
      <c r="S1100" s="2"/>
      <c r="T1100" s="2"/>
      <c r="U1100" s="2"/>
      <c r="V1100" s="2"/>
      <c r="W1100" s="2"/>
    </row>
    <row r="1101" spans="1:23" ht="75" customHeight="1" x14ac:dyDescent="0.15">
      <c r="A1101" s="2"/>
      <c r="B1101" s="2"/>
      <c r="C1101" s="2"/>
      <c r="D1101" s="2"/>
      <c r="E1101" s="2"/>
      <c r="F1101" s="2"/>
      <c r="G1101" s="2"/>
      <c r="H1101" s="2"/>
      <c r="I1101" s="2"/>
      <c r="J1101" s="2"/>
      <c r="K1101" s="2"/>
      <c r="L1101" s="2"/>
      <c r="M1101" s="2"/>
      <c r="N1101" s="2"/>
      <c r="O1101" s="2"/>
      <c r="P1101" s="2"/>
      <c r="Q1101" s="2"/>
      <c r="R1101" s="2"/>
      <c r="S1101" s="2"/>
      <c r="T1101" s="2"/>
      <c r="U1101" s="2"/>
      <c r="V1101" s="2"/>
      <c r="W1101" s="2"/>
    </row>
    <row r="1102" spans="1:23" ht="75" customHeight="1" x14ac:dyDescent="0.15">
      <c r="A1102" s="2"/>
      <c r="B1102" s="2"/>
      <c r="C1102" s="2"/>
      <c r="D1102" s="2"/>
      <c r="E1102" s="2"/>
      <c r="F1102" s="2"/>
      <c r="G1102" s="2"/>
      <c r="H1102" s="2"/>
      <c r="I1102" s="2"/>
      <c r="J1102" s="2"/>
      <c r="K1102" s="2"/>
      <c r="L1102" s="2"/>
      <c r="M1102" s="2"/>
      <c r="N1102" s="2"/>
      <c r="O1102" s="2"/>
      <c r="P1102" s="2"/>
      <c r="Q1102" s="2"/>
      <c r="R1102" s="2"/>
      <c r="S1102" s="2"/>
      <c r="T1102" s="2"/>
      <c r="U1102" s="2"/>
      <c r="V1102" s="2"/>
      <c r="W1102" s="2"/>
    </row>
    <row r="1103" spans="1:23" ht="75" customHeight="1" x14ac:dyDescent="0.15">
      <c r="A1103" s="2"/>
      <c r="B1103" s="2"/>
      <c r="C1103" s="2"/>
      <c r="D1103" s="2"/>
      <c r="E1103" s="2"/>
      <c r="F1103" s="2"/>
      <c r="G1103" s="2"/>
      <c r="H1103" s="2"/>
      <c r="I1103" s="2"/>
      <c r="J1103" s="2"/>
      <c r="K1103" s="2"/>
      <c r="L1103" s="2"/>
      <c r="M1103" s="2"/>
      <c r="N1103" s="2"/>
      <c r="O1103" s="2"/>
      <c r="P1103" s="2"/>
      <c r="Q1103" s="2"/>
      <c r="R1103" s="2"/>
      <c r="S1103" s="2"/>
      <c r="T1103" s="2"/>
      <c r="U1103" s="2"/>
      <c r="V1103" s="2"/>
      <c r="W1103" s="2"/>
    </row>
    <row r="1104" spans="1:23" ht="75" customHeight="1" x14ac:dyDescent="0.15">
      <c r="A1104" s="2"/>
      <c r="B1104" s="2"/>
      <c r="C1104" s="2"/>
      <c r="D1104" s="2"/>
      <c r="E1104" s="2"/>
      <c r="F1104" s="2"/>
      <c r="G1104" s="2"/>
      <c r="H1104" s="2"/>
      <c r="I1104" s="2"/>
      <c r="J1104" s="2"/>
      <c r="K1104" s="2"/>
      <c r="L1104" s="2"/>
      <c r="M1104" s="2"/>
      <c r="N1104" s="2"/>
      <c r="O1104" s="2"/>
      <c r="P1104" s="2"/>
      <c r="Q1104" s="2"/>
      <c r="R1104" s="2"/>
      <c r="S1104" s="2"/>
      <c r="T1104" s="2"/>
      <c r="U1104" s="2"/>
      <c r="V1104" s="2"/>
      <c r="W1104" s="2"/>
    </row>
    <row r="1105" spans="1:23" ht="75" customHeight="1" x14ac:dyDescent="0.15">
      <c r="A1105" s="2"/>
      <c r="B1105" s="2"/>
      <c r="C1105" s="2"/>
      <c r="D1105" s="2"/>
      <c r="E1105" s="2"/>
      <c r="F1105" s="2"/>
      <c r="G1105" s="2"/>
      <c r="H1105" s="2"/>
      <c r="I1105" s="2"/>
      <c r="J1105" s="2"/>
      <c r="K1105" s="2"/>
      <c r="L1105" s="2"/>
      <c r="M1105" s="2"/>
      <c r="N1105" s="2"/>
      <c r="O1105" s="2"/>
      <c r="P1105" s="2"/>
      <c r="Q1105" s="2"/>
      <c r="R1105" s="2"/>
      <c r="S1105" s="2"/>
      <c r="T1105" s="2"/>
      <c r="U1105" s="2"/>
      <c r="V1105" s="2"/>
      <c r="W1105" s="2"/>
    </row>
    <row r="1106" spans="1:23" ht="75" customHeight="1" x14ac:dyDescent="0.15">
      <c r="A1106" s="2"/>
      <c r="B1106" s="2"/>
      <c r="C1106" s="2"/>
      <c r="D1106" s="2"/>
      <c r="E1106" s="2"/>
      <c r="F1106" s="2"/>
      <c r="G1106" s="2"/>
      <c r="H1106" s="2"/>
      <c r="I1106" s="2"/>
      <c r="J1106" s="2"/>
      <c r="K1106" s="2"/>
      <c r="L1106" s="2"/>
      <c r="M1106" s="2"/>
      <c r="N1106" s="2"/>
      <c r="O1106" s="2"/>
      <c r="P1106" s="2"/>
      <c r="Q1106" s="2"/>
      <c r="R1106" s="2"/>
      <c r="S1106" s="2"/>
      <c r="T1106" s="2"/>
      <c r="U1106" s="2"/>
      <c r="V1106" s="2"/>
      <c r="W1106" s="2"/>
    </row>
    <row r="1107" spans="1:23" ht="75" customHeight="1" x14ac:dyDescent="0.15">
      <c r="A1107" s="2"/>
      <c r="B1107" s="2"/>
      <c r="C1107" s="2"/>
      <c r="D1107" s="2"/>
      <c r="E1107" s="2"/>
      <c r="F1107" s="2"/>
      <c r="G1107" s="2"/>
      <c r="H1107" s="2"/>
      <c r="I1107" s="2"/>
      <c r="J1107" s="2"/>
      <c r="K1107" s="2"/>
      <c r="L1107" s="2"/>
      <c r="M1107" s="2"/>
      <c r="N1107" s="2"/>
      <c r="O1107" s="2"/>
      <c r="P1107" s="2"/>
      <c r="Q1107" s="2"/>
      <c r="R1107" s="2"/>
      <c r="S1107" s="2"/>
      <c r="T1107" s="2"/>
      <c r="U1107" s="2"/>
      <c r="V1107" s="2"/>
      <c r="W1107" s="2"/>
    </row>
    <row r="1108" spans="1:23" ht="75" customHeight="1" x14ac:dyDescent="0.15">
      <c r="A1108" s="2"/>
      <c r="B1108" s="2"/>
      <c r="C1108" s="2"/>
      <c r="D1108" s="2"/>
      <c r="E1108" s="2"/>
      <c r="F1108" s="2"/>
      <c r="G1108" s="2"/>
      <c r="H1108" s="2"/>
      <c r="I1108" s="2"/>
      <c r="J1108" s="2"/>
      <c r="K1108" s="2"/>
      <c r="L1108" s="2"/>
      <c r="M1108" s="2"/>
      <c r="N1108" s="2"/>
      <c r="O1108" s="2"/>
      <c r="P1108" s="2"/>
      <c r="Q1108" s="2"/>
      <c r="R1108" s="2"/>
      <c r="S1108" s="2"/>
      <c r="T1108" s="2"/>
      <c r="U1108" s="2"/>
      <c r="V1108" s="2"/>
      <c r="W1108" s="2"/>
    </row>
    <row r="1109" spans="1:23" ht="75" customHeight="1" x14ac:dyDescent="0.15">
      <c r="A1109" s="2"/>
      <c r="B1109" s="2"/>
      <c r="C1109" s="2"/>
      <c r="D1109" s="2"/>
      <c r="E1109" s="2"/>
      <c r="F1109" s="2"/>
      <c r="G1109" s="2"/>
      <c r="H1109" s="2"/>
      <c r="I1109" s="2"/>
      <c r="J1109" s="2"/>
      <c r="K1109" s="2"/>
      <c r="L1109" s="2"/>
      <c r="M1109" s="2"/>
      <c r="N1109" s="2"/>
      <c r="O1109" s="2"/>
      <c r="P1109" s="2"/>
      <c r="Q1109" s="2"/>
      <c r="R1109" s="2"/>
      <c r="S1109" s="2"/>
      <c r="T1109" s="2"/>
      <c r="U1109" s="2"/>
      <c r="V1109" s="2"/>
      <c r="W1109" s="2"/>
    </row>
    <row r="1110" spans="1:23" ht="75" customHeight="1" x14ac:dyDescent="0.15">
      <c r="A1110" s="2"/>
      <c r="B1110" s="2"/>
      <c r="C1110" s="2"/>
      <c r="D1110" s="2"/>
      <c r="E1110" s="2"/>
      <c r="F1110" s="2"/>
      <c r="G1110" s="2"/>
      <c r="H1110" s="2"/>
      <c r="I1110" s="2"/>
      <c r="J1110" s="2"/>
      <c r="K1110" s="2"/>
      <c r="L1110" s="2"/>
      <c r="M1110" s="2"/>
      <c r="N1110" s="2"/>
      <c r="O1110" s="2"/>
      <c r="P1110" s="2"/>
      <c r="Q1110" s="2"/>
      <c r="R1110" s="2"/>
      <c r="S1110" s="2"/>
      <c r="T1110" s="2"/>
      <c r="U1110" s="2"/>
      <c r="V1110" s="2"/>
      <c r="W1110" s="2"/>
    </row>
    <row r="1111" spans="1:23" ht="75" customHeight="1" x14ac:dyDescent="0.15">
      <c r="A1111" s="2"/>
      <c r="B1111" s="2"/>
      <c r="C1111" s="2"/>
      <c r="D1111" s="2"/>
      <c r="E1111" s="2"/>
      <c r="F1111" s="2"/>
      <c r="G1111" s="2"/>
      <c r="H1111" s="2"/>
      <c r="I1111" s="2"/>
      <c r="J1111" s="2"/>
      <c r="K1111" s="2"/>
      <c r="L1111" s="2"/>
      <c r="M1111" s="2"/>
      <c r="N1111" s="2"/>
      <c r="O1111" s="2"/>
      <c r="P1111" s="2"/>
      <c r="Q1111" s="2"/>
      <c r="R1111" s="2"/>
      <c r="S1111" s="2"/>
      <c r="T1111" s="2"/>
      <c r="U1111" s="2"/>
      <c r="V1111" s="2"/>
      <c r="W1111" s="2"/>
    </row>
    <row r="1112" spans="1:23" ht="75" customHeight="1" x14ac:dyDescent="0.15">
      <c r="A1112" s="2"/>
      <c r="B1112" s="2"/>
      <c r="C1112" s="2"/>
      <c r="D1112" s="2"/>
      <c r="E1112" s="2"/>
      <c r="F1112" s="2"/>
      <c r="G1112" s="2"/>
      <c r="H1112" s="2"/>
      <c r="I1112" s="2"/>
      <c r="J1112" s="2"/>
      <c r="K1112" s="2"/>
      <c r="L1112" s="2"/>
      <c r="M1112" s="2"/>
      <c r="N1112" s="2"/>
      <c r="O1112" s="2"/>
      <c r="P1112" s="2"/>
      <c r="Q1112" s="2"/>
      <c r="R1112" s="2"/>
      <c r="S1112" s="2"/>
      <c r="T1112" s="2"/>
      <c r="U1112" s="2"/>
      <c r="V1112" s="2"/>
      <c r="W1112" s="2"/>
    </row>
    <row r="1113" spans="1:23" ht="75" customHeight="1" x14ac:dyDescent="0.15">
      <c r="A1113" s="2"/>
      <c r="B1113" s="2"/>
      <c r="C1113" s="2"/>
      <c r="D1113" s="2"/>
      <c r="E1113" s="2"/>
      <c r="F1113" s="2"/>
      <c r="G1113" s="2"/>
      <c r="H1113" s="2"/>
      <c r="I1113" s="2"/>
      <c r="J1113" s="2"/>
      <c r="K1113" s="2"/>
      <c r="L1113" s="2"/>
      <c r="M1113" s="2"/>
      <c r="N1113" s="2"/>
      <c r="O1113" s="2"/>
      <c r="P1113" s="2"/>
      <c r="Q1113" s="2"/>
      <c r="R1113" s="2"/>
      <c r="S1113" s="2"/>
      <c r="T1113" s="2"/>
      <c r="U1113" s="2"/>
      <c r="V1113" s="2"/>
      <c r="W1113" s="2"/>
    </row>
    <row r="1114" spans="1:23" ht="75" customHeight="1" x14ac:dyDescent="0.15">
      <c r="A1114" s="2"/>
      <c r="B1114" s="2"/>
      <c r="C1114" s="2"/>
      <c r="D1114" s="2"/>
      <c r="E1114" s="2"/>
      <c r="F1114" s="2"/>
      <c r="G1114" s="2"/>
      <c r="H1114" s="2"/>
      <c r="I1114" s="2"/>
      <c r="J1114" s="2"/>
      <c r="K1114" s="2"/>
      <c r="L1114" s="2"/>
      <c r="M1114" s="2"/>
      <c r="N1114" s="2"/>
      <c r="O1114" s="2"/>
      <c r="P1114" s="2"/>
      <c r="Q1114" s="2"/>
      <c r="R1114" s="2"/>
      <c r="S1114" s="2"/>
      <c r="T1114" s="2"/>
      <c r="U1114" s="2"/>
      <c r="V1114" s="2"/>
      <c r="W1114" s="2"/>
    </row>
    <row r="1115" spans="1:23" ht="75" customHeight="1" x14ac:dyDescent="0.15">
      <c r="A1115" s="2"/>
      <c r="B1115" s="2"/>
      <c r="C1115" s="2"/>
      <c r="D1115" s="2"/>
      <c r="E1115" s="2"/>
      <c r="F1115" s="2"/>
      <c r="G1115" s="2"/>
      <c r="H1115" s="2"/>
      <c r="I1115" s="2"/>
      <c r="J1115" s="2"/>
      <c r="K1115" s="2"/>
      <c r="L1115" s="2"/>
      <c r="M1115" s="2"/>
      <c r="N1115" s="2"/>
      <c r="O1115" s="2"/>
      <c r="P1115" s="2"/>
      <c r="Q1115" s="2"/>
      <c r="R1115" s="2"/>
      <c r="S1115" s="2"/>
      <c r="T1115" s="2"/>
      <c r="U1115" s="2"/>
      <c r="V1115" s="2"/>
      <c r="W1115" s="2"/>
    </row>
    <row r="1116" spans="1:23" ht="75" customHeight="1" x14ac:dyDescent="0.15">
      <c r="A1116" s="2"/>
      <c r="B1116" s="2"/>
      <c r="C1116" s="2"/>
      <c r="D1116" s="2"/>
      <c r="E1116" s="2"/>
      <c r="F1116" s="2"/>
      <c r="G1116" s="2"/>
      <c r="H1116" s="2"/>
      <c r="I1116" s="2"/>
      <c r="J1116" s="2"/>
      <c r="K1116" s="2"/>
      <c r="L1116" s="2"/>
      <c r="M1116" s="2"/>
      <c r="N1116" s="2"/>
      <c r="O1116" s="2"/>
      <c r="P1116" s="2"/>
      <c r="Q1116" s="2"/>
      <c r="R1116" s="2"/>
      <c r="S1116" s="2"/>
      <c r="T1116" s="2"/>
      <c r="U1116" s="2"/>
      <c r="V1116" s="2"/>
      <c r="W1116" s="2"/>
    </row>
    <row r="1117" spans="1:23" ht="75" customHeight="1" x14ac:dyDescent="0.15">
      <c r="A1117" s="2"/>
      <c r="B1117" s="2"/>
      <c r="C1117" s="2"/>
      <c r="D1117" s="2"/>
      <c r="E1117" s="2"/>
      <c r="F1117" s="2"/>
      <c r="G1117" s="2"/>
      <c r="H1117" s="2"/>
      <c r="I1117" s="2"/>
      <c r="J1117" s="2"/>
      <c r="K1117" s="2"/>
      <c r="L1117" s="2"/>
      <c r="M1117" s="2"/>
      <c r="N1117" s="2"/>
      <c r="O1117" s="2"/>
      <c r="P1117" s="2"/>
      <c r="Q1117" s="2"/>
      <c r="R1117" s="2"/>
      <c r="S1117" s="2"/>
      <c r="T1117" s="2"/>
      <c r="U1117" s="2"/>
      <c r="V1117" s="2"/>
      <c r="W1117" s="2"/>
    </row>
    <row r="1118" spans="1:23" ht="75" customHeight="1" x14ac:dyDescent="0.15">
      <c r="A1118" s="2"/>
      <c r="B1118" s="2"/>
      <c r="C1118" s="2"/>
      <c r="D1118" s="2"/>
      <c r="E1118" s="2"/>
      <c r="F1118" s="2"/>
      <c r="G1118" s="2"/>
      <c r="H1118" s="2"/>
      <c r="I1118" s="2"/>
      <c r="J1118" s="2"/>
      <c r="K1118" s="2"/>
      <c r="L1118" s="2"/>
      <c r="M1118" s="2"/>
      <c r="N1118" s="2"/>
      <c r="O1118" s="2"/>
      <c r="P1118" s="2"/>
      <c r="Q1118" s="2"/>
      <c r="R1118" s="2"/>
      <c r="S1118" s="2"/>
      <c r="T1118" s="2"/>
      <c r="U1118" s="2"/>
      <c r="V1118" s="2"/>
      <c r="W1118" s="2"/>
    </row>
    <row r="1119" spans="1:23" ht="75" customHeight="1" x14ac:dyDescent="0.15">
      <c r="A1119" s="2"/>
      <c r="B1119" s="2"/>
      <c r="C1119" s="2"/>
      <c r="D1119" s="2"/>
      <c r="E1119" s="2"/>
      <c r="F1119" s="2"/>
      <c r="G1119" s="2"/>
      <c r="H1119" s="2"/>
      <c r="I1119" s="2"/>
      <c r="J1119" s="2"/>
      <c r="K1119" s="2"/>
      <c r="L1119" s="2"/>
      <c r="M1119" s="2"/>
      <c r="N1119" s="2"/>
      <c r="O1119" s="2"/>
      <c r="P1119" s="2"/>
      <c r="Q1119" s="2"/>
      <c r="R1119" s="2"/>
      <c r="S1119" s="2"/>
      <c r="T1119" s="2"/>
      <c r="U1119" s="2"/>
      <c r="V1119" s="2"/>
      <c r="W1119" s="2"/>
    </row>
    <row r="1120" spans="1:23" ht="75" customHeight="1" x14ac:dyDescent="0.15">
      <c r="A1120" s="2"/>
      <c r="B1120" s="2"/>
      <c r="C1120" s="2"/>
      <c r="D1120" s="2"/>
      <c r="E1120" s="2"/>
      <c r="F1120" s="2"/>
      <c r="G1120" s="2"/>
      <c r="H1120" s="2"/>
      <c r="I1120" s="2"/>
      <c r="J1120" s="2"/>
      <c r="K1120" s="2"/>
      <c r="L1120" s="2"/>
      <c r="M1120" s="2"/>
      <c r="N1120" s="2"/>
      <c r="O1120" s="2"/>
      <c r="P1120" s="2"/>
      <c r="Q1120" s="2"/>
      <c r="R1120" s="2"/>
      <c r="S1120" s="2"/>
      <c r="T1120" s="2"/>
      <c r="U1120" s="2"/>
      <c r="V1120" s="2"/>
      <c r="W1120" s="2"/>
    </row>
    <row r="1121" spans="1:23" ht="75" customHeight="1" x14ac:dyDescent="0.15">
      <c r="A1121" s="2"/>
      <c r="B1121" s="2"/>
      <c r="C1121" s="2"/>
      <c r="D1121" s="2"/>
      <c r="E1121" s="2"/>
      <c r="F1121" s="2"/>
      <c r="G1121" s="2"/>
      <c r="H1121" s="2"/>
      <c r="I1121" s="2"/>
      <c r="J1121" s="2"/>
      <c r="K1121" s="2"/>
      <c r="L1121" s="2"/>
      <c r="M1121" s="2"/>
      <c r="N1121" s="2"/>
      <c r="O1121" s="2"/>
      <c r="P1121" s="2"/>
      <c r="Q1121" s="2"/>
      <c r="R1121" s="2"/>
      <c r="S1121" s="2"/>
      <c r="T1121" s="2"/>
      <c r="U1121" s="2"/>
      <c r="V1121" s="2"/>
      <c r="W1121" s="2"/>
    </row>
    <row r="1122" spans="1:23" ht="75" customHeight="1" x14ac:dyDescent="0.15">
      <c r="A1122" s="2"/>
      <c r="B1122" s="2"/>
      <c r="C1122" s="2"/>
      <c r="D1122" s="2"/>
      <c r="E1122" s="2"/>
      <c r="F1122" s="2"/>
      <c r="G1122" s="2"/>
      <c r="H1122" s="2"/>
      <c r="I1122" s="2"/>
      <c r="J1122" s="2"/>
      <c r="K1122" s="2"/>
      <c r="L1122" s="2"/>
      <c r="M1122" s="2"/>
      <c r="N1122" s="2"/>
      <c r="O1122" s="2"/>
      <c r="P1122" s="2"/>
      <c r="Q1122" s="2"/>
      <c r="R1122" s="2"/>
      <c r="S1122" s="2"/>
      <c r="T1122" s="2"/>
      <c r="U1122" s="2"/>
      <c r="V1122" s="2"/>
      <c r="W1122" s="2"/>
    </row>
    <row r="1123" spans="1:23" ht="75" customHeight="1" x14ac:dyDescent="0.15">
      <c r="A1123" s="2"/>
      <c r="B1123" s="2"/>
      <c r="C1123" s="2"/>
      <c r="D1123" s="2"/>
      <c r="E1123" s="2"/>
      <c r="F1123" s="2"/>
      <c r="G1123" s="2"/>
      <c r="H1123" s="2"/>
      <c r="I1123" s="2"/>
      <c r="J1123" s="2"/>
      <c r="K1123" s="2"/>
      <c r="L1123" s="2"/>
      <c r="M1123" s="2"/>
      <c r="N1123" s="2"/>
      <c r="O1123" s="2"/>
      <c r="P1123" s="2"/>
      <c r="Q1123" s="2"/>
      <c r="R1123" s="2"/>
      <c r="S1123" s="2"/>
      <c r="T1123" s="2"/>
      <c r="U1123" s="2"/>
      <c r="V1123" s="2"/>
      <c r="W1123" s="2"/>
    </row>
    <row r="1124" spans="1:23" ht="75" customHeight="1" x14ac:dyDescent="0.15">
      <c r="A1124" s="2"/>
      <c r="B1124" s="2"/>
      <c r="C1124" s="2"/>
      <c r="D1124" s="2"/>
      <c r="E1124" s="2"/>
      <c r="F1124" s="2"/>
      <c r="G1124" s="2"/>
      <c r="H1124" s="2"/>
      <c r="I1124" s="2"/>
      <c r="J1124" s="2"/>
      <c r="K1124" s="2"/>
      <c r="L1124" s="2"/>
      <c r="M1124" s="2"/>
      <c r="N1124" s="2"/>
      <c r="O1124" s="2"/>
      <c r="P1124" s="2"/>
      <c r="Q1124" s="2"/>
      <c r="R1124" s="2"/>
      <c r="S1124" s="2"/>
      <c r="T1124" s="2"/>
      <c r="U1124" s="2"/>
      <c r="V1124" s="2"/>
      <c r="W1124" s="2"/>
    </row>
    <row r="1125" spans="1:23" ht="75" customHeight="1" x14ac:dyDescent="0.15">
      <c r="A1125" s="2"/>
      <c r="B1125" s="2"/>
      <c r="C1125" s="2"/>
      <c r="D1125" s="2"/>
      <c r="E1125" s="2"/>
      <c r="F1125" s="2"/>
      <c r="G1125" s="2"/>
      <c r="H1125" s="2"/>
      <c r="I1125" s="2"/>
      <c r="J1125" s="2"/>
      <c r="K1125" s="2"/>
      <c r="L1125" s="2"/>
      <c r="M1125" s="2"/>
      <c r="N1125" s="2"/>
      <c r="O1125" s="2"/>
      <c r="P1125" s="2"/>
      <c r="Q1125" s="2"/>
      <c r="R1125" s="2"/>
      <c r="S1125" s="2"/>
      <c r="T1125" s="2"/>
      <c r="U1125" s="2"/>
      <c r="V1125" s="2"/>
      <c r="W1125" s="2"/>
    </row>
    <row r="1126" spans="1:23" ht="75" customHeight="1" x14ac:dyDescent="0.15">
      <c r="A1126" s="2"/>
      <c r="B1126" s="2"/>
      <c r="C1126" s="2"/>
      <c r="D1126" s="2"/>
      <c r="E1126" s="2"/>
      <c r="F1126" s="2"/>
      <c r="G1126" s="2"/>
      <c r="H1126" s="2"/>
      <c r="I1126" s="2"/>
      <c r="J1126" s="2"/>
      <c r="K1126" s="2"/>
      <c r="L1126" s="2"/>
      <c r="M1126" s="2"/>
      <c r="N1126" s="2"/>
      <c r="O1126" s="2"/>
      <c r="P1126" s="2"/>
      <c r="Q1126" s="2"/>
      <c r="R1126" s="2"/>
      <c r="S1126" s="2"/>
      <c r="T1126" s="2"/>
      <c r="U1126" s="2"/>
      <c r="V1126" s="2"/>
      <c r="W1126" s="2"/>
    </row>
    <row r="1127" spans="1:23" ht="75" customHeight="1" x14ac:dyDescent="0.15">
      <c r="A1127" s="2"/>
      <c r="B1127" s="2"/>
      <c r="C1127" s="2"/>
      <c r="D1127" s="2"/>
      <c r="E1127" s="2"/>
      <c r="F1127" s="2"/>
      <c r="G1127" s="2"/>
      <c r="H1127" s="2"/>
      <c r="I1127" s="2"/>
      <c r="J1127" s="2"/>
      <c r="K1127" s="2"/>
      <c r="L1127" s="2"/>
      <c r="M1127" s="2"/>
      <c r="N1127" s="2"/>
      <c r="O1127" s="2"/>
      <c r="P1127" s="2"/>
      <c r="Q1127" s="2"/>
      <c r="R1127" s="2"/>
      <c r="S1127" s="2"/>
      <c r="T1127" s="2"/>
      <c r="U1127" s="2"/>
      <c r="V1127" s="2"/>
      <c r="W1127" s="2"/>
    </row>
    <row r="1128" spans="1:23" ht="75" customHeight="1" x14ac:dyDescent="0.15">
      <c r="A1128" s="2"/>
      <c r="B1128" s="2"/>
      <c r="C1128" s="2"/>
      <c r="D1128" s="2"/>
      <c r="E1128" s="2"/>
      <c r="F1128" s="2"/>
      <c r="G1128" s="2"/>
      <c r="H1128" s="2"/>
      <c r="I1128" s="2"/>
      <c r="J1128" s="2"/>
      <c r="K1128" s="2"/>
      <c r="L1128" s="2"/>
      <c r="M1128" s="2"/>
      <c r="N1128" s="2"/>
      <c r="O1128" s="2"/>
      <c r="P1128" s="2"/>
      <c r="Q1128" s="2"/>
      <c r="R1128" s="2"/>
      <c r="S1128" s="2"/>
      <c r="T1128" s="2"/>
      <c r="U1128" s="2"/>
      <c r="V1128" s="2"/>
      <c r="W1128" s="2"/>
    </row>
    <row r="1129" spans="1:23" ht="75" customHeight="1" x14ac:dyDescent="0.15">
      <c r="A1129" s="2"/>
      <c r="B1129" s="2"/>
      <c r="C1129" s="2"/>
      <c r="D1129" s="2"/>
      <c r="E1129" s="2"/>
      <c r="F1129" s="2"/>
      <c r="G1129" s="2"/>
      <c r="H1129" s="2"/>
      <c r="I1129" s="2"/>
      <c r="J1129" s="2"/>
      <c r="K1129" s="2"/>
      <c r="L1129" s="2"/>
      <c r="M1129" s="2"/>
      <c r="N1129" s="2"/>
      <c r="O1129" s="2"/>
      <c r="P1129" s="2"/>
      <c r="Q1129" s="2"/>
      <c r="R1129" s="2"/>
      <c r="S1129" s="2"/>
      <c r="T1129" s="2"/>
      <c r="U1129" s="2"/>
      <c r="V1129" s="2"/>
      <c r="W1129" s="2"/>
    </row>
    <row r="1130" spans="1:23" ht="75" customHeight="1" x14ac:dyDescent="0.15">
      <c r="A1130" s="2"/>
      <c r="B1130" s="2"/>
      <c r="C1130" s="2"/>
      <c r="D1130" s="2"/>
      <c r="E1130" s="2"/>
      <c r="F1130" s="2"/>
      <c r="G1130" s="2"/>
      <c r="H1130" s="2"/>
      <c r="I1130" s="2"/>
      <c r="J1130" s="2"/>
      <c r="K1130" s="2"/>
      <c r="L1130" s="2"/>
      <c r="M1130" s="2"/>
      <c r="N1130" s="2"/>
      <c r="O1130" s="2"/>
      <c r="P1130" s="2"/>
      <c r="Q1130" s="2"/>
      <c r="R1130" s="2"/>
      <c r="S1130" s="2"/>
      <c r="T1130" s="2"/>
      <c r="U1130" s="2"/>
      <c r="V1130" s="2"/>
      <c r="W1130" s="2"/>
    </row>
    <row r="1131" spans="1:23" ht="75" customHeight="1" x14ac:dyDescent="0.15">
      <c r="A1131" s="2"/>
      <c r="B1131" s="2"/>
      <c r="C1131" s="2"/>
      <c r="D1131" s="2"/>
      <c r="E1131" s="2"/>
      <c r="F1131" s="2"/>
      <c r="G1131" s="2"/>
      <c r="H1131" s="2"/>
      <c r="I1131" s="2"/>
      <c r="J1131" s="2"/>
      <c r="K1131" s="2"/>
      <c r="L1131" s="2"/>
      <c r="M1131" s="2"/>
      <c r="N1131" s="2"/>
      <c r="O1131" s="2"/>
      <c r="P1131" s="2"/>
      <c r="Q1131" s="2"/>
      <c r="R1131" s="2"/>
      <c r="S1131" s="2"/>
      <c r="T1131" s="2"/>
      <c r="U1131" s="2"/>
      <c r="V1131" s="2"/>
      <c r="W1131" s="2"/>
    </row>
    <row r="1132" spans="1:23" ht="75" customHeight="1" x14ac:dyDescent="0.15">
      <c r="A1132" s="2"/>
      <c r="B1132" s="2"/>
      <c r="C1132" s="2"/>
      <c r="D1132" s="2"/>
      <c r="E1132" s="2"/>
      <c r="F1132" s="2"/>
      <c r="G1132" s="2"/>
      <c r="H1132" s="2"/>
      <c r="I1132" s="2"/>
      <c r="J1132" s="2"/>
      <c r="K1132" s="2"/>
      <c r="L1132" s="2"/>
      <c r="M1132" s="2"/>
      <c r="N1132" s="2"/>
      <c r="O1132" s="2"/>
      <c r="P1132" s="2"/>
      <c r="Q1132" s="2"/>
      <c r="R1132" s="2"/>
      <c r="S1132" s="2"/>
      <c r="T1132" s="2"/>
      <c r="U1132" s="2"/>
      <c r="V1132" s="2"/>
      <c r="W1132" s="2"/>
    </row>
    <row r="1133" spans="1:23" ht="75" customHeight="1" x14ac:dyDescent="0.15">
      <c r="A1133" s="2"/>
      <c r="B1133" s="2"/>
      <c r="C1133" s="2"/>
      <c r="D1133" s="2"/>
      <c r="E1133" s="2"/>
      <c r="F1133" s="2"/>
      <c r="G1133" s="2"/>
      <c r="H1133" s="2"/>
      <c r="I1133" s="2"/>
      <c r="J1133" s="2"/>
      <c r="K1133" s="2"/>
      <c r="L1133" s="2"/>
      <c r="M1133" s="2"/>
      <c r="N1133" s="2"/>
      <c r="O1133" s="2"/>
      <c r="P1133" s="2"/>
      <c r="Q1133" s="2"/>
      <c r="R1133" s="2"/>
      <c r="S1133" s="2"/>
      <c r="T1133" s="2"/>
      <c r="U1133" s="2"/>
      <c r="V1133" s="2"/>
      <c r="W1133" s="2"/>
    </row>
    <row r="1134" spans="1:23" ht="75" customHeight="1" x14ac:dyDescent="0.15">
      <c r="A1134" s="2"/>
      <c r="B1134" s="2"/>
      <c r="C1134" s="2"/>
      <c r="D1134" s="2"/>
      <c r="E1134" s="2"/>
      <c r="F1134" s="2"/>
      <c r="G1134" s="2"/>
      <c r="H1134" s="2"/>
      <c r="I1134" s="2"/>
      <c r="J1134" s="2"/>
      <c r="K1134" s="2"/>
      <c r="L1134" s="2"/>
      <c r="M1134" s="2"/>
      <c r="N1134" s="2"/>
      <c r="O1134" s="2"/>
      <c r="P1134" s="2"/>
      <c r="Q1134" s="2"/>
      <c r="R1134" s="2"/>
      <c r="S1134" s="2"/>
      <c r="T1134" s="2"/>
      <c r="U1134" s="2"/>
      <c r="V1134" s="2"/>
      <c r="W1134" s="2"/>
    </row>
    <row r="1135" spans="1:23" ht="75" customHeight="1" x14ac:dyDescent="0.15">
      <c r="A1135" s="2"/>
      <c r="B1135" s="2"/>
      <c r="C1135" s="2"/>
      <c r="D1135" s="2"/>
      <c r="E1135" s="2"/>
      <c r="F1135" s="2"/>
      <c r="G1135" s="2"/>
      <c r="H1135" s="2"/>
      <c r="I1135" s="2"/>
      <c r="J1135" s="2"/>
      <c r="K1135" s="2"/>
      <c r="L1135" s="2"/>
      <c r="M1135" s="2"/>
      <c r="N1135" s="2"/>
      <c r="O1135" s="2"/>
      <c r="P1135" s="2"/>
      <c r="Q1135" s="2"/>
      <c r="R1135" s="2"/>
      <c r="S1135" s="2"/>
      <c r="T1135" s="2"/>
      <c r="U1135" s="2"/>
      <c r="V1135" s="2"/>
      <c r="W1135" s="2"/>
    </row>
    <row r="1136" spans="1:23" ht="75" customHeight="1" x14ac:dyDescent="0.15">
      <c r="A1136" s="2"/>
      <c r="B1136" s="2"/>
      <c r="C1136" s="2"/>
      <c r="D1136" s="2"/>
      <c r="E1136" s="2"/>
      <c r="F1136" s="2"/>
      <c r="G1136" s="2"/>
      <c r="H1136" s="2"/>
      <c r="I1136" s="2"/>
      <c r="J1136" s="2"/>
      <c r="K1136" s="2"/>
      <c r="L1136" s="2"/>
      <c r="M1136" s="2"/>
      <c r="N1136" s="2"/>
      <c r="O1136" s="2"/>
      <c r="P1136" s="2"/>
      <c r="Q1136" s="2"/>
      <c r="R1136" s="2"/>
      <c r="S1136" s="2"/>
      <c r="T1136" s="2"/>
      <c r="U1136" s="2"/>
      <c r="V1136" s="2"/>
      <c r="W1136" s="2"/>
    </row>
    <row r="1137" spans="1:23" ht="75" customHeight="1" x14ac:dyDescent="0.15">
      <c r="A1137" s="2"/>
      <c r="B1137" s="2"/>
      <c r="C1137" s="2"/>
      <c r="D1137" s="2"/>
      <c r="E1137" s="2"/>
      <c r="F1137" s="2"/>
      <c r="G1137" s="2"/>
      <c r="H1137" s="2"/>
      <c r="I1137" s="2"/>
      <c r="J1137" s="2"/>
      <c r="K1137" s="2"/>
      <c r="L1137" s="2"/>
      <c r="M1137" s="2"/>
      <c r="N1137" s="2"/>
      <c r="O1137" s="2"/>
      <c r="P1137" s="2"/>
      <c r="Q1137" s="2"/>
      <c r="R1137" s="2"/>
      <c r="S1137" s="2"/>
      <c r="T1137" s="2"/>
      <c r="U1137" s="2"/>
      <c r="V1137" s="2"/>
      <c r="W1137" s="2"/>
    </row>
    <row r="1138" spans="1:23" ht="75" customHeight="1" x14ac:dyDescent="0.15">
      <c r="A1138" s="2"/>
      <c r="B1138" s="2"/>
      <c r="C1138" s="2"/>
      <c r="D1138" s="2"/>
      <c r="E1138" s="2"/>
      <c r="F1138" s="2"/>
      <c r="G1138" s="2"/>
      <c r="H1138" s="2"/>
      <c r="I1138" s="2"/>
      <c r="J1138" s="2"/>
      <c r="K1138" s="2"/>
      <c r="L1138" s="2"/>
      <c r="M1138" s="2"/>
      <c r="N1138" s="2"/>
      <c r="O1138" s="2"/>
      <c r="P1138" s="2"/>
      <c r="Q1138" s="2"/>
      <c r="R1138" s="2"/>
      <c r="S1138" s="2"/>
      <c r="T1138" s="2"/>
      <c r="U1138" s="2"/>
      <c r="V1138" s="2"/>
      <c r="W1138" s="2"/>
    </row>
    <row r="1139" spans="1:23" ht="75" customHeight="1" x14ac:dyDescent="0.15">
      <c r="A1139" s="2"/>
      <c r="B1139" s="2"/>
      <c r="C1139" s="2"/>
      <c r="D1139" s="2"/>
      <c r="E1139" s="2"/>
      <c r="F1139" s="2"/>
      <c r="G1139" s="2"/>
      <c r="H1139" s="2"/>
      <c r="I1139" s="2"/>
      <c r="J1139" s="2"/>
      <c r="K1139" s="2"/>
      <c r="L1139" s="2"/>
      <c r="M1139" s="2"/>
      <c r="N1139" s="2"/>
      <c r="O1139" s="2"/>
      <c r="P1139" s="2"/>
      <c r="Q1139" s="2"/>
      <c r="R1139" s="2"/>
      <c r="S1139" s="2"/>
      <c r="T1139" s="2"/>
      <c r="U1139" s="2"/>
      <c r="V1139" s="2"/>
      <c r="W1139" s="2"/>
    </row>
    <row r="1140" spans="1:23" ht="75" customHeight="1" x14ac:dyDescent="0.15">
      <c r="A1140" s="2"/>
      <c r="B1140" s="2"/>
      <c r="C1140" s="2"/>
      <c r="D1140" s="2"/>
      <c r="E1140" s="2"/>
      <c r="F1140" s="2"/>
      <c r="G1140" s="2"/>
      <c r="H1140" s="2"/>
      <c r="I1140" s="2"/>
      <c r="J1140" s="2"/>
      <c r="K1140" s="2"/>
      <c r="L1140" s="2"/>
      <c r="M1140" s="2"/>
      <c r="N1140" s="2"/>
      <c r="O1140" s="2"/>
      <c r="P1140" s="2"/>
      <c r="Q1140" s="2"/>
      <c r="R1140" s="2"/>
      <c r="S1140" s="2"/>
      <c r="T1140" s="2"/>
      <c r="U1140" s="2"/>
      <c r="V1140" s="2"/>
      <c r="W1140" s="2"/>
    </row>
    <row r="1141" spans="1:23" ht="75" customHeight="1" x14ac:dyDescent="0.15">
      <c r="A1141" s="2"/>
      <c r="B1141" s="2"/>
      <c r="C1141" s="2"/>
      <c r="D1141" s="2"/>
      <c r="E1141" s="2"/>
      <c r="F1141" s="2"/>
      <c r="G1141" s="2"/>
      <c r="H1141" s="2"/>
      <c r="I1141" s="2"/>
      <c r="J1141" s="2"/>
      <c r="K1141" s="2"/>
      <c r="L1141" s="2"/>
      <c r="M1141" s="2"/>
      <c r="N1141" s="2"/>
      <c r="O1141" s="2"/>
      <c r="P1141" s="2"/>
      <c r="Q1141" s="2"/>
      <c r="R1141" s="2"/>
      <c r="S1141" s="2"/>
      <c r="T1141" s="2"/>
      <c r="U1141" s="2"/>
      <c r="V1141" s="2"/>
      <c r="W1141" s="2"/>
    </row>
    <row r="1142" spans="1:23" ht="75" customHeight="1" x14ac:dyDescent="0.15">
      <c r="A1142" s="2"/>
      <c r="B1142" s="2"/>
      <c r="C1142" s="2"/>
      <c r="D1142" s="2"/>
      <c r="E1142" s="2"/>
      <c r="F1142" s="2"/>
      <c r="G1142" s="2"/>
      <c r="H1142" s="2"/>
      <c r="I1142" s="2"/>
      <c r="J1142" s="2"/>
      <c r="K1142" s="2"/>
      <c r="L1142" s="2"/>
      <c r="M1142" s="2"/>
      <c r="N1142" s="2"/>
      <c r="O1142" s="2"/>
      <c r="P1142" s="2"/>
      <c r="Q1142" s="2"/>
      <c r="R1142" s="2"/>
      <c r="S1142" s="2"/>
      <c r="T1142" s="2"/>
      <c r="U1142" s="2"/>
      <c r="V1142" s="2"/>
      <c r="W1142" s="2"/>
    </row>
    <row r="1143" spans="1:23" ht="75" customHeight="1" x14ac:dyDescent="0.15">
      <c r="A1143" s="2"/>
      <c r="B1143" s="2"/>
      <c r="C1143" s="2"/>
      <c r="D1143" s="2"/>
      <c r="E1143" s="2"/>
      <c r="F1143" s="2"/>
      <c r="G1143" s="2"/>
      <c r="H1143" s="2"/>
      <c r="I1143" s="2"/>
      <c r="J1143" s="2"/>
      <c r="K1143" s="2"/>
      <c r="L1143" s="2"/>
      <c r="M1143" s="2"/>
      <c r="N1143" s="2"/>
      <c r="O1143" s="2"/>
      <c r="P1143" s="2"/>
      <c r="Q1143" s="2"/>
      <c r="R1143" s="2"/>
      <c r="S1143" s="2"/>
      <c r="T1143" s="2"/>
      <c r="U1143" s="2"/>
      <c r="V1143" s="2"/>
      <c r="W1143" s="2"/>
    </row>
    <row r="1144" spans="1:23" ht="75" customHeight="1" x14ac:dyDescent="0.15">
      <c r="A1144" s="2"/>
      <c r="B1144" s="2"/>
      <c r="C1144" s="2"/>
      <c r="D1144" s="2"/>
      <c r="E1144" s="2"/>
      <c r="F1144" s="2"/>
      <c r="G1144" s="2"/>
      <c r="H1144" s="2"/>
      <c r="I1144" s="2"/>
      <c r="J1144" s="2"/>
      <c r="K1144" s="2"/>
      <c r="L1144" s="2"/>
      <c r="M1144" s="2"/>
      <c r="N1144" s="2"/>
      <c r="O1144" s="2"/>
      <c r="P1144" s="2"/>
      <c r="Q1144" s="2"/>
      <c r="R1144" s="2"/>
      <c r="S1144" s="2"/>
      <c r="T1144" s="2"/>
      <c r="U1144" s="2"/>
      <c r="V1144" s="2"/>
      <c r="W1144" s="2"/>
    </row>
    <row r="1145" spans="1:23" ht="75" customHeight="1" x14ac:dyDescent="0.15">
      <c r="A1145" s="2"/>
      <c r="B1145" s="2"/>
      <c r="C1145" s="2"/>
      <c r="D1145" s="2"/>
      <c r="E1145" s="2"/>
      <c r="F1145" s="2"/>
      <c r="G1145" s="2"/>
      <c r="H1145" s="2"/>
      <c r="I1145" s="2"/>
      <c r="J1145" s="2"/>
      <c r="K1145" s="2"/>
      <c r="L1145" s="2"/>
      <c r="M1145" s="2"/>
      <c r="N1145" s="2"/>
      <c r="O1145" s="2"/>
      <c r="P1145" s="2"/>
      <c r="Q1145" s="2"/>
      <c r="R1145" s="2"/>
      <c r="S1145" s="2"/>
      <c r="T1145" s="2"/>
      <c r="U1145" s="2"/>
      <c r="V1145" s="2"/>
      <c r="W1145" s="2"/>
    </row>
    <row r="1146" spans="1:23" ht="75" customHeight="1" x14ac:dyDescent="0.15">
      <c r="A1146" s="2"/>
      <c r="B1146" s="2"/>
      <c r="C1146" s="2"/>
      <c r="D1146" s="2"/>
      <c r="E1146" s="2"/>
      <c r="F1146" s="2"/>
      <c r="G1146" s="2"/>
      <c r="H1146" s="2"/>
      <c r="I1146" s="2"/>
      <c r="J1146" s="2"/>
      <c r="K1146" s="2"/>
      <c r="L1146" s="2"/>
      <c r="M1146" s="2"/>
      <c r="N1146" s="2"/>
      <c r="O1146" s="2"/>
      <c r="P1146" s="2"/>
      <c r="Q1146" s="2"/>
      <c r="R1146" s="2"/>
      <c r="S1146" s="2"/>
      <c r="T1146" s="2"/>
      <c r="U1146" s="2"/>
      <c r="V1146" s="2"/>
      <c r="W1146" s="2"/>
    </row>
    <row r="1147" spans="1:23" ht="75" customHeight="1" x14ac:dyDescent="0.15">
      <c r="A1147" s="2"/>
      <c r="B1147" s="2"/>
      <c r="C1147" s="2"/>
      <c r="D1147" s="2"/>
      <c r="E1147" s="2"/>
      <c r="F1147" s="2"/>
      <c r="G1147" s="2"/>
      <c r="H1147" s="2"/>
      <c r="I1147" s="2"/>
      <c r="J1147" s="2"/>
      <c r="K1147" s="2"/>
      <c r="L1147" s="2"/>
      <c r="M1147" s="2"/>
      <c r="N1147" s="2"/>
      <c r="O1147" s="2"/>
      <c r="P1147" s="2"/>
      <c r="Q1147" s="2"/>
      <c r="R1147" s="2"/>
      <c r="S1147" s="2"/>
      <c r="T1147" s="2"/>
      <c r="U1147" s="2"/>
      <c r="V1147" s="2"/>
      <c r="W1147" s="2"/>
    </row>
    <row r="1148" spans="1:23" ht="75" customHeight="1" x14ac:dyDescent="0.15">
      <c r="A1148" s="2"/>
      <c r="B1148" s="2"/>
      <c r="C1148" s="2"/>
      <c r="D1148" s="2"/>
      <c r="E1148" s="2"/>
      <c r="F1148" s="2"/>
      <c r="G1148" s="2"/>
      <c r="H1148" s="2"/>
      <c r="I1148" s="2"/>
      <c r="J1148" s="2"/>
      <c r="K1148" s="2"/>
      <c r="L1148" s="2"/>
      <c r="M1148" s="2"/>
      <c r="N1148" s="2"/>
      <c r="O1148" s="2"/>
      <c r="P1148" s="2"/>
      <c r="Q1148" s="2"/>
      <c r="R1148" s="2"/>
      <c r="S1148" s="2"/>
      <c r="T1148" s="2"/>
      <c r="U1148" s="2"/>
      <c r="V1148" s="2"/>
      <c r="W1148" s="2"/>
    </row>
    <row r="1149" spans="1:23" ht="75" customHeight="1" x14ac:dyDescent="0.15">
      <c r="A1149" s="2"/>
      <c r="B1149" s="2"/>
      <c r="C1149" s="2"/>
      <c r="D1149" s="2"/>
      <c r="E1149" s="2"/>
      <c r="F1149" s="2"/>
      <c r="G1149" s="2"/>
      <c r="H1149" s="2"/>
      <c r="I1149" s="2"/>
      <c r="J1149" s="2"/>
      <c r="K1149" s="2"/>
      <c r="L1149" s="2"/>
      <c r="M1149" s="2"/>
      <c r="N1149" s="2"/>
      <c r="O1149" s="2"/>
      <c r="P1149" s="2"/>
      <c r="Q1149" s="2"/>
      <c r="R1149" s="2"/>
      <c r="S1149" s="2"/>
      <c r="T1149" s="2"/>
      <c r="U1149" s="2"/>
      <c r="V1149" s="2"/>
      <c r="W1149" s="2"/>
    </row>
    <row r="1150" spans="1:23" ht="75" customHeight="1" x14ac:dyDescent="0.15">
      <c r="A1150" s="2"/>
      <c r="B1150" s="2"/>
      <c r="C1150" s="2"/>
      <c r="D1150" s="2"/>
      <c r="E1150" s="2"/>
      <c r="F1150" s="2"/>
      <c r="G1150" s="2"/>
      <c r="H1150" s="2"/>
      <c r="I1150" s="2"/>
      <c r="J1150" s="2"/>
      <c r="K1150" s="2"/>
      <c r="L1150" s="2"/>
      <c r="M1150" s="2"/>
      <c r="N1150" s="2"/>
      <c r="O1150" s="2"/>
      <c r="P1150" s="2"/>
      <c r="Q1150" s="2"/>
      <c r="R1150" s="2"/>
      <c r="S1150" s="2"/>
      <c r="T1150" s="2"/>
      <c r="U1150" s="2"/>
      <c r="V1150" s="2"/>
      <c r="W1150" s="2"/>
    </row>
    <row r="1151" spans="1:23" ht="75" customHeight="1" x14ac:dyDescent="0.15">
      <c r="A1151" s="2"/>
      <c r="B1151" s="2"/>
      <c r="C1151" s="2"/>
      <c r="D1151" s="2"/>
      <c r="E1151" s="2"/>
      <c r="F1151" s="2"/>
      <c r="G1151" s="2"/>
      <c r="H1151" s="2"/>
      <c r="I1151" s="2"/>
      <c r="J1151" s="2"/>
      <c r="K1151" s="2"/>
      <c r="L1151" s="2"/>
      <c r="M1151" s="2"/>
      <c r="N1151" s="2"/>
      <c r="O1151" s="2"/>
      <c r="P1151" s="2"/>
      <c r="Q1151" s="2"/>
      <c r="R1151" s="2"/>
      <c r="S1151" s="2"/>
      <c r="T1151" s="2"/>
      <c r="U1151" s="2"/>
      <c r="V1151" s="2"/>
      <c r="W1151" s="2"/>
    </row>
    <row r="1152" spans="1:23" ht="75" customHeight="1" x14ac:dyDescent="0.15">
      <c r="A1152" s="2"/>
      <c r="B1152" s="2"/>
      <c r="C1152" s="2"/>
      <c r="D1152" s="2"/>
      <c r="E1152" s="2"/>
      <c r="F1152" s="2"/>
      <c r="G1152" s="2"/>
      <c r="H1152" s="2"/>
      <c r="I1152" s="2"/>
      <c r="J1152" s="2"/>
      <c r="K1152" s="2"/>
      <c r="L1152" s="2"/>
      <c r="M1152" s="2"/>
      <c r="N1152" s="2"/>
      <c r="O1152" s="2"/>
      <c r="P1152" s="2"/>
      <c r="Q1152" s="2"/>
      <c r="R1152" s="2"/>
      <c r="S1152" s="2"/>
      <c r="T1152" s="2"/>
      <c r="U1152" s="2"/>
      <c r="V1152" s="2"/>
      <c r="W1152" s="2"/>
    </row>
    <row r="1153" spans="1:23" ht="75" customHeight="1" x14ac:dyDescent="0.15">
      <c r="A1153" s="2"/>
      <c r="B1153" s="2"/>
      <c r="C1153" s="2"/>
      <c r="D1153" s="2"/>
      <c r="E1153" s="2"/>
      <c r="F1153" s="2"/>
      <c r="G1153" s="2"/>
      <c r="H1153" s="2"/>
      <c r="I1153" s="2"/>
      <c r="J1153" s="2"/>
      <c r="K1153" s="2"/>
      <c r="L1153" s="2"/>
      <c r="M1153" s="2"/>
      <c r="N1153" s="2"/>
      <c r="O1153" s="2"/>
      <c r="P1153" s="2"/>
      <c r="Q1153" s="2"/>
      <c r="R1153" s="2"/>
      <c r="S1153" s="2"/>
      <c r="T1153" s="2"/>
      <c r="U1153" s="2"/>
      <c r="V1153" s="2"/>
      <c r="W1153" s="2"/>
    </row>
    <row r="1154" spans="1:23" ht="75" customHeight="1" x14ac:dyDescent="0.15">
      <c r="A1154" s="2"/>
      <c r="B1154" s="2"/>
      <c r="C1154" s="2"/>
      <c r="D1154" s="2"/>
      <c r="E1154" s="2"/>
      <c r="F1154" s="2"/>
      <c r="G1154" s="2"/>
      <c r="H1154" s="2"/>
      <c r="I1154" s="2"/>
      <c r="J1154" s="2"/>
      <c r="K1154" s="2"/>
      <c r="L1154" s="2"/>
      <c r="M1154" s="2"/>
      <c r="N1154" s="2"/>
      <c r="O1154" s="2"/>
      <c r="P1154" s="2"/>
      <c r="Q1154" s="2"/>
      <c r="R1154" s="2"/>
      <c r="S1154" s="2"/>
      <c r="T1154" s="2"/>
      <c r="U1154" s="2"/>
      <c r="V1154" s="2"/>
      <c r="W1154" s="2"/>
    </row>
    <row r="1155" spans="1:23" ht="75" customHeight="1" x14ac:dyDescent="0.15">
      <c r="A1155" s="2"/>
      <c r="B1155" s="2"/>
      <c r="C1155" s="2"/>
      <c r="D1155" s="2"/>
      <c r="E1155" s="2"/>
      <c r="F1155" s="2"/>
      <c r="G1155" s="2"/>
      <c r="H1155" s="2"/>
      <c r="I1155" s="2"/>
      <c r="J1155" s="2"/>
      <c r="K1155" s="2"/>
      <c r="L1155" s="2"/>
      <c r="M1155" s="2"/>
      <c r="N1155" s="2"/>
      <c r="O1155" s="2"/>
      <c r="P1155" s="2"/>
      <c r="Q1155" s="2"/>
      <c r="R1155" s="2"/>
      <c r="S1155" s="2"/>
      <c r="T1155" s="2"/>
      <c r="U1155" s="2"/>
      <c r="V1155" s="2"/>
      <c r="W1155" s="2"/>
    </row>
    <row r="1156" spans="1:23" ht="75" customHeight="1" x14ac:dyDescent="0.15">
      <c r="A1156" s="2"/>
      <c r="B1156" s="2"/>
      <c r="C1156" s="2"/>
      <c r="D1156" s="2"/>
      <c r="E1156" s="2"/>
      <c r="F1156" s="2"/>
      <c r="G1156" s="2"/>
      <c r="H1156" s="2"/>
      <c r="I1156" s="2"/>
      <c r="J1156" s="2"/>
      <c r="K1156" s="2"/>
      <c r="L1156" s="2"/>
      <c r="M1156" s="2"/>
      <c r="N1156" s="2"/>
      <c r="O1156" s="2"/>
      <c r="P1156" s="2"/>
      <c r="Q1156" s="2"/>
      <c r="R1156" s="2"/>
      <c r="S1156" s="2"/>
      <c r="T1156" s="2"/>
      <c r="U1156" s="2"/>
      <c r="V1156" s="2"/>
      <c r="W1156" s="2"/>
    </row>
    <row r="1157" spans="1:23" ht="75" customHeight="1" x14ac:dyDescent="0.15">
      <c r="A1157" s="2"/>
      <c r="B1157" s="2"/>
      <c r="C1157" s="2"/>
      <c r="D1157" s="2"/>
      <c r="E1157" s="2"/>
      <c r="F1157" s="2"/>
      <c r="G1157" s="2"/>
      <c r="H1157" s="2"/>
      <c r="I1157" s="2"/>
      <c r="J1157" s="2"/>
      <c r="K1157" s="2"/>
      <c r="L1157" s="2"/>
      <c r="M1157" s="2"/>
      <c r="N1157" s="2"/>
      <c r="O1157" s="2"/>
      <c r="P1157" s="2"/>
      <c r="Q1157" s="2"/>
      <c r="R1157" s="2"/>
      <c r="S1157" s="2"/>
      <c r="T1157" s="2"/>
      <c r="U1157" s="2"/>
      <c r="V1157" s="2"/>
      <c r="W1157" s="2"/>
    </row>
    <row r="1158" spans="1:23" ht="75" customHeight="1" x14ac:dyDescent="0.15">
      <c r="A1158" s="2"/>
      <c r="B1158" s="2"/>
      <c r="C1158" s="2"/>
      <c r="D1158" s="2"/>
      <c r="E1158" s="2"/>
      <c r="F1158" s="2"/>
      <c r="G1158" s="2"/>
      <c r="H1158" s="2"/>
      <c r="I1158" s="2"/>
      <c r="J1158" s="2"/>
      <c r="K1158" s="2"/>
      <c r="L1158" s="2"/>
      <c r="M1158" s="2"/>
      <c r="N1158" s="2"/>
      <c r="O1158" s="2"/>
      <c r="P1158" s="2"/>
      <c r="Q1158" s="2"/>
      <c r="R1158" s="2"/>
      <c r="S1158" s="2"/>
      <c r="T1158" s="2"/>
      <c r="U1158" s="2"/>
      <c r="V1158" s="2"/>
      <c r="W1158" s="2"/>
    </row>
    <row r="1159" spans="1:23" ht="75" customHeight="1" x14ac:dyDescent="0.15">
      <c r="A1159" s="2"/>
      <c r="B1159" s="2"/>
      <c r="C1159" s="2"/>
      <c r="D1159" s="2"/>
      <c r="E1159" s="2"/>
      <c r="F1159" s="2"/>
      <c r="G1159" s="2"/>
      <c r="H1159" s="2"/>
      <c r="I1159" s="2"/>
      <c r="J1159" s="2"/>
      <c r="K1159" s="2"/>
      <c r="L1159" s="2"/>
      <c r="M1159" s="2"/>
      <c r="N1159" s="2"/>
      <c r="O1159" s="2"/>
      <c r="P1159" s="2"/>
      <c r="Q1159" s="2"/>
      <c r="R1159" s="2"/>
      <c r="S1159" s="2"/>
      <c r="T1159" s="2"/>
      <c r="U1159" s="2"/>
      <c r="V1159" s="2"/>
      <c r="W1159" s="2"/>
    </row>
    <row r="1160" spans="1:23" ht="75" customHeight="1" x14ac:dyDescent="0.15">
      <c r="A1160" s="2"/>
      <c r="B1160" s="2"/>
      <c r="C1160" s="2"/>
      <c r="D1160" s="2"/>
      <c r="E1160" s="2"/>
      <c r="F1160" s="2"/>
      <c r="G1160" s="2"/>
      <c r="H1160" s="2"/>
      <c r="I1160" s="2"/>
      <c r="J1160" s="2"/>
      <c r="K1160" s="2"/>
      <c r="L1160" s="2"/>
      <c r="M1160" s="2"/>
      <c r="N1160" s="2"/>
      <c r="O1160" s="2"/>
      <c r="P1160" s="2"/>
      <c r="Q1160" s="2"/>
      <c r="R1160" s="2"/>
      <c r="S1160" s="2"/>
      <c r="T1160" s="2"/>
      <c r="U1160" s="2"/>
      <c r="V1160" s="2"/>
      <c r="W1160" s="2"/>
    </row>
    <row r="1161" spans="1:23" ht="75" customHeight="1" x14ac:dyDescent="0.15">
      <c r="A1161" s="2"/>
      <c r="B1161" s="2"/>
      <c r="C1161" s="2"/>
      <c r="D1161" s="2"/>
      <c r="E1161" s="2"/>
      <c r="F1161" s="2"/>
      <c r="G1161" s="2"/>
      <c r="H1161" s="2"/>
      <c r="I1161" s="2"/>
      <c r="J1161" s="2"/>
      <c r="K1161" s="2"/>
      <c r="L1161" s="2"/>
      <c r="M1161" s="2"/>
      <c r="N1161" s="2"/>
      <c r="O1161" s="2"/>
      <c r="P1161" s="2"/>
      <c r="Q1161" s="2"/>
      <c r="R1161" s="2"/>
      <c r="S1161" s="2"/>
      <c r="T1161" s="2"/>
      <c r="U1161" s="2"/>
      <c r="V1161" s="2"/>
      <c r="W1161" s="2"/>
    </row>
    <row r="1162" spans="1:23" ht="75" customHeight="1" x14ac:dyDescent="0.15">
      <c r="A1162" s="2"/>
      <c r="B1162" s="2"/>
      <c r="C1162" s="2"/>
      <c r="D1162" s="2"/>
      <c r="E1162" s="2"/>
      <c r="F1162" s="2"/>
      <c r="G1162" s="2"/>
      <c r="H1162" s="2"/>
      <c r="I1162" s="2"/>
      <c r="J1162" s="2"/>
      <c r="K1162" s="2"/>
      <c r="L1162" s="2"/>
      <c r="M1162" s="2"/>
      <c r="N1162" s="2"/>
      <c r="O1162" s="2"/>
      <c r="P1162" s="2"/>
      <c r="Q1162" s="2"/>
      <c r="R1162" s="2"/>
      <c r="S1162" s="2"/>
      <c r="T1162" s="2"/>
      <c r="U1162" s="2"/>
      <c r="V1162" s="2"/>
      <c r="W1162" s="2"/>
    </row>
    <row r="1163" spans="1:23" ht="75" customHeight="1" x14ac:dyDescent="0.15">
      <c r="A1163" s="2"/>
      <c r="B1163" s="2"/>
      <c r="C1163" s="2"/>
      <c r="D1163" s="2"/>
      <c r="E1163" s="2"/>
      <c r="F1163" s="2"/>
      <c r="G1163" s="2"/>
      <c r="H1163" s="2"/>
      <c r="I1163" s="2"/>
      <c r="J1163" s="2"/>
      <c r="K1163" s="2"/>
      <c r="L1163" s="2"/>
      <c r="M1163" s="2"/>
      <c r="N1163" s="2"/>
      <c r="O1163" s="2"/>
      <c r="P1163" s="2"/>
      <c r="Q1163" s="2"/>
      <c r="R1163" s="2"/>
      <c r="S1163" s="2"/>
      <c r="T1163" s="2"/>
      <c r="U1163" s="2"/>
      <c r="V1163" s="2"/>
      <c r="W1163" s="2"/>
    </row>
    <row r="1164" spans="1:23" ht="75" customHeight="1" x14ac:dyDescent="0.15">
      <c r="A1164" s="2"/>
      <c r="B1164" s="2"/>
      <c r="C1164" s="2"/>
      <c r="D1164" s="2"/>
      <c r="E1164" s="2"/>
      <c r="F1164" s="2"/>
      <c r="G1164" s="2"/>
      <c r="H1164" s="2"/>
      <c r="I1164" s="2"/>
      <c r="J1164" s="2"/>
      <c r="K1164" s="2"/>
      <c r="L1164" s="2"/>
      <c r="M1164" s="2"/>
      <c r="N1164" s="2"/>
      <c r="O1164" s="2"/>
      <c r="P1164" s="2"/>
      <c r="Q1164" s="2"/>
      <c r="R1164" s="2"/>
      <c r="S1164" s="2"/>
      <c r="T1164" s="2"/>
      <c r="U1164" s="2"/>
      <c r="V1164" s="2"/>
      <c r="W1164" s="2"/>
    </row>
    <row r="1165" spans="1:23" ht="75" customHeight="1" x14ac:dyDescent="0.15">
      <c r="A1165" s="2"/>
      <c r="B1165" s="2"/>
      <c r="C1165" s="2"/>
      <c r="D1165" s="2"/>
      <c r="E1165" s="2"/>
      <c r="F1165" s="2"/>
      <c r="G1165" s="2"/>
      <c r="H1165" s="2"/>
      <c r="I1165" s="2"/>
      <c r="J1165" s="2"/>
      <c r="K1165" s="2"/>
      <c r="L1165" s="2"/>
      <c r="M1165" s="2"/>
      <c r="N1165" s="2"/>
      <c r="O1165" s="2"/>
      <c r="P1165" s="2"/>
      <c r="Q1165" s="2"/>
      <c r="R1165" s="2"/>
      <c r="S1165" s="2"/>
      <c r="T1165" s="2"/>
      <c r="U1165" s="2"/>
      <c r="V1165" s="2"/>
      <c r="W1165" s="2"/>
    </row>
    <row r="1166" spans="1:23" ht="75" customHeight="1" x14ac:dyDescent="0.15">
      <c r="A1166" s="2"/>
      <c r="B1166" s="2"/>
      <c r="C1166" s="2"/>
      <c r="D1166" s="2"/>
      <c r="E1166" s="2"/>
      <c r="F1166" s="2"/>
      <c r="G1166" s="2"/>
      <c r="H1166" s="2"/>
      <c r="I1166" s="2"/>
      <c r="J1166" s="2"/>
      <c r="K1166" s="2"/>
      <c r="L1166" s="2"/>
      <c r="M1166" s="2"/>
      <c r="N1166" s="2"/>
      <c r="O1166" s="2"/>
      <c r="P1166" s="2"/>
      <c r="Q1166" s="2"/>
      <c r="R1166" s="2"/>
      <c r="S1166" s="2"/>
      <c r="T1166" s="2"/>
      <c r="U1166" s="2"/>
      <c r="V1166" s="2"/>
      <c r="W1166" s="2"/>
    </row>
    <row r="1167" spans="1:23" ht="75" customHeight="1" x14ac:dyDescent="0.15">
      <c r="A1167" s="2"/>
      <c r="B1167" s="2"/>
      <c r="C1167" s="2"/>
      <c r="D1167" s="2"/>
      <c r="E1167" s="2"/>
      <c r="F1167" s="2"/>
      <c r="G1167" s="2"/>
      <c r="H1167" s="2"/>
      <c r="I1167" s="2"/>
      <c r="J1167" s="2"/>
      <c r="K1167" s="2"/>
      <c r="L1167" s="2"/>
      <c r="M1167" s="2"/>
      <c r="N1167" s="2"/>
      <c r="O1167" s="2"/>
      <c r="P1167" s="2"/>
      <c r="Q1167" s="2"/>
      <c r="R1167" s="2"/>
      <c r="S1167" s="2"/>
      <c r="T1167" s="2"/>
      <c r="U1167" s="2"/>
      <c r="V1167" s="2"/>
      <c r="W1167" s="2"/>
    </row>
    <row r="1168" spans="1:23" ht="75" customHeight="1" x14ac:dyDescent="0.15">
      <c r="A1168" s="2"/>
      <c r="B1168" s="2"/>
      <c r="C1168" s="2"/>
      <c r="D1168" s="2"/>
      <c r="E1168" s="2"/>
      <c r="F1168" s="2"/>
      <c r="G1168" s="2"/>
      <c r="H1168" s="2"/>
      <c r="I1168" s="2"/>
      <c r="J1168" s="2"/>
      <c r="K1168" s="2"/>
      <c r="L1168" s="2"/>
      <c r="M1168" s="2"/>
      <c r="N1168" s="2"/>
      <c r="O1168" s="2"/>
      <c r="P1168" s="2"/>
      <c r="Q1168" s="2"/>
      <c r="R1168" s="2"/>
      <c r="S1168" s="2"/>
      <c r="T1168" s="2"/>
      <c r="U1168" s="2"/>
      <c r="V1168" s="2"/>
      <c r="W1168" s="2"/>
    </row>
    <row r="1169" spans="1:23" ht="75" customHeight="1" x14ac:dyDescent="0.15">
      <c r="A1169" s="2"/>
      <c r="B1169" s="2"/>
      <c r="C1169" s="2"/>
      <c r="D1169" s="2"/>
      <c r="E1169" s="2"/>
      <c r="F1169" s="2"/>
      <c r="G1169" s="2"/>
      <c r="H1169" s="2"/>
      <c r="I1169" s="2"/>
      <c r="J1169" s="2"/>
      <c r="K1169" s="2"/>
      <c r="L1169" s="2"/>
      <c r="M1169" s="2"/>
      <c r="N1169" s="2"/>
      <c r="O1169" s="2"/>
      <c r="P1169" s="2"/>
      <c r="Q1169" s="2"/>
      <c r="R1169" s="2"/>
      <c r="S1169" s="2"/>
      <c r="T1169" s="2"/>
      <c r="U1169" s="2"/>
      <c r="V1169" s="2"/>
      <c r="W1169" s="2"/>
    </row>
    <row r="1170" spans="1:23" ht="75" customHeight="1" x14ac:dyDescent="0.15">
      <c r="A1170" s="2"/>
      <c r="B1170" s="2"/>
      <c r="C1170" s="2"/>
      <c r="D1170" s="2"/>
      <c r="E1170" s="2"/>
      <c r="F1170" s="2"/>
      <c r="G1170" s="2"/>
      <c r="H1170" s="2"/>
      <c r="I1170" s="2"/>
      <c r="J1170" s="2"/>
      <c r="K1170" s="2"/>
      <c r="L1170" s="2"/>
      <c r="M1170" s="2"/>
      <c r="N1170" s="2"/>
      <c r="O1170" s="2"/>
      <c r="P1170" s="2"/>
      <c r="Q1170" s="2"/>
      <c r="R1170" s="2"/>
      <c r="S1170" s="2"/>
      <c r="T1170" s="2"/>
      <c r="U1170" s="2"/>
      <c r="V1170" s="2"/>
      <c r="W1170" s="2"/>
    </row>
    <row r="1171" spans="1:23" ht="75" customHeight="1" x14ac:dyDescent="0.15">
      <c r="A1171" s="2"/>
      <c r="B1171" s="2"/>
      <c r="C1171" s="2"/>
      <c r="D1171" s="2"/>
      <c r="E1171" s="2"/>
      <c r="F1171" s="2"/>
      <c r="G1171" s="2"/>
      <c r="H1171" s="2"/>
      <c r="I1171" s="2"/>
      <c r="J1171" s="2"/>
      <c r="K1171" s="2"/>
      <c r="L1171" s="2"/>
      <c r="M1171" s="2"/>
      <c r="N1171" s="2"/>
      <c r="O1171" s="2"/>
      <c r="P1171" s="2"/>
      <c r="Q1171" s="2"/>
      <c r="R1171" s="2"/>
      <c r="S1171" s="2"/>
      <c r="T1171" s="2"/>
      <c r="U1171" s="2"/>
      <c r="V1171" s="2"/>
      <c r="W1171" s="2"/>
    </row>
    <row r="1172" spans="1:23" ht="75" customHeight="1" x14ac:dyDescent="0.15">
      <c r="A1172" s="2"/>
      <c r="B1172" s="2"/>
      <c r="C1172" s="2"/>
      <c r="D1172" s="2"/>
      <c r="E1172" s="2"/>
      <c r="F1172" s="2"/>
      <c r="G1172" s="2"/>
      <c r="H1172" s="2"/>
      <c r="I1172" s="2"/>
      <c r="J1172" s="2"/>
      <c r="K1172" s="2"/>
      <c r="L1172" s="2"/>
      <c r="M1172" s="2"/>
      <c r="N1172" s="2"/>
      <c r="O1172" s="2"/>
      <c r="P1172" s="2"/>
      <c r="Q1172" s="2"/>
      <c r="R1172" s="2"/>
      <c r="S1172" s="2"/>
      <c r="T1172" s="2"/>
      <c r="U1172" s="2"/>
      <c r="V1172" s="2"/>
      <c r="W1172" s="2"/>
    </row>
    <row r="1173" spans="1:23" ht="75" customHeight="1" x14ac:dyDescent="0.15">
      <c r="A1173" s="2"/>
      <c r="B1173" s="2"/>
      <c r="C1173" s="2"/>
      <c r="D1173" s="2"/>
      <c r="E1173" s="2"/>
      <c r="F1173" s="2"/>
      <c r="G1173" s="2"/>
      <c r="H1173" s="2"/>
      <c r="I1173" s="2"/>
      <c r="J1173" s="2"/>
      <c r="K1173" s="2"/>
      <c r="L1173" s="2"/>
      <c r="M1173" s="2"/>
      <c r="N1173" s="2"/>
      <c r="O1173" s="2"/>
      <c r="P1173" s="2"/>
      <c r="Q1173" s="2"/>
      <c r="R1173" s="2"/>
      <c r="S1173" s="2"/>
      <c r="T1173" s="2"/>
      <c r="U1173" s="2"/>
      <c r="V1173" s="2"/>
      <c r="W1173" s="2"/>
    </row>
    <row r="1174" spans="1:23" ht="75" customHeight="1" x14ac:dyDescent="0.15">
      <c r="A1174" s="2"/>
      <c r="B1174" s="2"/>
      <c r="C1174" s="2"/>
      <c r="D1174" s="2"/>
      <c r="E1174" s="2"/>
      <c r="F1174" s="2"/>
      <c r="G1174" s="2"/>
      <c r="H1174" s="2"/>
      <c r="I1174" s="2"/>
      <c r="J1174" s="2"/>
      <c r="K1174" s="2"/>
      <c r="L1174" s="2"/>
      <c r="M1174" s="2"/>
      <c r="N1174" s="2"/>
      <c r="O1174" s="2"/>
      <c r="P1174" s="2"/>
      <c r="Q1174" s="2"/>
      <c r="R1174" s="2"/>
      <c r="S1174" s="2"/>
      <c r="T1174" s="2"/>
      <c r="U1174" s="2"/>
      <c r="V1174" s="2"/>
      <c r="W1174" s="2"/>
    </row>
    <row r="1175" spans="1:23" ht="75" customHeight="1" x14ac:dyDescent="0.15">
      <c r="A1175" s="2"/>
      <c r="B1175" s="2"/>
      <c r="C1175" s="2"/>
      <c r="D1175" s="2"/>
      <c r="E1175" s="2"/>
      <c r="F1175" s="2"/>
      <c r="G1175" s="2"/>
      <c r="H1175" s="2"/>
      <c r="I1175" s="2"/>
      <c r="J1175" s="2"/>
      <c r="K1175" s="2"/>
      <c r="L1175" s="2"/>
      <c r="M1175" s="2"/>
      <c r="N1175" s="2"/>
      <c r="O1175" s="2"/>
      <c r="P1175" s="2"/>
      <c r="Q1175" s="2"/>
      <c r="R1175" s="2"/>
      <c r="S1175" s="2"/>
      <c r="T1175" s="2"/>
      <c r="U1175" s="2"/>
      <c r="V1175" s="2"/>
      <c r="W1175" s="2"/>
    </row>
    <row r="1176" spans="1:23" ht="75" customHeight="1" x14ac:dyDescent="0.15">
      <c r="A1176" s="2"/>
      <c r="B1176" s="2"/>
      <c r="C1176" s="2"/>
      <c r="D1176" s="2"/>
      <c r="E1176" s="2"/>
      <c r="F1176" s="2"/>
      <c r="G1176" s="2"/>
      <c r="H1176" s="2"/>
      <c r="I1176" s="2"/>
      <c r="J1176" s="2"/>
      <c r="K1176" s="2"/>
      <c r="L1176" s="2"/>
      <c r="M1176" s="2"/>
      <c r="N1176" s="2"/>
      <c r="O1176" s="2"/>
      <c r="P1176" s="2"/>
      <c r="Q1176" s="2"/>
      <c r="R1176" s="2"/>
      <c r="S1176" s="2"/>
      <c r="T1176" s="2"/>
      <c r="U1176" s="2"/>
      <c r="V1176" s="2"/>
      <c r="W1176" s="2"/>
    </row>
    <row r="1177" spans="1:23" ht="75" customHeight="1" x14ac:dyDescent="0.15">
      <c r="A1177" s="2"/>
      <c r="B1177" s="2"/>
      <c r="C1177" s="2"/>
      <c r="D1177" s="2"/>
      <c r="E1177" s="2"/>
      <c r="F1177" s="2"/>
      <c r="G1177" s="2"/>
      <c r="H1177" s="2"/>
      <c r="I1177" s="2"/>
      <c r="J1177" s="2"/>
      <c r="K1177" s="2"/>
      <c r="L1177" s="2"/>
      <c r="M1177" s="2"/>
      <c r="N1177" s="2"/>
      <c r="O1177" s="2"/>
      <c r="P1177" s="2"/>
      <c r="Q1177" s="2"/>
      <c r="R1177" s="2"/>
      <c r="S1177" s="2"/>
      <c r="T1177" s="2"/>
      <c r="U1177" s="2"/>
      <c r="V1177" s="2"/>
      <c r="W1177" s="2"/>
    </row>
    <row r="1178" spans="1:23" ht="75" customHeight="1" x14ac:dyDescent="0.15">
      <c r="A1178" s="2"/>
      <c r="B1178" s="2"/>
      <c r="C1178" s="2"/>
      <c r="D1178" s="2"/>
      <c r="E1178" s="2"/>
      <c r="F1178" s="2"/>
      <c r="G1178" s="2"/>
      <c r="H1178" s="2"/>
      <c r="I1178" s="2"/>
      <c r="J1178" s="2"/>
      <c r="K1178" s="2"/>
      <c r="L1178" s="2"/>
      <c r="M1178" s="2"/>
      <c r="N1178" s="2"/>
      <c r="O1178" s="2"/>
      <c r="P1178" s="2"/>
      <c r="Q1178" s="2"/>
      <c r="R1178" s="2"/>
      <c r="S1178" s="2"/>
      <c r="T1178" s="2"/>
      <c r="U1178" s="2"/>
      <c r="V1178" s="2"/>
      <c r="W1178" s="2"/>
    </row>
    <row r="1179" spans="1:23" ht="75" customHeight="1" x14ac:dyDescent="0.15">
      <c r="A1179" s="2"/>
      <c r="B1179" s="2"/>
      <c r="C1179" s="2"/>
      <c r="D1179" s="2"/>
      <c r="E1179" s="2"/>
      <c r="F1179" s="2"/>
      <c r="G1179" s="2"/>
      <c r="H1179" s="2"/>
      <c r="I1179" s="2"/>
      <c r="J1179" s="2"/>
      <c r="K1179" s="2"/>
      <c r="L1179" s="2"/>
      <c r="M1179" s="2"/>
      <c r="N1179" s="2"/>
      <c r="O1179" s="2"/>
      <c r="P1179" s="2"/>
      <c r="Q1179" s="2"/>
      <c r="R1179" s="2"/>
      <c r="S1179" s="2"/>
      <c r="T1179" s="2"/>
      <c r="U1179" s="2"/>
      <c r="V1179" s="2"/>
      <c r="W1179" s="2"/>
    </row>
    <row r="1180" spans="1:23" ht="75" customHeight="1" x14ac:dyDescent="0.15">
      <c r="A1180" s="2"/>
      <c r="B1180" s="2"/>
      <c r="C1180" s="2"/>
      <c r="D1180" s="2"/>
      <c r="E1180" s="2"/>
      <c r="F1180" s="2"/>
      <c r="G1180" s="2"/>
      <c r="H1180" s="2"/>
      <c r="I1180" s="2"/>
      <c r="J1180" s="2"/>
      <c r="K1180" s="2"/>
      <c r="L1180" s="2"/>
      <c r="M1180" s="2"/>
      <c r="N1180" s="2"/>
      <c r="O1180" s="2"/>
      <c r="P1180" s="2"/>
      <c r="Q1180" s="2"/>
      <c r="R1180" s="2"/>
      <c r="S1180" s="2"/>
      <c r="T1180" s="2"/>
      <c r="U1180" s="2"/>
      <c r="V1180" s="2"/>
      <c r="W1180" s="2"/>
    </row>
    <row r="1181" spans="1:23" ht="75" customHeight="1" x14ac:dyDescent="0.15">
      <c r="A1181" s="2"/>
      <c r="B1181" s="2"/>
      <c r="C1181" s="2"/>
      <c r="D1181" s="2"/>
      <c r="E1181" s="2"/>
      <c r="F1181" s="2"/>
      <c r="G1181" s="2"/>
      <c r="H1181" s="2"/>
      <c r="I1181" s="2"/>
      <c r="J1181" s="2"/>
      <c r="K1181" s="2"/>
      <c r="L1181" s="2"/>
      <c r="M1181" s="2"/>
      <c r="N1181" s="2"/>
      <c r="O1181" s="2"/>
      <c r="P1181" s="2"/>
      <c r="Q1181" s="2"/>
      <c r="R1181" s="2"/>
      <c r="S1181" s="2"/>
      <c r="T1181" s="2"/>
      <c r="U1181" s="2"/>
      <c r="V1181" s="2"/>
      <c r="W1181" s="2"/>
    </row>
    <row r="1182" spans="1:23" ht="75" customHeight="1" x14ac:dyDescent="0.15">
      <c r="A1182" s="2"/>
      <c r="B1182" s="2"/>
      <c r="C1182" s="2"/>
      <c r="D1182" s="2"/>
      <c r="E1182" s="2"/>
      <c r="F1182" s="2"/>
      <c r="G1182" s="2"/>
      <c r="H1182" s="2"/>
      <c r="I1182" s="2"/>
      <c r="J1182" s="2"/>
      <c r="K1182" s="2"/>
      <c r="L1182" s="2"/>
      <c r="M1182" s="2"/>
      <c r="N1182" s="2"/>
      <c r="O1182" s="2"/>
      <c r="P1182" s="2"/>
      <c r="Q1182" s="2"/>
      <c r="R1182" s="2"/>
      <c r="S1182" s="2"/>
      <c r="T1182" s="2"/>
      <c r="U1182" s="2"/>
      <c r="V1182" s="2"/>
      <c r="W1182" s="2"/>
    </row>
    <row r="1183" spans="1:23" ht="75" customHeight="1" x14ac:dyDescent="0.15">
      <c r="A1183" s="2"/>
      <c r="B1183" s="2"/>
      <c r="C1183" s="2"/>
      <c r="D1183" s="2"/>
      <c r="E1183" s="2"/>
      <c r="F1183" s="2"/>
      <c r="G1183" s="2"/>
      <c r="H1183" s="2"/>
      <c r="I1183" s="2"/>
      <c r="J1183" s="2"/>
      <c r="K1183" s="2"/>
      <c r="L1183" s="2"/>
      <c r="M1183" s="2"/>
      <c r="N1183" s="2"/>
      <c r="O1183" s="2"/>
      <c r="P1183" s="2"/>
      <c r="Q1183" s="2"/>
      <c r="R1183" s="2"/>
      <c r="S1183" s="2"/>
      <c r="T1183" s="2"/>
      <c r="U1183" s="2"/>
      <c r="V1183" s="2"/>
      <c r="W1183" s="2"/>
    </row>
    <row r="1184" spans="1:23" ht="75" customHeight="1" x14ac:dyDescent="0.15">
      <c r="A1184" s="2"/>
      <c r="B1184" s="2"/>
      <c r="C1184" s="2"/>
      <c r="D1184" s="2"/>
      <c r="E1184" s="2"/>
      <c r="F1184" s="2"/>
      <c r="G1184" s="2"/>
      <c r="H1184" s="2"/>
      <c r="I1184" s="2"/>
      <c r="J1184" s="2"/>
      <c r="K1184" s="2"/>
      <c r="L1184" s="2"/>
      <c r="M1184" s="2"/>
      <c r="N1184" s="2"/>
      <c r="O1184" s="2"/>
      <c r="P1184" s="2"/>
      <c r="Q1184" s="2"/>
      <c r="R1184" s="2"/>
      <c r="S1184" s="2"/>
      <c r="T1184" s="2"/>
      <c r="U1184" s="2"/>
      <c r="V1184" s="2"/>
      <c r="W1184" s="2"/>
    </row>
    <row r="1185" spans="1:23" ht="75" customHeight="1" x14ac:dyDescent="0.15">
      <c r="A1185" s="2"/>
      <c r="B1185" s="2"/>
      <c r="C1185" s="2"/>
      <c r="D1185" s="2"/>
      <c r="E1185" s="2"/>
      <c r="F1185" s="2"/>
      <c r="G1185" s="2"/>
      <c r="H1185" s="2"/>
      <c r="I1185" s="2"/>
      <c r="J1185" s="2"/>
      <c r="K1185" s="2"/>
      <c r="L1185" s="2"/>
      <c r="M1185" s="2"/>
      <c r="N1185" s="2"/>
      <c r="O1185" s="2"/>
      <c r="P1185" s="2"/>
      <c r="Q1185" s="2"/>
      <c r="R1185" s="2"/>
      <c r="S1185" s="2"/>
      <c r="T1185" s="2"/>
      <c r="U1185" s="2"/>
      <c r="V1185" s="2"/>
      <c r="W1185" s="2"/>
    </row>
    <row r="1186" spans="1:23" ht="75" customHeight="1" x14ac:dyDescent="0.15">
      <c r="A1186" s="2"/>
      <c r="B1186" s="2"/>
      <c r="C1186" s="2"/>
      <c r="D1186" s="2"/>
      <c r="E1186" s="2"/>
      <c r="F1186" s="2"/>
      <c r="G1186" s="2"/>
      <c r="H1186" s="2"/>
      <c r="I1186" s="2"/>
      <c r="J1186" s="2"/>
      <c r="K1186" s="2"/>
      <c r="L1186" s="2"/>
      <c r="M1186" s="2"/>
      <c r="N1186" s="2"/>
      <c r="O1186" s="2"/>
      <c r="P1186" s="2"/>
      <c r="Q1186" s="2"/>
      <c r="R1186" s="2"/>
      <c r="S1186" s="2"/>
      <c r="T1186" s="2"/>
      <c r="U1186" s="2"/>
      <c r="V1186" s="2"/>
      <c r="W1186" s="2"/>
    </row>
    <row r="1187" spans="1:23" ht="75" customHeight="1" x14ac:dyDescent="0.15">
      <c r="A1187" s="2"/>
      <c r="B1187" s="2"/>
      <c r="C1187" s="2"/>
      <c r="D1187" s="2"/>
      <c r="E1187" s="2"/>
      <c r="F1187" s="2"/>
      <c r="G1187" s="2"/>
      <c r="H1187" s="2"/>
      <c r="I1187" s="2"/>
      <c r="J1187" s="2"/>
      <c r="K1187" s="2"/>
      <c r="L1187" s="2"/>
      <c r="M1187" s="2"/>
      <c r="N1187" s="2"/>
      <c r="O1187" s="2"/>
      <c r="P1187" s="2"/>
      <c r="Q1187" s="2"/>
      <c r="R1187" s="2"/>
      <c r="S1187" s="2"/>
      <c r="T1187" s="2"/>
      <c r="U1187" s="2"/>
      <c r="V1187" s="2"/>
      <c r="W1187" s="2"/>
    </row>
    <row r="1188" spans="1:23" ht="75" customHeight="1" x14ac:dyDescent="0.15">
      <c r="A1188" s="2"/>
      <c r="B1188" s="2"/>
      <c r="C1188" s="2"/>
      <c r="D1188" s="2"/>
      <c r="E1188" s="2"/>
      <c r="F1188" s="2"/>
      <c r="G1188" s="2"/>
      <c r="H1188" s="2"/>
      <c r="I1188" s="2"/>
      <c r="J1188" s="2"/>
      <c r="K1188" s="2"/>
      <c r="L1188" s="2"/>
      <c r="M1188" s="2"/>
      <c r="N1188" s="2"/>
      <c r="O1188" s="2"/>
      <c r="P1188" s="2"/>
      <c r="Q1188" s="2"/>
      <c r="R1188" s="2"/>
      <c r="S1188" s="2"/>
      <c r="T1188" s="2"/>
      <c r="U1188" s="2"/>
      <c r="V1188" s="2"/>
      <c r="W1188" s="2"/>
    </row>
    <row r="1189" spans="1:23" ht="75" customHeight="1" x14ac:dyDescent="0.15">
      <c r="A1189" s="2"/>
      <c r="B1189" s="2"/>
      <c r="C1189" s="2"/>
      <c r="D1189" s="2"/>
      <c r="E1189" s="2"/>
      <c r="F1189" s="2"/>
      <c r="G1189" s="2"/>
      <c r="H1189" s="2"/>
      <c r="I1189" s="2"/>
      <c r="J1189" s="2"/>
      <c r="K1189" s="2"/>
      <c r="L1189" s="2"/>
      <c r="M1189" s="2"/>
      <c r="N1189" s="2"/>
      <c r="O1189" s="2"/>
      <c r="P1189" s="2"/>
      <c r="Q1189" s="2"/>
      <c r="R1189" s="2"/>
      <c r="S1189" s="2"/>
      <c r="T1189" s="2"/>
      <c r="U1189" s="2"/>
      <c r="V1189" s="2"/>
      <c r="W1189" s="2"/>
    </row>
    <row r="1190" spans="1:23" ht="75" customHeight="1" x14ac:dyDescent="0.15">
      <c r="A1190" s="2"/>
      <c r="B1190" s="2"/>
      <c r="C1190" s="2"/>
      <c r="D1190" s="2"/>
      <c r="E1190" s="2"/>
      <c r="F1190" s="2"/>
      <c r="G1190" s="2"/>
      <c r="H1190" s="2"/>
      <c r="I1190" s="2"/>
      <c r="J1190" s="2"/>
      <c r="K1190" s="2"/>
      <c r="L1190" s="2"/>
      <c r="M1190" s="2"/>
      <c r="N1190" s="2"/>
      <c r="O1190" s="2"/>
      <c r="P1190" s="2"/>
      <c r="Q1190" s="2"/>
      <c r="R1190" s="2"/>
      <c r="S1190" s="2"/>
      <c r="T1190" s="2"/>
      <c r="U1190" s="2"/>
      <c r="V1190" s="2"/>
      <c r="W1190" s="2"/>
    </row>
    <row r="1191" spans="1:23" ht="75" customHeight="1" x14ac:dyDescent="0.15">
      <c r="A1191" s="2"/>
      <c r="B1191" s="2"/>
      <c r="C1191" s="2"/>
      <c r="D1191" s="2"/>
      <c r="E1191" s="2"/>
      <c r="F1191" s="2"/>
      <c r="G1191" s="2"/>
      <c r="H1191" s="2"/>
      <c r="I1191" s="2"/>
      <c r="J1191" s="2"/>
      <c r="K1191" s="2"/>
      <c r="L1191" s="2"/>
      <c r="M1191" s="2"/>
      <c r="N1191" s="2"/>
      <c r="O1191" s="2"/>
      <c r="P1191" s="2"/>
      <c r="Q1191" s="2"/>
      <c r="R1191" s="2"/>
      <c r="S1191" s="2"/>
      <c r="T1191" s="2"/>
      <c r="U1191" s="2"/>
      <c r="V1191" s="2"/>
      <c r="W1191" s="2"/>
    </row>
    <row r="1192" spans="1:23" ht="75" customHeight="1" x14ac:dyDescent="0.15">
      <c r="A1192" s="2"/>
      <c r="B1192" s="2"/>
      <c r="C1192" s="2"/>
      <c r="D1192" s="2"/>
      <c r="E1192" s="2"/>
      <c r="F1192" s="2"/>
      <c r="G1192" s="2"/>
      <c r="H1192" s="2"/>
      <c r="I1192" s="2"/>
      <c r="J1192" s="2"/>
      <c r="K1192" s="2"/>
      <c r="L1192" s="2"/>
      <c r="M1192" s="2"/>
      <c r="N1192" s="2"/>
      <c r="O1192" s="2"/>
      <c r="P1192" s="2"/>
      <c r="Q1192" s="2"/>
      <c r="R1192" s="2"/>
      <c r="S1192" s="2"/>
      <c r="T1192" s="2"/>
      <c r="U1192" s="2"/>
      <c r="V1192" s="2"/>
      <c r="W1192" s="2"/>
    </row>
    <row r="1193" spans="1:23" ht="75" customHeight="1" x14ac:dyDescent="0.15">
      <c r="A1193" s="2"/>
      <c r="B1193" s="2"/>
      <c r="C1193" s="2"/>
      <c r="D1193" s="2"/>
      <c r="E1193" s="2"/>
      <c r="F1193" s="2"/>
      <c r="G1193" s="2"/>
      <c r="H1193" s="2"/>
      <c r="I1193" s="2"/>
      <c r="J1193" s="2"/>
      <c r="K1193" s="2"/>
      <c r="L1193" s="2"/>
      <c r="M1193" s="2"/>
      <c r="N1193" s="2"/>
      <c r="O1193" s="2"/>
      <c r="P1193" s="2"/>
      <c r="Q1193" s="2"/>
      <c r="R1193" s="2"/>
      <c r="S1193" s="2"/>
      <c r="T1193" s="2"/>
      <c r="U1193" s="2"/>
      <c r="V1193" s="2"/>
      <c r="W1193" s="2"/>
    </row>
    <row r="1194" spans="1:23" ht="75" customHeight="1" x14ac:dyDescent="0.15">
      <c r="A1194" s="2"/>
      <c r="B1194" s="2"/>
      <c r="C1194" s="2"/>
      <c r="D1194" s="2"/>
      <c r="E1194" s="2"/>
      <c r="F1194" s="2"/>
      <c r="G1194" s="2"/>
      <c r="H1194" s="2"/>
      <c r="I1194" s="2"/>
      <c r="J1194" s="2"/>
      <c r="K1194" s="2"/>
      <c r="L1194" s="2"/>
      <c r="M1194" s="2"/>
      <c r="N1194" s="2"/>
      <c r="O1194" s="2"/>
      <c r="P1194" s="2"/>
      <c r="Q1194" s="2"/>
      <c r="R1194" s="2"/>
      <c r="S1194" s="2"/>
      <c r="T1194" s="2"/>
      <c r="U1194" s="2"/>
      <c r="V1194" s="2"/>
      <c r="W1194" s="2"/>
    </row>
    <row r="1195" spans="1:23" ht="75" customHeight="1" x14ac:dyDescent="0.15">
      <c r="A1195" s="2"/>
      <c r="B1195" s="2"/>
      <c r="C1195" s="2"/>
      <c r="D1195" s="2"/>
      <c r="E1195" s="2"/>
      <c r="F1195" s="2"/>
      <c r="G1195" s="2"/>
      <c r="H1195" s="2"/>
      <c r="I1195" s="2"/>
      <c r="J1195" s="2"/>
      <c r="K1195" s="2"/>
      <c r="L1195" s="2"/>
      <c r="M1195" s="2"/>
      <c r="N1195" s="2"/>
      <c r="O1195" s="2"/>
      <c r="P1195" s="2"/>
      <c r="Q1195" s="2"/>
      <c r="R1195" s="2"/>
      <c r="S1195" s="2"/>
      <c r="T1195" s="2"/>
      <c r="U1195" s="2"/>
      <c r="V1195" s="2"/>
      <c r="W1195" s="2"/>
    </row>
    <row r="1196" spans="1:23" ht="75" customHeight="1" x14ac:dyDescent="0.15">
      <c r="A1196" s="2"/>
      <c r="B1196" s="2"/>
      <c r="C1196" s="2"/>
      <c r="D1196" s="2"/>
      <c r="E1196" s="2"/>
      <c r="F1196" s="2"/>
      <c r="G1196" s="2"/>
      <c r="H1196" s="2"/>
      <c r="I1196" s="2"/>
      <c r="J1196" s="2"/>
      <c r="K1196" s="2"/>
      <c r="L1196" s="2"/>
      <c r="M1196" s="2"/>
      <c r="N1196" s="2"/>
      <c r="O1196" s="2"/>
      <c r="P1196" s="2"/>
      <c r="Q1196" s="2"/>
      <c r="R1196" s="2"/>
      <c r="S1196" s="2"/>
      <c r="T1196" s="2"/>
      <c r="U1196" s="2"/>
      <c r="V1196" s="2"/>
      <c r="W1196" s="2"/>
    </row>
    <row r="1197" spans="1:23" ht="75" customHeight="1" x14ac:dyDescent="0.15">
      <c r="A1197" s="2"/>
      <c r="B1197" s="2"/>
      <c r="C1197" s="2"/>
      <c r="D1197" s="2"/>
      <c r="E1197" s="2"/>
      <c r="F1197" s="2"/>
      <c r="G1197" s="2"/>
      <c r="H1197" s="2"/>
      <c r="I1197" s="2"/>
      <c r="J1197" s="2"/>
      <c r="K1197" s="2"/>
      <c r="L1197" s="2"/>
      <c r="M1197" s="2"/>
      <c r="N1197" s="2"/>
      <c r="O1197" s="2"/>
      <c r="P1197" s="2"/>
      <c r="Q1197" s="2"/>
      <c r="R1197" s="2"/>
      <c r="S1197" s="2"/>
      <c r="T1197" s="2"/>
      <c r="U1197" s="2"/>
      <c r="V1197" s="2"/>
      <c r="W1197" s="2"/>
    </row>
    <row r="1198" spans="1:23" ht="75" customHeight="1" x14ac:dyDescent="0.15">
      <c r="A1198" s="2"/>
      <c r="B1198" s="2"/>
      <c r="C1198" s="2"/>
      <c r="D1198" s="2"/>
      <c r="E1198" s="2"/>
      <c r="F1198" s="2"/>
      <c r="G1198" s="2"/>
      <c r="H1198" s="2"/>
      <c r="I1198" s="2"/>
      <c r="J1198" s="2"/>
      <c r="K1198" s="2"/>
      <c r="L1198" s="2"/>
      <c r="M1198" s="2"/>
      <c r="N1198" s="2"/>
      <c r="O1198" s="2"/>
      <c r="P1198" s="2"/>
      <c r="Q1198" s="2"/>
      <c r="R1198" s="2"/>
      <c r="S1198" s="2"/>
      <c r="T1198" s="2"/>
      <c r="U1198" s="2"/>
      <c r="V1198" s="2"/>
      <c r="W1198" s="2"/>
    </row>
    <row r="1199" spans="1:23" ht="75" customHeight="1" x14ac:dyDescent="0.15">
      <c r="A1199" s="2"/>
      <c r="B1199" s="2"/>
      <c r="C1199" s="2"/>
      <c r="D1199" s="2"/>
      <c r="E1199" s="2"/>
      <c r="F1199" s="2"/>
      <c r="G1199" s="2"/>
      <c r="H1199" s="2"/>
      <c r="I1199" s="2"/>
      <c r="J1199" s="2"/>
      <c r="K1199" s="2"/>
      <c r="L1199" s="2"/>
      <c r="M1199" s="2"/>
      <c r="N1199" s="2"/>
      <c r="O1199" s="2"/>
      <c r="P1199" s="2"/>
      <c r="Q1199" s="2"/>
      <c r="R1199" s="2"/>
      <c r="S1199" s="2"/>
      <c r="T1199" s="2"/>
      <c r="U1199" s="2"/>
      <c r="V1199" s="2"/>
      <c r="W1199" s="2"/>
    </row>
    <row r="1200" spans="1:23" ht="75" customHeight="1" x14ac:dyDescent="0.15">
      <c r="A1200" s="2"/>
      <c r="B1200" s="2"/>
      <c r="C1200" s="2"/>
      <c r="D1200" s="2"/>
      <c r="E1200" s="2"/>
      <c r="F1200" s="2"/>
      <c r="G1200" s="2"/>
      <c r="H1200" s="2"/>
      <c r="I1200" s="2"/>
      <c r="J1200" s="2"/>
      <c r="K1200" s="2"/>
      <c r="L1200" s="2"/>
      <c r="M1200" s="2"/>
      <c r="N1200" s="2"/>
      <c r="O1200" s="2"/>
      <c r="P1200" s="2"/>
      <c r="Q1200" s="2"/>
      <c r="R1200" s="2"/>
      <c r="S1200" s="2"/>
      <c r="T1200" s="2"/>
      <c r="U1200" s="2"/>
      <c r="V1200" s="2"/>
      <c r="W1200" s="2"/>
    </row>
    <row r="1201" spans="1:23" ht="75" customHeight="1" x14ac:dyDescent="0.15">
      <c r="A1201" s="2"/>
      <c r="B1201" s="2"/>
      <c r="C1201" s="2"/>
      <c r="D1201" s="2"/>
      <c r="E1201" s="2"/>
      <c r="F1201" s="2"/>
      <c r="G1201" s="2"/>
      <c r="H1201" s="2"/>
      <c r="I1201" s="2"/>
      <c r="J1201" s="2"/>
      <c r="K1201" s="2"/>
      <c r="L1201" s="2"/>
      <c r="M1201" s="2"/>
      <c r="N1201" s="2"/>
      <c r="O1201" s="2"/>
      <c r="P1201" s="2"/>
      <c r="Q1201" s="2"/>
      <c r="R1201" s="2"/>
      <c r="S1201" s="2"/>
      <c r="T1201" s="2"/>
      <c r="U1201" s="2"/>
      <c r="V1201" s="2"/>
      <c r="W1201" s="2"/>
    </row>
    <row r="1202" spans="1:23" ht="75" customHeight="1" x14ac:dyDescent="0.15">
      <c r="A1202" s="2"/>
      <c r="B1202" s="2"/>
      <c r="C1202" s="2"/>
      <c r="D1202" s="2"/>
      <c r="E1202" s="2"/>
      <c r="F1202" s="2"/>
      <c r="G1202" s="2"/>
      <c r="H1202" s="2"/>
      <c r="I1202" s="2"/>
      <c r="J1202" s="2"/>
      <c r="K1202" s="2"/>
      <c r="L1202" s="2"/>
      <c r="M1202" s="2"/>
      <c r="N1202" s="2"/>
      <c r="O1202" s="2"/>
      <c r="P1202" s="2"/>
      <c r="Q1202" s="2"/>
      <c r="R1202" s="2"/>
      <c r="S1202" s="2"/>
      <c r="T1202" s="2"/>
      <c r="U1202" s="2"/>
      <c r="V1202" s="2"/>
      <c r="W1202" s="2"/>
    </row>
    <row r="1203" spans="1:23" ht="75" customHeight="1" x14ac:dyDescent="0.15">
      <c r="A1203" s="2"/>
      <c r="B1203" s="2"/>
      <c r="C1203" s="2"/>
      <c r="D1203" s="2"/>
      <c r="E1203" s="2"/>
      <c r="F1203" s="2"/>
      <c r="G1203" s="2"/>
      <c r="H1203" s="2"/>
      <c r="I1203" s="2"/>
      <c r="J1203" s="2"/>
      <c r="K1203" s="2"/>
      <c r="L1203" s="2"/>
      <c r="M1203" s="2"/>
      <c r="N1203" s="2"/>
      <c r="O1203" s="2"/>
      <c r="P1203" s="2"/>
      <c r="Q1203" s="2"/>
      <c r="R1203" s="2"/>
      <c r="S1203" s="2"/>
      <c r="T1203" s="2"/>
      <c r="U1203" s="2"/>
      <c r="V1203" s="2"/>
      <c r="W1203" s="2"/>
    </row>
    <row r="1204" spans="1:23" ht="75" customHeight="1" x14ac:dyDescent="0.15">
      <c r="A1204" s="2"/>
      <c r="B1204" s="2"/>
      <c r="C1204" s="2"/>
      <c r="D1204" s="2"/>
      <c r="E1204" s="2"/>
      <c r="F1204" s="2"/>
      <c r="G1204" s="2"/>
      <c r="H1204" s="2"/>
      <c r="I1204" s="2"/>
      <c r="J1204" s="2"/>
      <c r="K1204" s="2"/>
      <c r="L1204" s="2"/>
      <c r="M1204" s="2"/>
      <c r="N1204" s="2"/>
      <c r="O1204" s="2"/>
      <c r="P1204" s="2"/>
      <c r="Q1204" s="2"/>
      <c r="R1204" s="2"/>
      <c r="S1204" s="2"/>
      <c r="T1204" s="2"/>
      <c r="U1204" s="2"/>
      <c r="V1204" s="2"/>
      <c r="W1204" s="2"/>
    </row>
    <row r="1205" spans="1:23" ht="75" customHeight="1" x14ac:dyDescent="0.15">
      <c r="A1205" s="2"/>
      <c r="B1205" s="2"/>
      <c r="C1205" s="2"/>
      <c r="D1205" s="2"/>
      <c r="E1205" s="2"/>
      <c r="F1205" s="2"/>
      <c r="G1205" s="2"/>
      <c r="H1205" s="2"/>
      <c r="I1205" s="2"/>
      <c r="J1205" s="2"/>
      <c r="K1205" s="2"/>
      <c r="L1205" s="2"/>
      <c r="M1205" s="2"/>
      <c r="N1205" s="2"/>
      <c r="O1205" s="2"/>
      <c r="P1205" s="2"/>
      <c r="Q1205" s="2"/>
      <c r="R1205" s="2"/>
      <c r="S1205" s="2"/>
      <c r="T1205" s="2"/>
      <c r="U1205" s="2"/>
      <c r="V1205" s="2"/>
      <c r="W1205" s="2"/>
    </row>
    <row r="1206" spans="1:23" ht="75" customHeight="1" x14ac:dyDescent="0.15">
      <c r="A1206" s="2"/>
      <c r="B1206" s="2"/>
      <c r="C1206" s="2"/>
      <c r="D1206" s="2"/>
      <c r="E1206" s="2"/>
      <c r="F1206" s="2"/>
      <c r="G1206" s="2"/>
      <c r="H1206" s="2"/>
      <c r="I1206" s="2"/>
      <c r="J1206" s="2"/>
      <c r="K1206" s="2"/>
      <c r="L1206" s="2"/>
      <c r="M1206" s="2"/>
      <c r="N1206" s="2"/>
      <c r="O1206" s="2"/>
      <c r="P1206" s="2"/>
      <c r="Q1206" s="2"/>
      <c r="R1206" s="2"/>
      <c r="S1206" s="2"/>
      <c r="T1206" s="2"/>
      <c r="U1206" s="2"/>
      <c r="V1206" s="2"/>
      <c r="W1206" s="2"/>
    </row>
    <row r="1207" spans="1:23" ht="75" customHeight="1" x14ac:dyDescent="0.15">
      <c r="A1207" s="2"/>
      <c r="B1207" s="2"/>
      <c r="C1207" s="2"/>
      <c r="D1207" s="2"/>
      <c r="E1207" s="2"/>
      <c r="F1207" s="2"/>
      <c r="G1207" s="2"/>
      <c r="H1207" s="2"/>
      <c r="I1207" s="2"/>
      <c r="J1207" s="2"/>
      <c r="K1207" s="2"/>
      <c r="L1207" s="2"/>
      <c r="M1207" s="2"/>
      <c r="N1207" s="2"/>
      <c r="O1207" s="2"/>
      <c r="P1207" s="2"/>
      <c r="Q1207" s="2"/>
      <c r="R1207" s="2"/>
      <c r="S1207" s="2"/>
      <c r="T1207" s="2"/>
      <c r="U1207" s="2"/>
      <c r="V1207" s="2"/>
      <c r="W1207" s="2"/>
    </row>
    <row r="1208" spans="1:23" ht="75" customHeight="1" x14ac:dyDescent="0.15">
      <c r="A1208" s="2"/>
      <c r="B1208" s="2"/>
      <c r="C1208" s="2"/>
      <c r="D1208" s="2"/>
      <c r="E1208" s="2"/>
      <c r="F1208" s="2"/>
      <c r="G1208" s="2"/>
      <c r="H1208" s="2"/>
      <c r="I1208" s="2"/>
      <c r="J1208" s="2"/>
      <c r="K1208" s="2"/>
      <c r="L1208" s="2"/>
      <c r="M1208" s="2"/>
      <c r="N1208" s="2"/>
      <c r="O1208" s="2"/>
      <c r="P1208" s="2"/>
      <c r="Q1208" s="2"/>
      <c r="R1208" s="2"/>
      <c r="S1208" s="2"/>
      <c r="T1208" s="2"/>
      <c r="U1208" s="2"/>
      <c r="V1208" s="2"/>
      <c r="W1208" s="2"/>
    </row>
    <row r="1209" spans="1:23" ht="75" customHeight="1" x14ac:dyDescent="0.15">
      <c r="A1209" s="2"/>
      <c r="B1209" s="2"/>
      <c r="C1209" s="2"/>
      <c r="D1209" s="2"/>
      <c r="E1209" s="2"/>
      <c r="F1209" s="2"/>
      <c r="G1209" s="2"/>
      <c r="H1209" s="2"/>
      <c r="I1209" s="2"/>
      <c r="J1209" s="2"/>
      <c r="K1209" s="2"/>
      <c r="L1209" s="2"/>
      <c r="M1209" s="2"/>
      <c r="N1209" s="2"/>
      <c r="O1209" s="2"/>
      <c r="P1209" s="2"/>
      <c r="Q1209" s="2"/>
      <c r="R1209" s="2"/>
      <c r="S1209" s="2"/>
      <c r="T1209" s="2"/>
      <c r="U1209" s="2"/>
      <c r="V1209" s="2"/>
      <c r="W1209" s="2"/>
    </row>
    <row r="1210" spans="1:23" ht="75" customHeight="1" x14ac:dyDescent="0.15">
      <c r="A1210" s="2"/>
      <c r="B1210" s="2"/>
      <c r="C1210" s="2"/>
      <c r="D1210" s="2"/>
      <c r="E1210" s="2"/>
      <c r="F1210" s="2"/>
      <c r="G1210" s="2"/>
      <c r="H1210" s="2"/>
      <c r="I1210" s="2"/>
      <c r="J1210" s="2"/>
      <c r="K1210" s="2"/>
      <c r="L1210" s="2"/>
      <c r="M1210" s="2"/>
      <c r="N1210" s="2"/>
      <c r="O1210" s="2"/>
      <c r="P1210" s="2"/>
      <c r="Q1210" s="2"/>
      <c r="R1210" s="2"/>
      <c r="S1210" s="2"/>
      <c r="T1210" s="2"/>
      <c r="U1210" s="2"/>
      <c r="V1210" s="2"/>
      <c r="W1210" s="2"/>
    </row>
    <row r="1211" spans="1:23" ht="75" customHeight="1" x14ac:dyDescent="0.15">
      <c r="A1211" s="2"/>
      <c r="B1211" s="2"/>
      <c r="C1211" s="2"/>
      <c r="D1211" s="2"/>
      <c r="E1211" s="2"/>
      <c r="F1211" s="2"/>
      <c r="G1211" s="2"/>
      <c r="H1211" s="2"/>
      <c r="I1211" s="2"/>
      <c r="J1211" s="2"/>
      <c r="K1211" s="2"/>
      <c r="L1211" s="2"/>
      <c r="M1211" s="2"/>
      <c r="N1211" s="2"/>
      <c r="O1211" s="2"/>
      <c r="P1211" s="2"/>
      <c r="Q1211" s="2"/>
      <c r="R1211" s="2"/>
      <c r="S1211" s="2"/>
      <c r="T1211" s="2"/>
      <c r="U1211" s="2"/>
      <c r="V1211" s="2"/>
      <c r="W1211" s="2"/>
    </row>
    <row r="1212" spans="1:23" ht="75" customHeight="1" x14ac:dyDescent="0.15">
      <c r="A1212" s="2"/>
      <c r="B1212" s="2"/>
      <c r="C1212" s="2"/>
      <c r="D1212" s="2"/>
      <c r="E1212" s="2"/>
      <c r="F1212" s="2"/>
      <c r="G1212" s="2"/>
      <c r="H1212" s="2"/>
      <c r="I1212" s="2"/>
      <c r="J1212" s="2"/>
      <c r="K1212" s="2"/>
      <c r="L1212" s="2"/>
      <c r="M1212" s="2"/>
      <c r="N1212" s="2"/>
      <c r="O1212" s="2"/>
      <c r="P1212" s="2"/>
      <c r="Q1212" s="2"/>
      <c r="R1212" s="2"/>
      <c r="S1212" s="2"/>
      <c r="T1212" s="2"/>
      <c r="U1212" s="2"/>
      <c r="V1212" s="2"/>
      <c r="W1212" s="2"/>
    </row>
    <row r="1213" spans="1:23" ht="75" customHeight="1" x14ac:dyDescent="0.15">
      <c r="A1213" s="2"/>
      <c r="B1213" s="2"/>
      <c r="C1213" s="2"/>
      <c r="D1213" s="2"/>
      <c r="E1213" s="2"/>
      <c r="F1213" s="2"/>
      <c r="G1213" s="2"/>
      <c r="H1213" s="2"/>
      <c r="I1213" s="2"/>
      <c r="J1213" s="2"/>
      <c r="K1213" s="2"/>
      <c r="L1213" s="2"/>
      <c r="M1213" s="2"/>
      <c r="N1213" s="2"/>
      <c r="O1213" s="2"/>
      <c r="P1213" s="2"/>
      <c r="Q1213" s="2"/>
      <c r="R1213" s="2"/>
      <c r="S1213" s="2"/>
      <c r="T1213" s="2"/>
      <c r="U1213" s="2"/>
      <c r="V1213" s="2"/>
      <c r="W1213" s="2"/>
    </row>
    <row r="1214" spans="1:23" ht="75" customHeight="1" x14ac:dyDescent="0.15">
      <c r="A1214" s="2"/>
      <c r="B1214" s="2"/>
      <c r="C1214" s="2"/>
      <c r="D1214" s="2"/>
      <c r="E1214" s="2"/>
      <c r="F1214" s="2"/>
      <c r="G1214" s="2"/>
      <c r="H1214" s="2"/>
      <c r="I1214" s="2"/>
      <c r="J1214" s="2"/>
      <c r="K1214" s="2"/>
      <c r="L1214" s="2"/>
      <c r="M1214" s="2"/>
      <c r="N1214" s="2"/>
      <c r="O1214" s="2"/>
      <c r="P1214" s="2"/>
      <c r="Q1214" s="2"/>
      <c r="R1214" s="2"/>
      <c r="S1214" s="2"/>
      <c r="T1214" s="2"/>
      <c r="U1214" s="2"/>
      <c r="V1214" s="2"/>
      <c r="W1214" s="2"/>
    </row>
    <row r="1215" spans="1:23" ht="75" customHeight="1" x14ac:dyDescent="0.15">
      <c r="A1215" s="2"/>
      <c r="B1215" s="2"/>
      <c r="C1215" s="2"/>
      <c r="D1215" s="2"/>
      <c r="E1215" s="2"/>
      <c r="F1215" s="2"/>
      <c r="G1215" s="2"/>
      <c r="H1215" s="2"/>
      <c r="I1215" s="2"/>
      <c r="J1215" s="2"/>
      <c r="K1215" s="2"/>
      <c r="L1215" s="2"/>
      <c r="M1215" s="2"/>
      <c r="N1215" s="2"/>
      <c r="O1215" s="2"/>
      <c r="P1215" s="2"/>
      <c r="Q1215" s="2"/>
      <c r="R1215" s="2"/>
      <c r="S1215" s="2"/>
      <c r="T1215" s="2"/>
      <c r="U1215" s="2"/>
      <c r="V1215" s="2"/>
      <c r="W1215" s="2"/>
    </row>
    <row r="1216" spans="1:23" ht="75" customHeight="1" x14ac:dyDescent="0.15">
      <c r="A1216" s="2"/>
      <c r="B1216" s="2"/>
      <c r="C1216" s="2"/>
      <c r="D1216" s="2"/>
      <c r="E1216" s="2"/>
      <c r="F1216" s="2"/>
      <c r="G1216" s="2"/>
      <c r="H1216" s="2"/>
      <c r="I1216" s="2"/>
      <c r="J1216" s="2"/>
      <c r="K1216" s="2"/>
      <c r="L1216" s="2"/>
      <c r="M1216" s="2"/>
      <c r="N1216" s="2"/>
      <c r="O1216" s="2"/>
      <c r="P1216" s="2"/>
      <c r="Q1216" s="2"/>
      <c r="R1216" s="2"/>
      <c r="S1216" s="2"/>
      <c r="T1216" s="2"/>
      <c r="U1216" s="2"/>
      <c r="V1216" s="2"/>
      <c r="W1216" s="2"/>
    </row>
    <row r="1217" spans="1:23" ht="75" customHeight="1" x14ac:dyDescent="0.15">
      <c r="A1217" s="2"/>
      <c r="B1217" s="2"/>
      <c r="C1217" s="2"/>
      <c r="D1217" s="2"/>
      <c r="E1217" s="2"/>
      <c r="F1217" s="2"/>
      <c r="G1217" s="2"/>
      <c r="H1217" s="2"/>
      <c r="I1217" s="2"/>
      <c r="J1217" s="2"/>
      <c r="K1217" s="2"/>
      <c r="L1217" s="2"/>
      <c r="M1217" s="2"/>
      <c r="N1217" s="2"/>
      <c r="O1217" s="2"/>
      <c r="P1217" s="2"/>
      <c r="Q1217" s="2"/>
      <c r="R1217" s="2"/>
      <c r="S1217" s="2"/>
      <c r="T1217" s="2"/>
      <c r="U1217" s="2"/>
      <c r="V1217" s="2"/>
      <c r="W1217" s="2"/>
    </row>
    <row r="1218" spans="1:23" ht="75" customHeight="1" x14ac:dyDescent="0.15">
      <c r="A1218" s="2"/>
      <c r="B1218" s="2"/>
      <c r="C1218" s="2"/>
      <c r="D1218" s="2"/>
      <c r="E1218" s="2"/>
      <c r="F1218" s="2"/>
      <c r="G1218" s="2"/>
      <c r="H1218" s="2"/>
      <c r="I1218" s="2"/>
      <c r="J1218" s="2"/>
      <c r="K1218" s="2"/>
      <c r="L1218" s="2"/>
      <c r="M1218" s="2"/>
      <c r="N1218" s="2"/>
      <c r="O1218" s="2"/>
      <c r="P1218" s="2"/>
      <c r="Q1218" s="2"/>
      <c r="R1218" s="2"/>
      <c r="S1218" s="2"/>
      <c r="T1218" s="2"/>
      <c r="U1218" s="2"/>
      <c r="V1218" s="2"/>
      <c r="W1218" s="2"/>
    </row>
    <row r="1219" spans="1:23" ht="75" customHeight="1" x14ac:dyDescent="0.15">
      <c r="A1219" s="2"/>
      <c r="B1219" s="2"/>
      <c r="C1219" s="2"/>
      <c r="D1219" s="2"/>
      <c r="E1219" s="2"/>
      <c r="F1219" s="2"/>
      <c r="G1219" s="2"/>
      <c r="H1219" s="2"/>
      <c r="I1219" s="2"/>
      <c r="J1219" s="2"/>
      <c r="K1219" s="2"/>
      <c r="L1219" s="2"/>
      <c r="M1219" s="2"/>
      <c r="N1219" s="2"/>
      <c r="O1219" s="2"/>
      <c r="P1219" s="2"/>
      <c r="Q1219" s="2"/>
      <c r="R1219" s="2"/>
      <c r="S1219" s="2"/>
      <c r="T1219" s="2"/>
      <c r="U1219" s="2"/>
      <c r="V1219" s="2"/>
      <c r="W1219" s="2"/>
    </row>
    <row r="1220" spans="1:23" ht="75" customHeight="1" x14ac:dyDescent="0.15">
      <c r="A1220" s="2"/>
      <c r="B1220" s="2"/>
      <c r="C1220" s="2"/>
      <c r="D1220" s="2"/>
      <c r="E1220" s="2"/>
      <c r="F1220" s="2"/>
      <c r="G1220" s="2"/>
      <c r="H1220" s="2"/>
      <c r="I1220" s="2"/>
      <c r="J1220" s="2"/>
      <c r="K1220" s="2"/>
      <c r="L1220" s="2"/>
      <c r="M1220" s="2"/>
      <c r="N1220" s="2"/>
      <c r="O1220" s="2"/>
      <c r="P1220" s="2"/>
      <c r="Q1220" s="2"/>
      <c r="R1220" s="2"/>
      <c r="S1220" s="2"/>
      <c r="T1220" s="2"/>
      <c r="U1220" s="2"/>
      <c r="V1220" s="2"/>
      <c r="W1220" s="2"/>
    </row>
    <row r="1221" spans="1:23" ht="75" customHeight="1" x14ac:dyDescent="0.15">
      <c r="A1221" s="2"/>
      <c r="B1221" s="2"/>
      <c r="C1221" s="2"/>
      <c r="D1221" s="2"/>
      <c r="E1221" s="2"/>
      <c r="F1221" s="2"/>
      <c r="G1221" s="2"/>
      <c r="H1221" s="2"/>
      <c r="I1221" s="2"/>
      <c r="J1221" s="2"/>
      <c r="K1221" s="2"/>
      <c r="L1221" s="2"/>
      <c r="M1221" s="2"/>
      <c r="N1221" s="2"/>
      <c r="O1221" s="2"/>
      <c r="P1221" s="2"/>
      <c r="Q1221" s="2"/>
      <c r="R1221" s="2"/>
      <c r="S1221" s="2"/>
      <c r="T1221" s="2"/>
      <c r="U1221" s="2"/>
      <c r="V1221" s="2"/>
      <c r="W1221" s="2"/>
    </row>
    <row r="1222" spans="1:23" ht="75" customHeight="1" x14ac:dyDescent="0.15">
      <c r="A1222" s="2"/>
      <c r="B1222" s="2"/>
      <c r="C1222" s="2"/>
      <c r="D1222" s="2"/>
      <c r="E1222" s="2"/>
      <c r="F1222" s="2"/>
      <c r="G1222" s="2"/>
      <c r="H1222" s="2"/>
      <c r="I1222" s="2"/>
      <c r="J1222" s="2"/>
      <c r="K1222" s="2"/>
      <c r="L1222" s="2"/>
      <c r="M1222" s="2"/>
      <c r="N1222" s="2"/>
      <c r="O1222" s="2"/>
      <c r="P1222" s="2"/>
      <c r="Q1222" s="2"/>
      <c r="R1222" s="2"/>
      <c r="S1222" s="2"/>
      <c r="T1222" s="2"/>
      <c r="U1222" s="2"/>
      <c r="V1222" s="2"/>
      <c r="W1222" s="2"/>
    </row>
    <row r="1223" spans="1:23" ht="75" customHeight="1" x14ac:dyDescent="0.15">
      <c r="A1223" s="2"/>
      <c r="B1223" s="2"/>
      <c r="C1223" s="2"/>
      <c r="D1223" s="2"/>
      <c r="E1223" s="2"/>
      <c r="F1223" s="2"/>
      <c r="G1223" s="2"/>
      <c r="H1223" s="2"/>
      <c r="I1223" s="2"/>
      <c r="J1223" s="2"/>
      <c r="K1223" s="2"/>
      <c r="L1223" s="2"/>
      <c r="M1223" s="2"/>
      <c r="N1223" s="2"/>
      <c r="O1223" s="2"/>
      <c r="P1223" s="2"/>
      <c r="Q1223" s="2"/>
      <c r="R1223" s="2"/>
      <c r="S1223" s="2"/>
      <c r="T1223" s="2"/>
      <c r="U1223" s="2"/>
      <c r="V1223" s="2"/>
      <c r="W1223" s="2"/>
    </row>
    <row r="1224" spans="1:23" ht="75" customHeight="1" x14ac:dyDescent="0.15">
      <c r="A1224" s="2"/>
      <c r="B1224" s="2"/>
      <c r="C1224" s="2"/>
      <c r="D1224" s="2"/>
      <c r="E1224" s="2"/>
      <c r="F1224" s="2"/>
      <c r="G1224" s="2"/>
      <c r="H1224" s="2"/>
      <c r="I1224" s="2"/>
      <c r="J1224" s="2"/>
      <c r="K1224" s="2"/>
      <c r="L1224" s="2"/>
      <c r="M1224" s="2"/>
      <c r="N1224" s="2"/>
      <c r="O1224" s="2"/>
      <c r="P1224" s="2"/>
      <c r="Q1224" s="2"/>
      <c r="R1224" s="2"/>
      <c r="S1224" s="2"/>
      <c r="T1224" s="2"/>
      <c r="U1224" s="2"/>
      <c r="V1224" s="2"/>
      <c r="W1224" s="2"/>
    </row>
    <row r="1225" spans="1:23" ht="75" customHeight="1" x14ac:dyDescent="0.15">
      <c r="A1225" s="2"/>
      <c r="B1225" s="2"/>
      <c r="C1225" s="2"/>
      <c r="D1225" s="2"/>
      <c r="E1225" s="2"/>
      <c r="F1225" s="2"/>
      <c r="G1225" s="2"/>
      <c r="H1225" s="2"/>
      <c r="I1225" s="2"/>
      <c r="J1225" s="2"/>
      <c r="K1225" s="2"/>
      <c r="L1225" s="2"/>
      <c r="M1225" s="2"/>
      <c r="N1225" s="2"/>
      <c r="O1225" s="2"/>
      <c r="P1225" s="2"/>
      <c r="Q1225" s="2"/>
      <c r="R1225" s="2"/>
      <c r="S1225" s="2"/>
      <c r="T1225" s="2"/>
      <c r="U1225" s="2"/>
      <c r="V1225" s="2"/>
      <c r="W1225" s="2"/>
    </row>
    <row r="1226" spans="1:23" ht="75" customHeight="1" x14ac:dyDescent="0.15">
      <c r="A1226" s="2"/>
      <c r="B1226" s="2"/>
      <c r="C1226" s="2"/>
      <c r="D1226" s="2"/>
      <c r="E1226" s="2"/>
      <c r="F1226" s="2"/>
      <c r="G1226" s="2"/>
      <c r="H1226" s="2"/>
      <c r="I1226" s="2"/>
      <c r="J1226" s="2"/>
      <c r="K1226" s="2"/>
      <c r="L1226" s="2"/>
      <c r="M1226" s="2"/>
      <c r="N1226" s="2"/>
      <c r="O1226" s="2"/>
      <c r="P1226" s="2"/>
      <c r="Q1226" s="2"/>
      <c r="R1226" s="2"/>
      <c r="S1226" s="2"/>
      <c r="T1226" s="2"/>
      <c r="U1226" s="2"/>
      <c r="V1226" s="2"/>
      <c r="W1226" s="2"/>
    </row>
    <row r="1227" spans="1:23" ht="75" customHeight="1" x14ac:dyDescent="0.15">
      <c r="A1227" s="2"/>
      <c r="B1227" s="2"/>
      <c r="C1227" s="2"/>
      <c r="D1227" s="2"/>
      <c r="E1227" s="2"/>
      <c r="F1227" s="2"/>
      <c r="G1227" s="2"/>
      <c r="H1227" s="2"/>
      <c r="I1227" s="2"/>
      <c r="J1227" s="2"/>
      <c r="K1227" s="2"/>
      <c r="L1227" s="2"/>
      <c r="M1227" s="2"/>
      <c r="N1227" s="2"/>
      <c r="O1227" s="2"/>
      <c r="P1227" s="2"/>
      <c r="Q1227" s="2"/>
      <c r="R1227" s="2"/>
      <c r="S1227" s="2"/>
      <c r="T1227" s="2"/>
      <c r="U1227" s="2"/>
      <c r="V1227" s="2"/>
      <c r="W1227" s="2"/>
    </row>
    <row r="1228" spans="1:23" ht="75" customHeight="1" x14ac:dyDescent="0.15">
      <c r="A1228" s="2"/>
      <c r="B1228" s="2"/>
      <c r="C1228" s="2"/>
      <c r="D1228" s="2"/>
      <c r="E1228" s="2"/>
      <c r="F1228" s="2"/>
      <c r="G1228" s="2"/>
      <c r="H1228" s="2"/>
      <c r="I1228" s="2"/>
      <c r="J1228" s="2"/>
      <c r="K1228" s="2"/>
      <c r="L1228" s="2"/>
      <c r="M1228" s="2"/>
      <c r="N1228" s="2"/>
      <c r="O1228" s="2"/>
      <c r="P1228" s="2"/>
      <c r="Q1228" s="2"/>
      <c r="R1228" s="2"/>
      <c r="S1228" s="2"/>
      <c r="T1228" s="2"/>
      <c r="U1228" s="2"/>
      <c r="V1228" s="2"/>
      <c r="W1228" s="2"/>
    </row>
    <row r="1229" spans="1:23" ht="75" customHeight="1" x14ac:dyDescent="0.15">
      <c r="A1229" s="2"/>
      <c r="B1229" s="2"/>
      <c r="C1229" s="2"/>
      <c r="D1229" s="2"/>
      <c r="E1229" s="2"/>
      <c r="F1229" s="2"/>
      <c r="G1229" s="2"/>
      <c r="H1229" s="2"/>
      <c r="I1229" s="2"/>
      <c r="J1229" s="2"/>
      <c r="K1229" s="2"/>
      <c r="L1229" s="2"/>
      <c r="M1229" s="2"/>
      <c r="N1229" s="2"/>
      <c r="O1229" s="2"/>
      <c r="P1229" s="2"/>
      <c r="Q1229" s="2"/>
      <c r="R1229" s="2"/>
      <c r="S1229" s="2"/>
      <c r="T1229" s="2"/>
      <c r="U1229" s="2"/>
      <c r="V1229" s="2"/>
      <c r="W1229" s="2"/>
    </row>
    <row r="1230" spans="1:23" ht="75" customHeight="1" x14ac:dyDescent="0.15">
      <c r="A1230" s="2"/>
      <c r="B1230" s="2"/>
      <c r="C1230" s="2"/>
      <c r="D1230" s="2"/>
      <c r="E1230" s="2"/>
      <c r="F1230" s="2"/>
      <c r="G1230" s="2"/>
      <c r="H1230" s="2"/>
      <c r="I1230" s="2"/>
      <c r="J1230" s="2"/>
      <c r="K1230" s="2"/>
      <c r="L1230" s="2"/>
      <c r="M1230" s="2"/>
      <c r="N1230" s="2"/>
      <c r="O1230" s="2"/>
      <c r="P1230" s="2"/>
      <c r="Q1230" s="2"/>
      <c r="R1230" s="2"/>
      <c r="S1230" s="2"/>
      <c r="T1230" s="2"/>
      <c r="U1230" s="2"/>
      <c r="V1230" s="2"/>
      <c r="W1230" s="2"/>
    </row>
    <row r="1231" spans="1:23" ht="75" customHeight="1" x14ac:dyDescent="0.15">
      <c r="A1231" s="2"/>
      <c r="B1231" s="2"/>
      <c r="C1231" s="2"/>
      <c r="D1231" s="2"/>
      <c r="E1231" s="2"/>
      <c r="F1231" s="2"/>
      <c r="G1231" s="2"/>
      <c r="H1231" s="2"/>
      <c r="I1231" s="2"/>
      <c r="J1231" s="2"/>
      <c r="K1231" s="2"/>
      <c r="L1231" s="2"/>
      <c r="M1231" s="2"/>
      <c r="N1231" s="2"/>
      <c r="O1231" s="2"/>
      <c r="P1231" s="2"/>
      <c r="Q1231" s="2"/>
      <c r="R1231" s="2"/>
      <c r="S1231" s="2"/>
      <c r="T1231" s="2"/>
      <c r="U1231" s="2"/>
      <c r="V1231" s="2"/>
      <c r="W1231" s="2"/>
    </row>
    <row r="1232" spans="1:23" ht="75" customHeight="1" x14ac:dyDescent="0.15">
      <c r="A1232" s="2"/>
      <c r="B1232" s="2"/>
      <c r="C1232" s="2"/>
      <c r="D1232" s="2"/>
      <c r="E1232" s="2"/>
      <c r="F1232" s="2"/>
      <c r="G1232" s="2"/>
      <c r="H1232" s="2"/>
      <c r="I1232" s="2"/>
      <c r="J1232" s="2"/>
      <c r="K1232" s="2"/>
      <c r="L1232" s="2"/>
      <c r="M1232" s="2"/>
      <c r="N1232" s="2"/>
      <c r="O1232" s="2"/>
      <c r="P1232" s="2"/>
      <c r="Q1232" s="2"/>
      <c r="R1232" s="2"/>
      <c r="S1232" s="2"/>
      <c r="T1232" s="2"/>
      <c r="U1232" s="2"/>
      <c r="V1232" s="2"/>
      <c r="W1232" s="2"/>
    </row>
    <row r="1233" spans="1:23" ht="75" customHeight="1" x14ac:dyDescent="0.15">
      <c r="A1233" s="2"/>
      <c r="B1233" s="2"/>
      <c r="C1233" s="2"/>
      <c r="D1233" s="2"/>
      <c r="E1233" s="2"/>
      <c r="F1233" s="2"/>
      <c r="G1233" s="2"/>
      <c r="H1233" s="2"/>
      <c r="I1233" s="2"/>
      <c r="J1233" s="2"/>
      <c r="K1233" s="2"/>
      <c r="L1233" s="2"/>
      <c r="M1233" s="2"/>
      <c r="N1233" s="2"/>
      <c r="O1233" s="2"/>
      <c r="P1233" s="2"/>
      <c r="Q1233" s="2"/>
      <c r="R1233" s="2"/>
      <c r="S1233" s="2"/>
      <c r="T1233" s="2"/>
      <c r="U1233" s="2"/>
      <c r="V1233" s="2"/>
      <c r="W1233" s="2"/>
    </row>
    <row r="1234" spans="1:23" ht="75" customHeight="1" x14ac:dyDescent="0.15">
      <c r="A1234" s="2"/>
      <c r="B1234" s="2"/>
      <c r="C1234" s="2"/>
      <c r="D1234" s="2"/>
      <c r="E1234" s="2"/>
      <c r="F1234" s="2"/>
      <c r="G1234" s="2"/>
      <c r="H1234" s="2"/>
      <c r="I1234" s="2"/>
      <c r="J1234" s="2"/>
      <c r="K1234" s="2"/>
      <c r="L1234" s="2"/>
      <c r="M1234" s="2"/>
      <c r="N1234" s="2"/>
      <c r="O1234" s="2"/>
      <c r="P1234" s="2"/>
      <c r="Q1234" s="2"/>
      <c r="R1234" s="2"/>
      <c r="S1234" s="2"/>
      <c r="T1234" s="2"/>
      <c r="U1234" s="2"/>
      <c r="V1234" s="2"/>
      <c r="W1234" s="2"/>
    </row>
    <row r="1235" spans="1:23" ht="75" customHeight="1" x14ac:dyDescent="0.15">
      <c r="A1235" s="2"/>
      <c r="B1235" s="2"/>
      <c r="C1235" s="2"/>
      <c r="D1235" s="2"/>
      <c r="E1235" s="2"/>
      <c r="F1235" s="2"/>
      <c r="G1235" s="2"/>
      <c r="H1235" s="2"/>
      <c r="I1235" s="2"/>
      <c r="J1235" s="2"/>
      <c r="K1235" s="2"/>
      <c r="L1235" s="2"/>
      <c r="M1235" s="2"/>
      <c r="N1235" s="2"/>
      <c r="O1235" s="2"/>
      <c r="P1235" s="2"/>
      <c r="Q1235" s="2"/>
      <c r="R1235" s="2"/>
      <c r="S1235" s="2"/>
      <c r="T1235" s="2"/>
      <c r="U1235" s="2"/>
      <c r="V1235" s="2"/>
      <c r="W1235" s="2"/>
    </row>
    <row r="1236" spans="1:23" ht="75" customHeight="1" x14ac:dyDescent="0.15">
      <c r="A1236" s="2"/>
      <c r="B1236" s="2"/>
      <c r="C1236" s="2"/>
      <c r="D1236" s="2"/>
      <c r="E1236" s="2"/>
      <c r="F1236" s="2"/>
      <c r="G1236" s="2"/>
      <c r="H1236" s="2"/>
      <c r="I1236" s="2"/>
      <c r="J1236" s="2"/>
      <c r="K1236" s="2"/>
      <c r="L1236" s="2"/>
      <c r="M1236" s="2"/>
      <c r="N1236" s="2"/>
      <c r="O1236" s="2"/>
      <c r="P1236" s="2"/>
      <c r="Q1236" s="2"/>
      <c r="R1236" s="2"/>
      <c r="S1236" s="2"/>
      <c r="T1236" s="2"/>
      <c r="U1236" s="2"/>
      <c r="V1236" s="2"/>
      <c r="W1236" s="2"/>
    </row>
    <row r="1237" spans="1:23" ht="75" customHeight="1" x14ac:dyDescent="0.15">
      <c r="A1237" s="2"/>
      <c r="B1237" s="2"/>
      <c r="C1237" s="2"/>
      <c r="D1237" s="2"/>
      <c r="E1237" s="2"/>
      <c r="F1237" s="2"/>
      <c r="G1237" s="2"/>
      <c r="H1237" s="2"/>
      <c r="I1237" s="2"/>
      <c r="J1237" s="2"/>
      <c r="K1237" s="2"/>
      <c r="L1237" s="2"/>
      <c r="M1237" s="2"/>
      <c r="N1237" s="2"/>
      <c r="O1237" s="2"/>
      <c r="P1237" s="2"/>
      <c r="Q1237" s="2"/>
      <c r="R1237" s="2"/>
      <c r="S1237" s="2"/>
      <c r="T1237" s="2"/>
      <c r="U1237" s="2"/>
      <c r="V1237" s="2"/>
      <c r="W1237" s="2"/>
    </row>
    <row r="1238" spans="1:23" ht="75" customHeight="1" x14ac:dyDescent="0.15">
      <c r="A1238" s="2"/>
      <c r="B1238" s="2"/>
      <c r="C1238" s="2"/>
      <c r="D1238" s="2"/>
      <c r="E1238" s="2"/>
      <c r="F1238" s="2"/>
      <c r="G1238" s="2"/>
      <c r="H1238" s="2"/>
      <c r="I1238" s="2"/>
      <c r="J1238" s="2"/>
      <c r="K1238" s="2"/>
      <c r="L1238" s="2"/>
      <c r="M1238" s="2"/>
      <c r="N1238" s="2"/>
      <c r="O1238" s="2"/>
      <c r="P1238" s="2"/>
      <c r="Q1238" s="2"/>
      <c r="R1238" s="2"/>
      <c r="S1238" s="2"/>
      <c r="T1238" s="2"/>
      <c r="U1238" s="2"/>
      <c r="V1238" s="2"/>
      <c r="W1238" s="2"/>
    </row>
    <row r="1239" spans="1:23" ht="75" customHeight="1" x14ac:dyDescent="0.15">
      <c r="A1239" s="2"/>
      <c r="B1239" s="2"/>
      <c r="C1239" s="2"/>
      <c r="D1239" s="2"/>
      <c r="E1239" s="2"/>
      <c r="F1239" s="2"/>
      <c r="G1239" s="2"/>
      <c r="H1239" s="2"/>
      <c r="I1239" s="2"/>
      <c r="J1239" s="2"/>
      <c r="K1239" s="2"/>
      <c r="L1239" s="2"/>
      <c r="M1239" s="2"/>
      <c r="N1239" s="2"/>
      <c r="O1239" s="2"/>
      <c r="P1239" s="2"/>
      <c r="Q1239" s="2"/>
      <c r="R1239" s="2"/>
      <c r="S1239" s="2"/>
      <c r="T1239" s="2"/>
      <c r="U1239" s="2"/>
      <c r="V1239" s="2"/>
      <c r="W1239" s="2"/>
    </row>
    <row r="1240" spans="1:23" ht="75" customHeight="1" x14ac:dyDescent="0.15">
      <c r="A1240" s="2"/>
      <c r="B1240" s="2"/>
      <c r="C1240" s="2"/>
      <c r="D1240" s="2"/>
      <c r="E1240" s="2"/>
      <c r="F1240" s="2"/>
      <c r="G1240" s="2"/>
      <c r="H1240" s="2"/>
      <c r="I1240" s="2"/>
      <c r="J1240" s="2"/>
      <c r="K1240" s="2"/>
      <c r="L1240" s="2"/>
      <c r="M1240" s="2"/>
      <c r="N1240" s="2"/>
      <c r="O1240" s="2"/>
      <c r="P1240" s="2"/>
      <c r="Q1240" s="2"/>
      <c r="R1240" s="2"/>
      <c r="S1240" s="2"/>
      <c r="T1240" s="2"/>
      <c r="U1240" s="2"/>
      <c r="V1240" s="2"/>
      <c r="W1240" s="2"/>
    </row>
    <row r="1241" spans="1:23" ht="75" customHeight="1" x14ac:dyDescent="0.15">
      <c r="A1241" s="2"/>
      <c r="B1241" s="2"/>
      <c r="C1241" s="2"/>
      <c r="D1241" s="2"/>
      <c r="E1241" s="2"/>
      <c r="F1241" s="2"/>
      <c r="G1241" s="2"/>
      <c r="H1241" s="2"/>
      <c r="I1241" s="2"/>
      <c r="J1241" s="2"/>
      <c r="K1241" s="2"/>
      <c r="L1241" s="2"/>
      <c r="M1241" s="2"/>
      <c r="N1241" s="2"/>
      <c r="O1241" s="2"/>
      <c r="P1241" s="2"/>
      <c r="Q1241" s="2"/>
      <c r="R1241" s="2"/>
      <c r="S1241" s="2"/>
      <c r="T1241" s="2"/>
      <c r="U1241" s="2"/>
      <c r="V1241" s="2"/>
      <c r="W1241" s="2"/>
    </row>
    <row r="1242" spans="1:23" ht="75" customHeight="1" x14ac:dyDescent="0.15">
      <c r="A1242" s="2"/>
      <c r="B1242" s="2"/>
      <c r="C1242" s="2"/>
      <c r="D1242" s="2"/>
      <c r="E1242" s="2"/>
      <c r="F1242" s="2"/>
      <c r="G1242" s="2"/>
      <c r="H1242" s="2"/>
      <c r="I1242" s="2"/>
      <c r="J1242" s="2"/>
      <c r="K1242" s="2"/>
      <c r="L1242" s="2"/>
      <c r="M1242" s="2"/>
      <c r="N1242" s="2"/>
      <c r="O1242" s="2"/>
      <c r="P1242" s="2"/>
      <c r="Q1242" s="2"/>
      <c r="R1242" s="2"/>
      <c r="S1242" s="2"/>
      <c r="T1242" s="2"/>
      <c r="U1242" s="2"/>
      <c r="V1242" s="2"/>
      <c r="W1242" s="2"/>
    </row>
    <row r="1243" spans="1:23" ht="75" customHeight="1" x14ac:dyDescent="0.15">
      <c r="A1243" s="2"/>
      <c r="B1243" s="2"/>
      <c r="C1243" s="2"/>
      <c r="D1243" s="2"/>
      <c r="E1243" s="2"/>
      <c r="F1243" s="2"/>
      <c r="G1243" s="2"/>
      <c r="H1243" s="2"/>
      <c r="I1243" s="2"/>
      <c r="J1243" s="2"/>
      <c r="K1243" s="2"/>
      <c r="L1243" s="2"/>
      <c r="M1243" s="2"/>
      <c r="N1243" s="2"/>
      <c r="O1243" s="2"/>
      <c r="P1243" s="2"/>
      <c r="Q1243" s="2"/>
      <c r="R1243" s="2"/>
      <c r="S1243" s="2"/>
      <c r="T1243" s="2"/>
      <c r="U1243" s="2"/>
      <c r="V1243" s="2"/>
      <c r="W1243" s="2"/>
    </row>
    <row r="1244" spans="1:23" ht="75" customHeight="1" x14ac:dyDescent="0.15">
      <c r="A1244" s="2"/>
      <c r="B1244" s="2"/>
      <c r="C1244" s="2"/>
      <c r="D1244" s="2"/>
      <c r="E1244" s="2"/>
      <c r="F1244" s="2"/>
      <c r="G1244" s="2"/>
      <c r="H1244" s="2"/>
      <c r="I1244" s="2"/>
      <c r="J1244" s="2"/>
      <c r="K1244" s="2"/>
      <c r="L1244" s="2"/>
      <c r="M1244" s="2"/>
      <c r="N1244" s="2"/>
      <c r="O1244" s="2"/>
      <c r="P1244" s="2"/>
      <c r="Q1244" s="2"/>
      <c r="R1244" s="2"/>
      <c r="S1244" s="2"/>
      <c r="T1244" s="2"/>
      <c r="U1244" s="2"/>
      <c r="V1244" s="2"/>
      <c r="W1244" s="2"/>
    </row>
    <row r="1245" spans="1:23" ht="75" customHeight="1" x14ac:dyDescent="0.15">
      <c r="A1245" s="2"/>
      <c r="B1245" s="2"/>
      <c r="C1245" s="2"/>
      <c r="D1245" s="2"/>
      <c r="E1245" s="2"/>
      <c r="F1245" s="2"/>
      <c r="G1245" s="2"/>
      <c r="H1245" s="2"/>
      <c r="I1245" s="2"/>
      <c r="J1245" s="2"/>
      <c r="K1245" s="2"/>
      <c r="L1245" s="2"/>
      <c r="M1245" s="2"/>
      <c r="N1245" s="2"/>
      <c r="O1245" s="2"/>
      <c r="P1245" s="2"/>
      <c r="Q1245" s="2"/>
      <c r="R1245" s="2"/>
      <c r="S1245" s="2"/>
      <c r="T1245" s="2"/>
      <c r="U1245" s="2"/>
      <c r="V1245" s="2"/>
      <c r="W1245" s="2"/>
    </row>
    <row r="1246" spans="1:23" ht="75" customHeight="1" x14ac:dyDescent="0.15">
      <c r="A1246" s="2"/>
      <c r="B1246" s="2"/>
      <c r="C1246" s="2"/>
      <c r="D1246" s="2"/>
      <c r="E1246" s="2"/>
      <c r="F1246" s="2"/>
      <c r="G1246" s="2"/>
      <c r="H1246" s="2"/>
      <c r="I1246" s="2"/>
      <c r="J1246" s="2"/>
      <c r="K1246" s="2"/>
      <c r="L1246" s="2"/>
      <c r="M1246" s="2"/>
      <c r="N1246" s="2"/>
      <c r="O1246" s="2"/>
      <c r="P1246" s="2"/>
      <c r="Q1246" s="2"/>
      <c r="R1246" s="2"/>
      <c r="S1246" s="2"/>
      <c r="T1246" s="2"/>
      <c r="U1246" s="2"/>
      <c r="V1246" s="2"/>
      <c r="W1246" s="2"/>
    </row>
    <row r="1247" spans="1:23" ht="75" customHeight="1" x14ac:dyDescent="0.15">
      <c r="A1247" s="2"/>
      <c r="B1247" s="2"/>
      <c r="C1247" s="2"/>
      <c r="D1247" s="2"/>
      <c r="E1247" s="2"/>
      <c r="F1247" s="2"/>
      <c r="G1247" s="2"/>
      <c r="H1247" s="2"/>
      <c r="I1247" s="2"/>
      <c r="J1247" s="2"/>
      <c r="K1247" s="2"/>
      <c r="L1247" s="2"/>
      <c r="M1247" s="2"/>
      <c r="N1247" s="2"/>
      <c r="O1247" s="2"/>
      <c r="P1247" s="2"/>
      <c r="Q1247" s="2"/>
      <c r="R1247" s="2"/>
      <c r="S1247" s="2"/>
      <c r="T1247" s="2"/>
      <c r="U1247" s="2"/>
      <c r="V1247" s="2"/>
      <c r="W1247" s="2"/>
    </row>
    <row r="1248" spans="1:23" ht="75" customHeight="1" x14ac:dyDescent="0.15">
      <c r="A1248" s="2"/>
      <c r="B1248" s="2"/>
      <c r="C1248" s="2"/>
      <c r="D1248" s="2"/>
      <c r="E1248" s="2"/>
      <c r="F1248" s="2"/>
      <c r="G1248" s="2"/>
      <c r="H1248" s="2"/>
      <c r="I1248" s="2"/>
      <c r="J1248" s="2"/>
      <c r="K1248" s="2"/>
      <c r="L1248" s="2"/>
      <c r="M1248" s="2"/>
      <c r="N1248" s="2"/>
      <c r="O1248" s="2"/>
      <c r="P1248" s="2"/>
      <c r="Q1248" s="2"/>
      <c r="R1248" s="2"/>
      <c r="S1248" s="2"/>
      <c r="T1248" s="2"/>
      <c r="U1248" s="2"/>
      <c r="V1248" s="2"/>
      <c r="W1248" s="2"/>
    </row>
    <row r="1249" spans="1:23" ht="75" customHeight="1" x14ac:dyDescent="0.15">
      <c r="A1249" s="2"/>
      <c r="B1249" s="2"/>
      <c r="C1249" s="2"/>
      <c r="D1249" s="2"/>
      <c r="E1249" s="2"/>
      <c r="F1249" s="2"/>
      <c r="G1249" s="2"/>
      <c r="H1249" s="2"/>
      <c r="I1249" s="2"/>
      <c r="J1249" s="2"/>
      <c r="K1249" s="2"/>
      <c r="L1249" s="2"/>
      <c r="M1249" s="2"/>
      <c r="N1249" s="2"/>
      <c r="O1249" s="2"/>
      <c r="P1249" s="2"/>
      <c r="Q1249" s="2"/>
      <c r="R1249" s="2"/>
      <c r="S1249" s="2"/>
      <c r="T1249" s="2"/>
      <c r="U1249" s="2"/>
      <c r="V1249" s="2"/>
      <c r="W1249" s="2"/>
    </row>
    <row r="1250" spans="1:23" ht="75" customHeight="1" x14ac:dyDescent="0.15">
      <c r="A1250" s="2"/>
      <c r="B1250" s="2"/>
      <c r="C1250" s="2"/>
      <c r="D1250" s="2"/>
      <c r="E1250" s="2"/>
      <c r="F1250" s="2"/>
      <c r="G1250" s="2"/>
      <c r="H1250" s="2"/>
      <c r="I1250" s="2"/>
      <c r="J1250" s="2"/>
      <c r="K1250" s="2"/>
      <c r="L1250" s="2"/>
      <c r="M1250" s="2"/>
      <c r="N1250" s="2"/>
      <c r="O1250" s="2"/>
      <c r="P1250" s="2"/>
      <c r="Q1250" s="2"/>
      <c r="R1250" s="2"/>
      <c r="S1250" s="2"/>
      <c r="T1250" s="2"/>
      <c r="U1250" s="2"/>
      <c r="V1250" s="2"/>
      <c r="W1250" s="2"/>
    </row>
    <row r="1251" spans="1:23" ht="75" customHeight="1" x14ac:dyDescent="0.15">
      <c r="A1251" s="2"/>
      <c r="B1251" s="2"/>
      <c r="C1251" s="2"/>
      <c r="D1251" s="2"/>
      <c r="E1251" s="2"/>
      <c r="F1251" s="2"/>
      <c r="G1251" s="2"/>
      <c r="H1251" s="2"/>
      <c r="I1251" s="2"/>
      <c r="J1251" s="2"/>
      <c r="K1251" s="2"/>
      <c r="L1251" s="2"/>
      <c r="M1251" s="2"/>
      <c r="N1251" s="2"/>
      <c r="O1251" s="2"/>
      <c r="P1251" s="2"/>
      <c r="Q1251" s="2"/>
      <c r="R1251" s="2"/>
      <c r="S1251" s="2"/>
      <c r="T1251" s="2"/>
      <c r="U1251" s="2"/>
      <c r="V1251" s="2"/>
      <c r="W1251" s="2"/>
    </row>
    <row r="1252" spans="1:23" ht="75" customHeight="1" x14ac:dyDescent="0.15">
      <c r="A1252" s="2"/>
      <c r="B1252" s="2"/>
      <c r="C1252" s="2"/>
      <c r="D1252" s="2"/>
      <c r="E1252" s="2"/>
      <c r="F1252" s="2"/>
      <c r="G1252" s="2"/>
      <c r="H1252" s="2"/>
      <c r="I1252" s="2"/>
      <c r="J1252" s="2"/>
      <c r="K1252" s="2"/>
      <c r="L1252" s="2"/>
      <c r="M1252" s="2"/>
      <c r="N1252" s="2"/>
      <c r="O1252" s="2"/>
      <c r="P1252" s="2"/>
      <c r="Q1252" s="2"/>
      <c r="R1252" s="2"/>
      <c r="S1252" s="2"/>
      <c r="T1252" s="2"/>
      <c r="U1252" s="2"/>
      <c r="V1252" s="2"/>
      <c r="W1252" s="2"/>
    </row>
    <row r="1253" spans="1:23" ht="75" customHeight="1" x14ac:dyDescent="0.15">
      <c r="A1253" s="2"/>
      <c r="B1253" s="2"/>
      <c r="C1253" s="2"/>
      <c r="D1253" s="2"/>
      <c r="E1253" s="2"/>
      <c r="F1253" s="2"/>
      <c r="G1253" s="2"/>
      <c r="H1253" s="2"/>
      <c r="I1253" s="2"/>
      <c r="J1253" s="2"/>
      <c r="K1253" s="2"/>
      <c r="L1253" s="2"/>
      <c r="M1253" s="2"/>
      <c r="N1253" s="2"/>
      <c r="O1253" s="2"/>
      <c r="P1253" s="2"/>
      <c r="Q1253" s="2"/>
      <c r="R1253" s="2"/>
      <c r="S1253" s="2"/>
      <c r="T1253" s="2"/>
      <c r="U1253" s="2"/>
      <c r="V1253" s="2"/>
      <c r="W1253" s="2"/>
    </row>
    <row r="1254" spans="1:23" ht="75" customHeight="1" x14ac:dyDescent="0.15">
      <c r="A1254" s="2"/>
      <c r="B1254" s="2"/>
      <c r="C1254" s="2"/>
      <c r="D1254" s="2"/>
      <c r="E1254" s="2"/>
      <c r="F1254" s="2"/>
      <c r="G1254" s="2"/>
      <c r="H1254" s="2"/>
      <c r="I1254" s="2"/>
      <c r="J1254" s="2"/>
      <c r="K1254" s="2"/>
      <c r="L1254" s="2"/>
      <c r="M1254" s="2"/>
      <c r="N1254" s="2"/>
      <c r="O1254" s="2"/>
      <c r="P1254" s="2"/>
      <c r="Q1254" s="2"/>
      <c r="R1254" s="2"/>
      <c r="S1254" s="2"/>
      <c r="T1254" s="2"/>
      <c r="U1254" s="2"/>
      <c r="V1254" s="2"/>
      <c r="W1254" s="2"/>
    </row>
    <row r="1255" spans="1:23" ht="75" customHeight="1" x14ac:dyDescent="0.15">
      <c r="A1255" s="2"/>
      <c r="B1255" s="2"/>
      <c r="C1255" s="2"/>
      <c r="D1255" s="2"/>
      <c r="E1255" s="2"/>
      <c r="F1255" s="2"/>
      <c r="G1255" s="2"/>
      <c r="H1255" s="2"/>
      <c r="I1255" s="2"/>
      <c r="J1255" s="2"/>
      <c r="K1255" s="2"/>
      <c r="L1255" s="2"/>
      <c r="M1255" s="2"/>
      <c r="N1255" s="2"/>
      <c r="O1255" s="2"/>
      <c r="P1255" s="2"/>
      <c r="Q1255" s="2"/>
      <c r="R1255" s="2"/>
      <c r="S1255" s="2"/>
      <c r="T1255" s="2"/>
      <c r="U1255" s="2"/>
      <c r="V1255" s="2"/>
      <c r="W1255" s="2"/>
    </row>
    <row r="1256" spans="1:23" ht="75" customHeight="1" x14ac:dyDescent="0.15">
      <c r="A1256" s="2"/>
      <c r="B1256" s="2"/>
      <c r="C1256" s="2"/>
      <c r="D1256" s="2"/>
      <c r="E1256" s="2"/>
      <c r="F1256" s="2"/>
      <c r="G1256" s="2"/>
      <c r="H1256" s="2"/>
      <c r="I1256" s="2"/>
      <c r="J1256" s="2"/>
      <c r="K1256" s="2"/>
      <c r="L1256" s="2"/>
      <c r="M1256" s="2"/>
      <c r="N1256" s="2"/>
      <c r="O1256" s="2"/>
      <c r="P1256" s="2"/>
      <c r="Q1256" s="2"/>
      <c r="R1256" s="2"/>
      <c r="S1256" s="2"/>
      <c r="T1256" s="2"/>
      <c r="U1256" s="2"/>
      <c r="V1256" s="2"/>
      <c r="W1256" s="2"/>
    </row>
    <row r="1257" spans="1:23" ht="75" customHeight="1" x14ac:dyDescent="0.15">
      <c r="A1257" s="2"/>
      <c r="B1257" s="2"/>
      <c r="C1257" s="2"/>
      <c r="D1257" s="2"/>
      <c r="E1257" s="2"/>
      <c r="F1257" s="2"/>
      <c r="G1257" s="2"/>
      <c r="H1257" s="2"/>
      <c r="I1257" s="2"/>
      <c r="J1257" s="2"/>
      <c r="K1257" s="2"/>
      <c r="L1257" s="2"/>
      <c r="M1257" s="2"/>
      <c r="N1257" s="2"/>
      <c r="O1257" s="2"/>
      <c r="P1257" s="2"/>
      <c r="Q1257" s="2"/>
      <c r="R1257" s="2"/>
      <c r="S1257" s="2"/>
      <c r="T1257" s="2"/>
      <c r="U1257" s="2"/>
      <c r="V1257" s="2"/>
      <c r="W1257" s="2"/>
    </row>
    <row r="1258" spans="1:23" ht="75" customHeight="1" x14ac:dyDescent="0.15">
      <c r="A1258" s="2"/>
      <c r="B1258" s="2"/>
      <c r="C1258" s="2"/>
      <c r="D1258" s="2"/>
      <c r="E1258" s="2"/>
      <c r="F1258" s="2"/>
      <c r="G1258" s="2"/>
      <c r="H1258" s="2"/>
      <c r="I1258" s="2"/>
      <c r="J1258" s="2"/>
      <c r="K1258" s="2"/>
      <c r="L1258" s="2"/>
      <c r="M1258" s="2"/>
      <c r="N1258" s="2"/>
      <c r="O1258" s="2"/>
      <c r="P1258" s="2"/>
      <c r="Q1258" s="2"/>
      <c r="R1258" s="2"/>
      <c r="S1258" s="2"/>
      <c r="T1258" s="2"/>
      <c r="U1258" s="2"/>
      <c r="V1258" s="2"/>
      <c r="W1258" s="2"/>
    </row>
    <row r="1259" spans="1:23" ht="75" customHeight="1" x14ac:dyDescent="0.15">
      <c r="A1259" s="2"/>
      <c r="B1259" s="2"/>
      <c r="C1259" s="2"/>
      <c r="D1259" s="2"/>
      <c r="E1259" s="2"/>
      <c r="F1259" s="2"/>
      <c r="G1259" s="2"/>
      <c r="H1259" s="2"/>
      <c r="I1259" s="2"/>
      <c r="J1259" s="2"/>
      <c r="K1259" s="2"/>
      <c r="L1259" s="2"/>
      <c r="M1259" s="2"/>
      <c r="N1259" s="2"/>
      <c r="O1259" s="2"/>
      <c r="P1259" s="2"/>
      <c r="Q1259" s="2"/>
      <c r="R1259" s="2"/>
      <c r="S1259" s="2"/>
      <c r="T1259" s="2"/>
      <c r="U1259" s="2"/>
      <c r="V1259" s="2"/>
      <c r="W1259" s="2"/>
    </row>
    <row r="1260" spans="1:23" ht="75" customHeight="1" x14ac:dyDescent="0.15">
      <c r="A1260" s="2"/>
      <c r="B1260" s="2"/>
      <c r="C1260" s="2"/>
      <c r="D1260" s="2"/>
      <c r="E1260" s="2"/>
      <c r="F1260" s="2"/>
      <c r="G1260" s="2"/>
      <c r="H1260" s="2"/>
      <c r="I1260" s="2"/>
      <c r="J1260" s="2"/>
      <c r="K1260" s="2"/>
      <c r="L1260" s="2"/>
      <c r="M1260" s="2"/>
      <c r="N1260" s="2"/>
      <c r="O1260" s="2"/>
      <c r="P1260" s="2"/>
      <c r="Q1260" s="2"/>
      <c r="R1260" s="2"/>
      <c r="S1260" s="2"/>
      <c r="T1260" s="2"/>
      <c r="U1260" s="2"/>
      <c r="V1260" s="2"/>
      <c r="W1260" s="2"/>
    </row>
    <row r="1261" spans="1:23" ht="75" customHeight="1" x14ac:dyDescent="0.15">
      <c r="A1261" s="2"/>
      <c r="B1261" s="2"/>
      <c r="C1261" s="2"/>
      <c r="D1261" s="2"/>
      <c r="E1261" s="2"/>
      <c r="F1261" s="2"/>
      <c r="G1261" s="2"/>
      <c r="H1261" s="2"/>
      <c r="I1261" s="2"/>
      <c r="J1261" s="2"/>
      <c r="K1261" s="2"/>
      <c r="L1261" s="2"/>
      <c r="M1261" s="2"/>
      <c r="N1261" s="2"/>
      <c r="O1261" s="2"/>
      <c r="P1261" s="2"/>
      <c r="Q1261" s="2"/>
      <c r="R1261" s="2"/>
      <c r="S1261" s="2"/>
      <c r="T1261" s="2"/>
      <c r="U1261" s="2"/>
      <c r="V1261" s="2"/>
      <c r="W1261" s="2"/>
    </row>
    <row r="1262" spans="1:23" ht="75" customHeight="1" x14ac:dyDescent="0.15">
      <c r="A1262" s="2"/>
      <c r="B1262" s="2"/>
      <c r="C1262" s="2"/>
      <c r="D1262" s="2"/>
      <c r="E1262" s="2"/>
      <c r="F1262" s="2"/>
      <c r="G1262" s="2"/>
      <c r="H1262" s="2"/>
      <c r="I1262" s="2"/>
      <c r="J1262" s="2"/>
      <c r="K1262" s="2"/>
      <c r="L1262" s="2"/>
      <c r="M1262" s="2"/>
      <c r="N1262" s="2"/>
      <c r="O1262" s="2"/>
      <c r="P1262" s="2"/>
      <c r="Q1262" s="2"/>
      <c r="R1262" s="2"/>
      <c r="S1262" s="2"/>
      <c r="T1262" s="2"/>
      <c r="U1262" s="2"/>
      <c r="V1262" s="2"/>
      <c r="W1262" s="2"/>
    </row>
    <row r="1263" spans="1:23" ht="75" customHeight="1" x14ac:dyDescent="0.15">
      <c r="A1263" s="2"/>
      <c r="B1263" s="2"/>
      <c r="C1263" s="2"/>
      <c r="D1263" s="2"/>
      <c r="E1263" s="2"/>
      <c r="F1263" s="2"/>
      <c r="G1263" s="2"/>
      <c r="H1263" s="2"/>
      <c r="I1263" s="2"/>
      <c r="J1263" s="2"/>
      <c r="K1263" s="2"/>
      <c r="L1263" s="2"/>
      <c r="M1263" s="2"/>
      <c r="N1263" s="2"/>
      <c r="O1263" s="2"/>
      <c r="P1263" s="2"/>
      <c r="Q1263" s="2"/>
      <c r="R1263" s="2"/>
      <c r="S1263" s="2"/>
      <c r="T1263" s="2"/>
      <c r="U1263" s="2"/>
      <c r="V1263" s="2"/>
      <c r="W1263" s="2"/>
    </row>
    <row r="1264" spans="1:23" ht="75" customHeight="1" x14ac:dyDescent="0.15">
      <c r="A1264" s="2"/>
      <c r="B1264" s="2"/>
      <c r="C1264" s="2"/>
      <c r="D1264" s="2"/>
      <c r="E1264" s="2"/>
      <c r="F1264" s="2"/>
      <c r="G1264" s="2"/>
      <c r="H1264" s="2"/>
      <c r="I1264" s="2"/>
      <c r="J1264" s="2"/>
      <c r="K1264" s="2"/>
      <c r="L1264" s="2"/>
      <c r="M1264" s="2"/>
      <c r="N1264" s="2"/>
      <c r="O1264" s="2"/>
      <c r="P1264" s="2"/>
      <c r="Q1264" s="2"/>
      <c r="R1264" s="2"/>
      <c r="S1264" s="2"/>
      <c r="T1264" s="2"/>
      <c r="U1264" s="2"/>
      <c r="V1264" s="2"/>
      <c r="W1264" s="2"/>
    </row>
    <row r="1265" spans="1:23" ht="75" customHeight="1" x14ac:dyDescent="0.15">
      <c r="A1265" s="2"/>
      <c r="B1265" s="2"/>
      <c r="C1265" s="2"/>
      <c r="D1265" s="2"/>
      <c r="E1265" s="2"/>
      <c r="F1265" s="2"/>
      <c r="G1265" s="2"/>
      <c r="H1265" s="2"/>
      <c r="I1265" s="2"/>
      <c r="J1265" s="2"/>
      <c r="K1265" s="2"/>
      <c r="L1265" s="2"/>
      <c r="M1265" s="2"/>
      <c r="N1265" s="2"/>
      <c r="O1265" s="2"/>
      <c r="P1265" s="2"/>
      <c r="Q1265" s="2"/>
      <c r="R1265" s="2"/>
      <c r="S1265" s="2"/>
      <c r="T1265" s="2"/>
      <c r="U1265" s="2"/>
      <c r="V1265" s="2"/>
      <c r="W1265" s="2"/>
    </row>
    <row r="1266" spans="1:23" ht="75" customHeight="1" x14ac:dyDescent="0.15">
      <c r="A1266" s="2"/>
      <c r="B1266" s="2"/>
      <c r="C1266" s="2"/>
      <c r="D1266" s="2"/>
      <c r="E1266" s="2"/>
      <c r="F1266" s="2"/>
      <c r="G1266" s="2"/>
      <c r="H1266" s="2"/>
      <c r="I1266" s="2"/>
      <c r="J1266" s="2"/>
      <c r="K1266" s="2"/>
      <c r="L1266" s="2"/>
      <c r="M1266" s="2"/>
      <c r="N1266" s="2"/>
      <c r="O1266" s="2"/>
      <c r="P1266" s="2"/>
      <c r="Q1266" s="2"/>
      <c r="R1266" s="2"/>
      <c r="S1266" s="2"/>
      <c r="T1266" s="2"/>
      <c r="U1266" s="2"/>
      <c r="V1266" s="2"/>
      <c r="W1266" s="2"/>
    </row>
    <row r="1267" spans="1:23" ht="75" customHeight="1" x14ac:dyDescent="0.15">
      <c r="A1267" s="2"/>
      <c r="B1267" s="2"/>
      <c r="C1267" s="2"/>
      <c r="D1267" s="2"/>
      <c r="E1267" s="2"/>
      <c r="F1267" s="2"/>
      <c r="G1267" s="2"/>
      <c r="H1267" s="2"/>
      <c r="I1267" s="2"/>
      <c r="J1267" s="2"/>
      <c r="K1267" s="2"/>
      <c r="L1267" s="2"/>
      <c r="M1267" s="2"/>
      <c r="N1267" s="2"/>
      <c r="O1267" s="2"/>
      <c r="P1267" s="2"/>
      <c r="Q1267" s="2"/>
      <c r="R1267" s="2"/>
      <c r="S1267" s="2"/>
      <c r="T1267" s="2"/>
      <c r="U1267" s="2"/>
      <c r="V1267" s="2"/>
      <c r="W1267" s="2"/>
    </row>
    <row r="1268" spans="1:23" ht="75" customHeight="1" x14ac:dyDescent="0.15">
      <c r="A1268" s="2"/>
      <c r="B1268" s="2"/>
      <c r="C1268" s="2"/>
      <c r="D1268" s="2"/>
      <c r="E1268" s="2"/>
      <c r="F1268" s="2"/>
      <c r="G1268" s="2"/>
      <c r="H1268" s="2"/>
      <c r="I1268" s="2"/>
      <c r="J1268" s="2"/>
      <c r="K1268" s="2"/>
      <c r="L1268" s="2"/>
      <c r="M1268" s="2"/>
      <c r="N1268" s="2"/>
      <c r="O1268" s="2"/>
      <c r="P1268" s="2"/>
      <c r="Q1268" s="2"/>
      <c r="R1268" s="2"/>
      <c r="S1268" s="2"/>
      <c r="T1268" s="2"/>
      <c r="U1268" s="2"/>
      <c r="V1268" s="2"/>
      <c r="W1268" s="2"/>
    </row>
    <row r="1269" spans="1:23" ht="75" customHeight="1" x14ac:dyDescent="0.15">
      <c r="A1269" s="2"/>
      <c r="B1269" s="2"/>
      <c r="C1269" s="2"/>
      <c r="D1269" s="2"/>
      <c r="E1269" s="2"/>
      <c r="F1269" s="2"/>
      <c r="G1269" s="2"/>
      <c r="H1269" s="2"/>
      <c r="I1269" s="2"/>
      <c r="J1269" s="2"/>
      <c r="K1269" s="2"/>
      <c r="L1269" s="2"/>
      <c r="M1269" s="2"/>
      <c r="N1269" s="2"/>
      <c r="O1269" s="2"/>
      <c r="P1269" s="2"/>
      <c r="Q1269" s="2"/>
      <c r="R1269" s="2"/>
      <c r="S1269" s="2"/>
      <c r="T1269" s="2"/>
      <c r="U1269" s="2"/>
      <c r="V1269" s="2"/>
      <c r="W1269" s="2"/>
    </row>
    <row r="1270" spans="1:23" ht="75" customHeight="1" x14ac:dyDescent="0.15">
      <c r="A1270" s="2"/>
      <c r="B1270" s="2"/>
      <c r="C1270" s="2"/>
      <c r="D1270" s="2"/>
      <c r="E1270" s="2"/>
      <c r="F1270" s="2"/>
      <c r="G1270" s="2"/>
      <c r="H1270" s="2"/>
      <c r="I1270" s="2"/>
      <c r="J1270" s="2"/>
      <c r="K1270" s="2"/>
      <c r="L1270" s="2"/>
      <c r="M1270" s="2"/>
      <c r="N1270" s="2"/>
      <c r="O1270" s="2"/>
      <c r="P1270" s="2"/>
      <c r="Q1270" s="2"/>
      <c r="R1270" s="2"/>
      <c r="S1270" s="2"/>
      <c r="T1270" s="2"/>
      <c r="U1270" s="2"/>
      <c r="V1270" s="2"/>
      <c r="W1270" s="2"/>
    </row>
    <row r="1271" spans="1:23" ht="75" customHeight="1" x14ac:dyDescent="0.15">
      <c r="A1271" s="2"/>
      <c r="B1271" s="2"/>
      <c r="C1271" s="2"/>
      <c r="D1271" s="2"/>
      <c r="E1271" s="2"/>
      <c r="F1271" s="2"/>
      <c r="G1271" s="2"/>
      <c r="H1271" s="2"/>
      <c r="I1271" s="2"/>
      <c r="J1271" s="2"/>
      <c r="K1271" s="2"/>
      <c r="L1271" s="2"/>
      <c r="M1271" s="2"/>
      <c r="N1271" s="2"/>
      <c r="O1271" s="2"/>
      <c r="P1271" s="2"/>
      <c r="Q1271" s="2"/>
      <c r="R1271" s="2"/>
      <c r="S1271" s="2"/>
      <c r="T1271" s="2"/>
      <c r="U1271" s="2"/>
      <c r="V1271" s="2"/>
      <c r="W1271" s="2"/>
    </row>
    <row r="1272" spans="1:23" ht="75" customHeight="1" x14ac:dyDescent="0.15">
      <c r="A1272" s="2"/>
      <c r="B1272" s="2"/>
      <c r="C1272" s="2"/>
      <c r="D1272" s="2"/>
      <c r="E1272" s="2"/>
      <c r="F1272" s="2"/>
      <c r="G1272" s="2"/>
      <c r="H1272" s="2"/>
      <c r="I1272" s="2"/>
      <c r="J1272" s="2"/>
      <c r="K1272" s="2"/>
      <c r="L1272" s="2"/>
      <c r="M1272" s="2"/>
      <c r="N1272" s="2"/>
      <c r="O1272" s="2"/>
      <c r="P1272" s="2"/>
      <c r="Q1272" s="2"/>
      <c r="R1272" s="2"/>
      <c r="S1272" s="2"/>
      <c r="T1272" s="2"/>
      <c r="U1272" s="2"/>
      <c r="V1272" s="2"/>
      <c r="W1272" s="2"/>
    </row>
    <row r="1273" spans="1:23" ht="75" customHeight="1" x14ac:dyDescent="0.15">
      <c r="A1273" s="2"/>
      <c r="B1273" s="2"/>
      <c r="C1273" s="2"/>
      <c r="D1273" s="2"/>
      <c r="E1273" s="2"/>
      <c r="F1273" s="2"/>
      <c r="G1273" s="2"/>
      <c r="H1273" s="2"/>
      <c r="I1273" s="2"/>
      <c r="J1273" s="2"/>
      <c r="K1273" s="2"/>
      <c r="L1273" s="2"/>
      <c r="M1273" s="2"/>
      <c r="N1273" s="2"/>
      <c r="O1273" s="2"/>
      <c r="P1273" s="2"/>
      <c r="Q1273" s="2"/>
      <c r="R1273" s="2"/>
      <c r="S1273" s="2"/>
      <c r="T1273" s="2"/>
      <c r="U1273" s="2"/>
      <c r="V1273" s="2"/>
      <c r="W1273" s="2"/>
    </row>
    <row r="1274" spans="1:23" ht="75" customHeight="1" x14ac:dyDescent="0.15">
      <c r="A1274" s="2"/>
      <c r="B1274" s="2"/>
      <c r="C1274" s="2"/>
      <c r="D1274" s="2"/>
      <c r="E1274" s="2"/>
      <c r="F1274" s="2"/>
      <c r="G1274" s="2"/>
      <c r="H1274" s="2"/>
      <c r="I1274" s="2"/>
      <c r="J1274" s="2"/>
      <c r="K1274" s="2"/>
      <c r="L1274" s="2"/>
      <c r="M1274" s="2"/>
      <c r="N1274" s="2"/>
      <c r="O1274" s="2"/>
      <c r="P1274" s="2"/>
      <c r="Q1274" s="2"/>
      <c r="R1274" s="2"/>
      <c r="S1274" s="2"/>
      <c r="T1274" s="2"/>
      <c r="U1274" s="2"/>
      <c r="V1274" s="2"/>
      <c r="W1274" s="2"/>
    </row>
    <row r="1275" spans="1:23" ht="75" customHeight="1" x14ac:dyDescent="0.15">
      <c r="A1275" s="2"/>
      <c r="B1275" s="2"/>
      <c r="C1275" s="2"/>
      <c r="D1275" s="2"/>
      <c r="E1275" s="2"/>
      <c r="F1275" s="2"/>
      <c r="G1275" s="2"/>
      <c r="H1275" s="2"/>
      <c r="I1275" s="2"/>
      <c r="J1275" s="2"/>
      <c r="K1275" s="2"/>
      <c r="L1275" s="2"/>
      <c r="M1275" s="2"/>
      <c r="N1275" s="2"/>
      <c r="O1275" s="2"/>
      <c r="P1275" s="2"/>
      <c r="Q1275" s="2"/>
      <c r="R1275" s="2"/>
      <c r="S1275" s="2"/>
      <c r="T1275" s="2"/>
      <c r="U1275" s="2"/>
      <c r="V1275" s="2"/>
      <c r="W1275" s="2"/>
    </row>
    <row r="1276" spans="1:23" ht="75" customHeight="1" x14ac:dyDescent="0.15">
      <c r="A1276" s="2"/>
      <c r="B1276" s="2"/>
      <c r="C1276" s="2"/>
      <c r="D1276" s="2"/>
      <c r="E1276" s="2"/>
      <c r="F1276" s="2"/>
      <c r="G1276" s="2"/>
      <c r="H1276" s="2"/>
      <c r="I1276" s="2"/>
      <c r="J1276" s="2"/>
      <c r="K1276" s="2"/>
      <c r="L1276" s="2"/>
      <c r="M1276" s="2"/>
      <c r="N1276" s="2"/>
      <c r="O1276" s="2"/>
      <c r="P1276" s="2"/>
      <c r="Q1276" s="2"/>
      <c r="R1276" s="2"/>
      <c r="S1276" s="2"/>
      <c r="T1276" s="2"/>
      <c r="U1276" s="2"/>
      <c r="V1276" s="2"/>
      <c r="W1276" s="2"/>
    </row>
    <row r="1277" spans="1:23" ht="75" customHeight="1" x14ac:dyDescent="0.15">
      <c r="A1277" s="2"/>
      <c r="B1277" s="2"/>
      <c r="C1277" s="2"/>
      <c r="D1277" s="2"/>
      <c r="E1277" s="2"/>
      <c r="F1277" s="2"/>
      <c r="G1277" s="2"/>
      <c r="H1277" s="2"/>
      <c r="I1277" s="2"/>
      <c r="J1277" s="2"/>
      <c r="K1277" s="2"/>
      <c r="L1277" s="2"/>
      <c r="M1277" s="2"/>
      <c r="N1277" s="2"/>
      <c r="O1277" s="2"/>
      <c r="P1277" s="2"/>
      <c r="Q1277" s="2"/>
      <c r="R1277" s="2"/>
      <c r="S1277" s="2"/>
      <c r="T1277" s="2"/>
      <c r="U1277" s="2"/>
      <c r="V1277" s="2"/>
      <c r="W1277" s="2"/>
    </row>
    <row r="1278" spans="1:23" ht="75" customHeight="1" x14ac:dyDescent="0.15">
      <c r="A1278" s="2"/>
      <c r="B1278" s="2"/>
      <c r="C1278" s="2"/>
      <c r="D1278" s="2"/>
      <c r="E1278" s="2"/>
      <c r="F1278" s="2"/>
      <c r="G1278" s="2"/>
      <c r="H1278" s="2"/>
      <c r="I1278" s="2"/>
      <c r="J1278" s="2"/>
      <c r="K1278" s="2"/>
      <c r="L1278" s="2"/>
      <c r="M1278" s="2"/>
      <c r="N1278" s="2"/>
      <c r="O1278" s="2"/>
      <c r="P1278" s="2"/>
      <c r="Q1278" s="2"/>
      <c r="R1278" s="2"/>
      <c r="S1278" s="2"/>
      <c r="T1278" s="2"/>
      <c r="U1278" s="2"/>
      <c r="V1278" s="2"/>
      <c r="W1278" s="2"/>
    </row>
    <row r="1279" spans="1:23" ht="75" customHeight="1" x14ac:dyDescent="0.15">
      <c r="A1279" s="2"/>
      <c r="B1279" s="2"/>
      <c r="C1279" s="2"/>
      <c r="D1279" s="2"/>
      <c r="E1279" s="2"/>
      <c r="F1279" s="2"/>
      <c r="G1279" s="2"/>
      <c r="H1279" s="2"/>
      <c r="I1279" s="2"/>
      <c r="J1279" s="2"/>
      <c r="K1279" s="2"/>
      <c r="L1279" s="2"/>
      <c r="M1279" s="2"/>
      <c r="N1279" s="2"/>
      <c r="O1279" s="2"/>
      <c r="P1279" s="2"/>
      <c r="Q1279" s="2"/>
      <c r="R1279" s="2"/>
      <c r="S1279" s="2"/>
      <c r="T1279" s="2"/>
      <c r="U1279" s="2"/>
      <c r="V1279" s="2"/>
      <c r="W1279" s="2"/>
    </row>
    <row r="1280" spans="1:23" ht="75" customHeight="1" x14ac:dyDescent="0.15">
      <c r="A1280" s="2"/>
      <c r="B1280" s="2"/>
      <c r="C1280" s="2"/>
      <c r="D1280" s="2"/>
      <c r="E1280" s="2"/>
      <c r="F1280" s="2"/>
      <c r="G1280" s="2"/>
      <c r="H1280" s="2"/>
      <c r="I1280" s="2"/>
      <c r="J1280" s="2"/>
      <c r="K1280" s="2"/>
      <c r="L1280" s="2"/>
      <c r="M1280" s="2"/>
      <c r="N1280" s="2"/>
      <c r="O1280" s="2"/>
      <c r="P1280" s="2"/>
      <c r="Q1280" s="2"/>
      <c r="R1280" s="2"/>
      <c r="S1280" s="2"/>
      <c r="T1280" s="2"/>
      <c r="U1280" s="2"/>
      <c r="V1280" s="2"/>
      <c r="W1280" s="2"/>
    </row>
    <row r="1281" spans="1:23" ht="75" customHeight="1" x14ac:dyDescent="0.15">
      <c r="A1281" s="2"/>
      <c r="B1281" s="2"/>
      <c r="C1281" s="2"/>
      <c r="D1281" s="2"/>
      <c r="E1281" s="2"/>
      <c r="F1281" s="2"/>
      <c r="G1281" s="2"/>
      <c r="H1281" s="2"/>
      <c r="I1281" s="2"/>
      <c r="J1281" s="2"/>
      <c r="K1281" s="2"/>
      <c r="L1281" s="2"/>
      <c r="M1281" s="2"/>
      <c r="N1281" s="2"/>
      <c r="O1281" s="2"/>
      <c r="P1281" s="2"/>
      <c r="Q1281" s="2"/>
      <c r="R1281" s="2"/>
      <c r="S1281" s="2"/>
      <c r="T1281" s="2"/>
      <c r="U1281" s="2"/>
      <c r="V1281" s="2"/>
      <c r="W1281" s="2"/>
    </row>
    <row r="1282" spans="1:23" ht="75" customHeight="1" x14ac:dyDescent="0.15">
      <c r="A1282" s="2"/>
      <c r="B1282" s="2"/>
      <c r="C1282" s="2"/>
      <c r="D1282" s="2"/>
      <c r="E1282" s="2"/>
      <c r="F1282" s="2"/>
      <c r="G1282" s="2"/>
      <c r="H1282" s="2"/>
      <c r="I1282" s="2"/>
      <c r="J1282" s="2"/>
      <c r="K1282" s="2"/>
      <c r="L1282" s="2"/>
      <c r="M1282" s="2"/>
      <c r="N1282" s="2"/>
      <c r="O1282" s="2"/>
      <c r="P1282" s="2"/>
      <c r="Q1282" s="2"/>
      <c r="R1282" s="2"/>
      <c r="S1282" s="2"/>
      <c r="T1282" s="2"/>
      <c r="U1282" s="2"/>
      <c r="V1282" s="2"/>
      <c r="W1282" s="2"/>
    </row>
    <row r="1283" spans="1:23" ht="75" customHeight="1" x14ac:dyDescent="0.15">
      <c r="A1283" s="2"/>
      <c r="B1283" s="2"/>
      <c r="C1283" s="2"/>
      <c r="D1283" s="2"/>
      <c r="E1283" s="2"/>
      <c r="F1283" s="2"/>
      <c r="G1283" s="2"/>
      <c r="H1283" s="2"/>
      <c r="I1283" s="2"/>
      <c r="J1283" s="2"/>
      <c r="K1283" s="2"/>
      <c r="L1283" s="2"/>
      <c r="M1283" s="2"/>
      <c r="N1283" s="2"/>
      <c r="O1283" s="2"/>
      <c r="P1283" s="2"/>
      <c r="Q1283" s="2"/>
      <c r="R1283" s="2"/>
      <c r="S1283" s="2"/>
      <c r="T1283" s="2"/>
      <c r="U1283" s="2"/>
      <c r="V1283" s="2"/>
      <c r="W1283" s="2"/>
    </row>
    <row r="1284" spans="1:23" ht="75" customHeight="1" x14ac:dyDescent="0.15">
      <c r="A1284" s="2"/>
      <c r="B1284" s="2"/>
      <c r="C1284" s="2"/>
      <c r="D1284" s="2"/>
      <c r="E1284" s="2"/>
      <c r="F1284" s="2"/>
      <c r="G1284" s="2"/>
      <c r="H1284" s="2"/>
      <c r="I1284" s="2"/>
      <c r="J1284" s="2"/>
      <c r="K1284" s="2"/>
      <c r="L1284" s="2"/>
      <c r="M1284" s="2"/>
      <c r="N1284" s="2"/>
      <c r="O1284" s="2"/>
      <c r="P1284" s="2"/>
      <c r="Q1284" s="2"/>
      <c r="R1284" s="2"/>
      <c r="S1284" s="2"/>
      <c r="T1284" s="2"/>
      <c r="U1284" s="2"/>
      <c r="V1284" s="2"/>
      <c r="W1284" s="2"/>
    </row>
    <row r="1285" spans="1:23" ht="75" customHeight="1" x14ac:dyDescent="0.15">
      <c r="A1285" s="2"/>
      <c r="B1285" s="2"/>
      <c r="C1285" s="2"/>
      <c r="D1285" s="2"/>
      <c r="E1285" s="2"/>
      <c r="F1285" s="2"/>
      <c r="G1285" s="2"/>
      <c r="H1285" s="2"/>
      <c r="I1285" s="2"/>
      <c r="J1285" s="2"/>
      <c r="K1285" s="2"/>
      <c r="L1285" s="2"/>
      <c r="M1285" s="2"/>
      <c r="N1285" s="2"/>
      <c r="O1285" s="2"/>
      <c r="P1285" s="2"/>
      <c r="Q1285" s="2"/>
      <c r="R1285" s="2"/>
      <c r="S1285" s="2"/>
      <c r="T1285" s="2"/>
      <c r="U1285" s="2"/>
      <c r="V1285" s="2"/>
      <c r="W1285" s="2"/>
    </row>
    <row r="1286" spans="1:23" ht="75" customHeight="1" x14ac:dyDescent="0.15">
      <c r="A1286" s="2"/>
      <c r="B1286" s="2"/>
      <c r="C1286" s="2"/>
      <c r="D1286" s="2"/>
      <c r="E1286" s="2"/>
      <c r="F1286" s="2"/>
      <c r="G1286" s="2"/>
      <c r="H1286" s="2"/>
      <c r="I1286" s="2"/>
      <c r="J1286" s="2"/>
      <c r="K1286" s="2"/>
      <c r="L1286" s="2"/>
      <c r="M1286" s="2"/>
      <c r="N1286" s="2"/>
      <c r="O1286" s="2"/>
      <c r="P1286" s="2"/>
      <c r="Q1286" s="2"/>
      <c r="R1286" s="2"/>
      <c r="S1286" s="2"/>
      <c r="T1286" s="2"/>
      <c r="U1286" s="2"/>
      <c r="V1286" s="2"/>
      <c r="W1286" s="2"/>
    </row>
    <row r="1287" spans="1:23" ht="75" customHeight="1" x14ac:dyDescent="0.15">
      <c r="A1287" s="2"/>
      <c r="B1287" s="2"/>
      <c r="C1287" s="2"/>
      <c r="D1287" s="2"/>
      <c r="E1287" s="2"/>
      <c r="F1287" s="2"/>
      <c r="G1287" s="2"/>
      <c r="H1287" s="2"/>
      <c r="I1287" s="2"/>
      <c r="J1287" s="2"/>
      <c r="K1287" s="2"/>
      <c r="L1287" s="2"/>
      <c r="M1287" s="2"/>
      <c r="N1287" s="2"/>
      <c r="O1287" s="2"/>
      <c r="P1287" s="2"/>
      <c r="Q1287" s="2"/>
      <c r="R1287" s="2"/>
      <c r="S1287" s="2"/>
      <c r="T1287" s="2"/>
      <c r="U1287" s="2"/>
      <c r="V1287" s="2"/>
      <c r="W1287" s="2"/>
    </row>
    <row r="1288" spans="1:23" ht="75" customHeight="1" x14ac:dyDescent="0.15">
      <c r="A1288" s="2"/>
      <c r="B1288" s="2"/>
      <c r="C1288" s="2"/>
      <c r="D1288" s="2"/>
      <c r="E1288" s="2"/>
      <c r="F1288" s="2"/>
      <c r="G1288" s="2"/>
      <c r="H1288" s="2"/>
      <c r="I1288" s="2"/>
      <c r="J1288" s="2"/>
      <c r="K1288" s="2"/>
      <c r="L1288" s="2"/>
      <c r="M1288" s="2"/>
      <c r="N1288" s="2"/>
      <c r="O1288" s="2"/>
      <c r="P1288" s="2"/>
      <c r="Q1288" s="2"/>
      <c r="R1288" s="2"/>
      <c r="S1288" s="2"/>
      <c r="T1288" s="2"/>
      <c r="U1288" s="2"/>
      <c r="V1288" s="2"/>
      <c r="W1288" s="2"/>
    </row>
    <row r="1289" spans="1:23" ht="75" customHeight="1" x14ac:dyDescent="0.15">
      <c r="A1289" s="2"/>
      <c r="B1289" s="2"/>
      <c r="C1289" s="2"/>
      <c r="D1289" s="2"/>
      <c r="E1289" s="2"/>
      <c r="F1289" s="2"/>
      <c r="G1289" s="2"/>
      <c r="H1289" s="2"/>
      <c r="I1289" s="2"/>
      <c r="J1289" s="2"/>
      <c r="K1289" s="2"/>
      <c r="L1289" s="2"/>
      <c r="M1289" s="2"/>
      <c r="N1289" s="2"/>
      <c r="O1289" s="2"/>
      <c r="P1289" s="2"/>
      <c r="Q1289" s="2"/>
      <c r="R1289" s="2"/>
      <c r="S1289" s="2"/>
      <c r="T1289" s="2"/>
      <c r="U1289" s="2"/>
      <c r="V1289" s="2"/>
      <c r="W1289" s="2"/>
    </row>
    <row r="1290" spans="1:23" ht="75" customHeight="1" x14ac:dyDescent="0.15">
      <c r="A1290" s="2"/>
      <c r="B1290" s="2"/>
      <c r="C1290" s="2"/>
      <c r="D1290" s="2"/>
      <c r="E1290" s="2"/>
      <c r="F1290" s="2"/>
      <c r="G1290" s="2"/>
      <c r="H1290" s="2"/>
      <c r="I1290" s="2"/>
      <c r="J1290" s="2"/>
      <c r="K1290" s="2"/>
      <c r="L1290" s="2"/>
      <c r="M1290" s="2"/>
      <c r="N1290" s="2"/>
      <c r="O1290" s="2"/>
      <c r="P1290" s="2"/>
      <c r="Q1290" s="2"/>
      <c r="R1290" s="2"/>
      <c r="S1290" s="2"/>
      <c r="T1290" s="2"/>
      <c r="U1290" s="2"/>
      <c r="V1290" s="2"/>
      <c r="W1290" s="2"/>
    </row>
    <row r="1291" spans="1:23" ht="75" customHeight="1" x14ac:dyDescent="0.15">
      <c r="A1291" s="2"/>
      <c r="B1291" s="2"/>
      <c r="C1291" s="2"/>
      <c r="D1291" s="2"/>
      <c r="E1291" s="2"/>
      <c r="F1291" s="2"/>
      <c r="G1291" s="2"/>
      <c r="H1291" s="2"/>
      <c r="I1291" s="2"/>
      <c r="J1291" s="2"/>
      <c r="K1291" s="2"/>
      <c r="L1291" s="2"/>
      <c r="M1291" s="2"/>
      <c r="N1291" s="2"/>
      <c r="O1291" s="2"/>
      <c r="P1291" s="2"/>
      <c r="Q1291" s="2"/>
      <c r="R1291" s="2"/>
      <c r="S1291" s="2"/>
      <c r="T1291" s="2"/>
      <c r="U1291" s="2"/>
      <c r="V1291" s="2"/>
      <c r="W1291" s="2"/>
    </row>
    <row r="1292" spans="1:23" ht="75" customHeight="1" x14ac:dyDescent="0.15">
      <c r="A1292" s="2"/>
      <c r="B1292" s="2"/>
      <c r="C1292" s="2"/>
      <c r="D1292" s="2"/>
      <c r="E1292" s="2"/>
      <c r="F1292" s="2"/>
      <c r="G1292" s="2"/>
      <c r="H1292" s="2"/>
      <c r="I1292" s="2"/>
      <c r="J1292" s="2"/>
      <c r="K1292" s="2"/>
      <c r="L1292" s="2"/>
      <c r="M1292" s="2"/>
      <c r="N1292" s="2"/>
      <c r="O1292" s="2"/>
      <c r="P1292" s="2"/>
      <c r="Q1292" s="2"/>
      <c r="R1292" s="2"/>
      <c r="S1292" s="2"/>
      <c r="T1292" s="2"/>
      <c r="U1292" s="2"/>
      <c r="V1292" s="2"/>
      <c r="W1292" s="2"/>
    </row>
    <row r="1293" spans="1:23" ht="75" customHeight="1" x14ac:dyDescent="0.15">
      <c r="A1293" s="2"/>
      <c r="B1293" s="2"/>
      <c r="C1293" s="2"/>
      <c r="D1293" s="2"/>
      <c r="E1293" s="2"/>
      <c r="F1293" s="2"/>
      <c r="G1293" s="2"/>
      <c r="H1293" s="2"/>
      <c r="I1293" s="2"/>
      <c r="J1293" s="2"/>
      <c r="K1293" s="2"/>
      <c r="L1293" s="2"/>
      <c r="M1293" s="2"/>
      <c r="N1293" s="2"/>
      <c r="O1293" s="2"/>
      <c r="P1293" s="2"/>
      <c r="Q1293" s="2"/>
      <c r="R1293" s="2"/>
      <c r="S1293" s="2"/>
      <c r="T1293" s="2"/>
      <c r="U1293" s="2"/>
      <c r="V1293" s="2"/>
      <c r="W1293" s="2"/>
    </row>
    <row r="1294" spans="1:23" ht="75" customHeight="1" x14ac:dyDescent="0.15">
      <c r="A1294" s="2"/>
      <c r="B1294" s="2"/>
      <c r="C1294" s="2"/>
      <c r="D1294" s="2"/>
      <c r="E1294" s="2"/>
      <c r="F1294" s="2"/>
      <c r="G1294" s="2"/>
      <c r="H1294" s="2"/>
      <c r="I1294" s="2"/>
      <c r="J1294" s="2"/>
      <c r="K1294" s="2"/>
      <c r="L1294" s="2"/>
      <c r="M1294" s="2"/>
      <c r="N1294" s="2"/>
      <c r="O1294" s="2"/>
      <c r="P1294" s="2"/>
      <c r="Q1294" s="2"/>
      <c r="R1294" s="2"/>
      <c r="S1294" s="2"/>
      <c r="T1294" s="2"/>
      <c r="U1294" s="2"/>
      <c r="V1294" s="2"/>
      <c r="W1294" s="2"/>
    </row>
    <row r="1295" spans="1:23" ht="75" customHeight="1" x14ac:dyDescent="0.15">
      <c r="A1295" s="2"/>
      <c r="B1295" s="2"/>
      <c r="C1295" s="2"/>
      <c r="D1295" s="2"/>
      <c r="E1295" s="2"/>
      <c r="F1295" s="2"/>
      <c r="G1295" s="2"/>
      <c r="H1295" s="2"/>
      <c r="I1295" s="2"/>
      <c r="J1295" s="2"/>
      <c r="K1295" s="2"/>
      <c r="L1295" s="2"/>
      <c r="M1295" s="2"/>
      <c r="N1295" s="2"/>
      <c r="O1295" s="2"/>
      <c r="P1295" s="2"/>
      <c r="Q1295" s="2"/>
      <c r="R1295" s="2"/>
      <c r="S1295" s="2"/>
      <c r="T1295" s="2"/>
      <c r="U1295" s="2"/>
      <c r="V1295" s="2"/>
      <c r="W1295" s="2"/>
    </row>
    <row r="1296" spans="1:23" ht="75" customHeight="1" x14ac:dyDescent="0.15">
      <c r="A1296" s="2"/>
      <c r="B1296" s="2"/>
      <c r="C1296" s="2"/>
      <c r="D1296" s="2"/>
      <c r="E1296" s="2"/>
      <c r="F1296" s="2"/>
      <c r="G1296" s="2"/>
      <c r="H1296" s="2"/>
      <c r="I1296" s="2"/>
      <c r="J1296" s="2"/>
      <c r="K1296" s="2"/>
      <c r="L1296" s="2"/>
      <c r="M1296" s="2"/>
      <c r="N1296" s="2"/>
      <c r="O1296" s="2"/>
      <c r="P1296" s="2"/>
      <c r="Q1296" s="2"/>
      <c r="R1296" s="2"/>
      <c r="S1296" s="2"/>
      <c r="T1296" s="2"/>
      <c r="U1296" s="2"/>
      <c r="V1296" s="2"/>
      <c r="W1296" s="2"/>
    </row>
    <row r="1297" spans="1:23" ht="75" customHeight="1" x14ac:dyDescent="0.15">
      <c r="A1297" s="2"/>
      <c r="B1297" s="2"/>
      <c r="C1297" s="2"/>
      <c r="D1297" s="2"/>
      <c r="E1297" s="2"/>
      <c r="F1297" s="2"/>
      <c r="G1297" s="2"/>
      <c r="H1297" s="2"/>
      <c r="I1297" s="2"/>
      <c r="J1297" s="2"/>
      <c r="K1297" s="2"/>
      <c r="L1297" s="2"/>
      <c r="M1297" s="2"/>
      <c r="N1297" s="2"/>
      <c r="O1297" s="2"/>
      <c r="P1297" s="2"/>
      <c r="Q1297" s="2"/>
      <c r="R1297" s="2"/>
      <c r="S1297" s="2"/>
      <c r="T1297" s="2"/>
      <c r="U1297" s="2"/>
      <c r="V1297" s="2"/>
      <c r="W1297" s="2"/>
    </row>
    <row r="1298" spans="1:23" ht="75" customHeight="1" x14ac:dyDescent="0.15">
      <c r="A1298" s="2"/>
      <c r="B1298" s="2"/>
      <c r="C1298" s="2"/>
      <c r="D1298" s="2"/>
      <c r="E1298" s="2"/>
      <c r="F1298" s="2"/>
      <c r="G1298" s="2"/>
      <c r="H1298" s="2"/>
      <c r="I1298" s="2"/>
      <c r="J1298" s="2"/>
      <c r="K1298" s="2"/>
      <c r="L1298" s="2"/>
      <c r="M1298" s="2"/>
      <c r="N1298" s="2"/>
      <c r="O1298" s="2"/>
      <c r="P1298" s="2"/>
      <c r="Q1298" s="2"/>
      <c r="R1298" s="2"/>
      <c r="S1298" s="2"/>
      <c r="T1298" s="2"/>
      <c r="U1298" s="2"/>
      <c r="V1298" s="2"/>
      <c r="W1298" s="2"/>
    </row>
    <row r="1299" spans="1:23" ht="75" customHeight="1" x14ac:dyDescent="0.15">
      <c r="A1299" s="2"/>
      <c r="B1299" s="2"/>
      <c r="C1299" s="2"/>
      <c r="D1299" s="2"/>
      <c r="E1299" s="2"/>
      <c r="F1299" s="2"/>
      <c r="G1299" s="2"/>
      <c r="H1299" s="2"/>
      <c r="I1299" s="2"/>
      <c r="J1299" s="2"/>
      <c r="K1299" s="2"/>
      <c r="L1299" s="2"/>
      <c r="M1299" s="2"/>
      <c r="N1299" s="2"/>
      <c r="O1299" s="2"/>
      <c r="P1299" s="2"/>
      <c r="Q1299" s="2"/>
      <c r="R1299" s="2"/>
      <c r="S1299" s="2"/>
      <c r="T1299" s="2"/>
      <c r="U1299" s="2"/>
      <c r="V1299" s="2"/>
      <c r="W1299" s="2"/>
    </row>
    <row r="1300" spans="1:23" ht="75" customHeight="1" x14ac:dyDescent="0.15">
      <c r="A1300" s="2"/>
      <c r="B1300" s="2"/>
      <c r="C1300" s="2"/>
      <c r="D1300" s="2"/>
      <c r="E1300" s="2"/>
      <c r="F1300" s="2"/>
      <c r="G1300" s="2"/>
      <c r="H1300" s="2"/>
      <c r="I1300" s="2"/>
      <c r="J1300" s="2"/>
      <c r="K1300" s="2"/>
      <c r="L1300" s="2"/>
      <c r="M1300" s="2"/>
      <c r="N1300" s="2"/>
      <c r="O1300" s="2"/>
      <c r="P1300" s="2"/>
      <c r="Q1300" s="2"/>
      <c r="R1300" s="2"/>
      <c r="S1300" s="2"/>
      <c r="T1300" s="2"/>
      <c r="U1300" s="2"/>
      <c r="V1300" s="2"/>
      <c r="W1300" s="2"/>
    </row>
    <row r="1301" spans="1:23" ht="75" customHeight="1" x14ac:dyDescent="0.15">
      <c r="A1301" s="2"/>
      <c r="B1301" s="2"/>
      <c r="C1301" s="2"/>
      <c r="D1301" s="2"/>
      <c r="E1301" s="2"/>
      <c r="F1301" s="2"/>
      <c r="G1301" s="2"/>
      <c r="H1301" s="2"/>
      <c r="I1301" s="2"/>
      <c r="J1301" s="2"/>
      <c r="K1301" s="2"/>
      <c r="L1301" s="2"/>
      <c r="M1301" s="2"/>
      <c r="N1301" s="2"/>
      <c r="O1301" s="2"/>
      <c r="P1301" s="2"/>
      <c r="Q1301" s="2"/>
      <c r="R1301" s="2"/>
      <c r="S1301" s="2"/>
      <c r="T1301" s="2"/>
      <c r="U1301" s="2"/>
      <c r="V1301" s="2"/>
      <c r="W1301" s="2"/>
    </row>
    <row r="1302" spans="1:23" ht="75" customHeight="1" x14ac:dyDescent="0.15">
      <c r="A1302" s="2"/>
      <c r="B1302" s="2"/>
      <c r="C1302" s="2"/>
      <c r="D1302" s="2"/>
      <c r="E1302" s="2"/>
      <c r="F1302" s="2"/>
      <c r="G1302" s="2"/>
      <c r="H1302" s="2"/>
      <c r="I1302" s="2"/>
      <c r="J1302" s="2"/>
      <c r="K1302" s="2"/>
      <c r="L1302" s="2"/>
      <c r="M1302" s="2"/>
      <c r="N1302" s="2"/>
      <c r="O1302" s="2"/>
      <c r="P1302" s="2"/>
      <c r="Q1302" s="2"/>
      <c r="R1302" s="2"/>
      <c r="S1302" s="2"/>
      <c r="T1302" s="2"/>
      <c r="U1302" s="2"/>
      <c r="V1302" s="2"/>
      <c r="W1302" s="2"/>
    </row>
    <row r="1303" spans="1:23" ht="75" customHeight="1" x14ac:dyDescent="0.15">
      <c r="A1303" s="2"/>
      <c r="B1303" s="2"/>
      <c r="C1303" s="2"/>
      <c r="D1303" s="2"/>
      <c r="E1303" s="2"/>
      <c r="F1303" s="2"/>
      <c r="G1303" s="2"/>
      <c r="H1303" s="2"/>
      <c r="I1303" s="2"/>
      <c r="J1303" s="2"/>
      <c r="K1303" s="2"/>
      <c r="L1303" s="2"/>
      <c r="M1303" s="2"/>
      <c r="N1303" s="2"/>
      <c r="O1303" s="2"/>
      <c r="P1303" s="2"/>
      <c r="Q1303" s="2"/>
      <c r="R1303" s="2"/>
      <c r="S1303" s="2"/>
      <c r="T1303" s="2"/>
      <c r="U1303" s="2"/>
      <c r="V1303" s="2"/>
      <c r="W1303" s="2"/>
    </row>
    <row r="1304" spans="1:23" ht="75" customHeight="1" x14ac:dyDescent="0.15">
      <c r="A1304" s="2"/>
      <c r="B1304" s="2"/>
      <c r="C1304" s="2"/>
      <c r="D1304" s="2"/>
      <c r="E1304" s="2"/>
      <c r="F1304" s="2"/>
      <c r="G1304" s="2"/>
      <c r="H1304" s="2"/>
      <c r="I1304" s="2"/>
      <c r="J1304" s="2"/>
      <c r="K1304" s="2"/>
      <c r="L1304" s="2"/>
      <c r="M1304" s="2"/>
      <c r="N1304" s="2"/>
      <c r="O1304" s="2"/>
      <c r="P1304" s="2"/>
      <c r="Q1304" s="2"/>
      <c r="R1304" s="2"/>
      <c r="S1304" s="2"/>
      <c r="T1304" s="2"/>
      <c r="U1304" s="2"/>
      <c r="V1304" s="2"/>
      <c r="W1304" s="2"/>
    </row>
    <row r="1305" spans="1:23" ht="75" customHeight="1" x14ac:dyDescent="0.15">
      <c r="A1305" s="2"/>
      <c r="B1305" s="2"/>
      <c r="C1305" s="2"/>
      <c r="D1305" s="2"/>
      <c r="E1305" s="2"/>
      <c r="F1305" s="2"/>
      <c r="G1305" s="2"/>
      <c r="H1305" s="2"/>
      <c r="I1305" s="2"/>
      <c r="J1305" s="2"/>
      <c r="K1305" s="2"/>
      <c r="L1305" s="2"/>
      <c r="M1305" s="2"/>
      <c r="N1305" s="2"/>
      <c r="O1305" s="2"/>
      <c r="P1305" s="2"/>
      <c r="Q1305" s="2"/>
      <c r="R1305" s="2"/>
      <c r="S1305" s="2"/>
      <c r="T1305" s="2"/>
      <c r="U1305" s="2"/>
      <c r="V1305" s="2"/>
      <c r="W1305" s="2"/>
    </row>
    <row r="1306" spans="1:23" ht="75" customHeight="1" x14ac:dyDescent="0.15">
      <c r="A1306" s="2"/>
      <c r="B1306" s="2"/>
      <c r="C1306" s="2"/>
      <c r="D1306" s="2"/>
      <c r="E1306" s="2"/>
      <c r="F1306" s="2"/>
      <c r="G1306" s="2"/>
      <c r="H1306" s="2"/>
      <c r="I1306" s="2"/>
      <c r="J1306" s="2"/>
      <c r="K1306" s="2"/>
      <c r="L1306" s="2"/>
      <c r="M1306" s="2"/>
      <c r="N1306" s="2"/>
      <c r="O1306" s="2"/>
      <c r="P1306" s="2"/>
      <c r="Q1306" s="2"/>
      <c r="R1306" s="2"/>
      <c r="S1306" s="2"/>
      <c r="T1306" s="2"/>
      <c r="U1306" s="2"/>
      <c r="V1306" s="2"/>
      <c r="W1306" s="2"/>
    </row>
    <row r="1307" spans="1:23" ht="75" customHeight="1" x14ac:dyDescent="0.15">
      <c r="A1307" s="2"/>
      <c r="B1307" s="2"/>
      <c r="C1307" s="2"/>
      <c r="D1307" s="2"/>
      <c r="E1307" s="2"/>
      <c r="F1307" s="2"/>
      <c r="G1307" s="2"/>
      <c r="H1307" s="2"/>
      <c r="I1307" s="2"/>
      <c r="J1307" s="2"/>
      <c r="K1307" s="2"/>
      <c r="L1307" s="2"/>
      <c r="M1307" s="2"/>
      <c r="N1307" s="2"/>
      <c r="O1307" s="2"/>
      <c r="P1307" s="2"/>
      <c r="Q1307" s="2"/>
      <c r="R1307" s="2"/>
      <c r="S1307" s="2"/>
      <c r="T1307" s="2"/>
      <c r="U1307" s="2"/>
      <c r="V1307" s="2"/>
      <c r="W1307" s="2"/>
    </row>
    <row r="1308" spans="1:23" ht="75" customHeight="1" x14ac:dyDescent="0.15">
      <c r="A1308" s="2"/>
      <c r="B1308" s="2"/>
      <c r="C1308" s="2"/>
      <c r="D1308" s="2"/>
      <c r="E1308" s="2"/>
      <c r="F1308" s="2"/>
      <c r="G1308" s="2"/>
      <c r="H1308" s="2"/>
      <c r="I1308" s="2"/>
      <c r="J1308" s="2"/>
      <c r="K1308" s="2"/>
      <c r="L1308" s="2"/>
      <c r="M1308" s="2"/>
      <c r="N1308" s="2"/>
      <c r="O1308" s="2"/>
      <c r="P1308" s="2"/>
      <c r="Q1308" s="2"/>
      <c r="R1308" s="2"/>
      <c r="S1308" s="2"/>
      <c r="T1308" s="2"/>
      <c r="U1308" s="2"/>
      <c r="V1308" s="2"/>
      <c r="W1308" s="2"/>
    </row>
    <row r="1309" spans="1:23" ht="75" customHeight="1" x14ac:dyDescent="0.15">
      <c r="A1309" s="2"/>
      <c r="B1309" s="2"/>
      <c r="C1309" s="2"/>
      <c r="D1309" s="2"/>
      <c r="E1309" s="2"/>
      <c r="F1309" s="2"/>
      <c r="G1309" s="2"/>
      <c r="H1309" s="2"/>
      <c r="I1309" s="2"/>
      <c r="J1309" s="2"/>
      <c r="K1309" s="2"/>
      <c r="L1309" s="2"/>
      <c r="M1309" s="2"/>
      <c r="N1309" s="2"/>
      <c r="O1309" s="2"/>
      <c r="P1309" s="2"/>
      <c r="Q1309" s="2"/>
      <c r="R1309" s="2"/>
      <c r="S1309" s="2"/>
      <c r="T1309" s="2"/>
      <c r="U1309" s="2"/>
      <c r="V1309" s="2"/>
      <c r="W1309" s="2"/>
    </row>
    <row r="1310" spans="1:23" ht="75" customHeight="1" x14ac:dyDescent="0.15">
      <c r="A1310" s="2"/>
      <c r="B1310" s="2"/>
      <c r="C1310" s="2"/>
      <c r="D1310" s="2"/>
      <c r="E1310" s="2"/>
      <c r="F1310" s="2"/>
      <c r="G1310" s="2"/>
      <c r="H1310" s="2"/>
      <c r="I1310" s="2"/>
      <c r="J1310" s="2"/>
      <c r="K1310" s="2"/>
      <c r="L1310" s="2"/>
      <c r="M1310" s="2"/>
      <c r="N1310" s="2"/>
      <c r="O1310" s="2"/>
      <c r="P1310" s="2"/>
      <c r="Q1310" s="2"/>
      <c r="R1310" s="2"/>
      <c r="S1310" s="2"/>
      <c r="T1310" s="2"/>
      <c r="U1310" s="2"/>
      <c r="V1310" s="2"/>
      <c r="W1310" s="2"/>
    </row>
    <row r="1311" spans="1:23" ht="75" customHeight="1" x14ac:dyDescent="0.15">
      <c r="A1311" s="2"/>
      <c r="B1311" s="2"/>
      <c r="C1311" s="2"/>
      <c r="D1311" s="2"/>
      <c r="E1311" s="2"/>
      <c r="F1311" s="2"/>
      <c r="G1311" s="2"/>
      <c r="H1311" s="2"/>
      <c r="I1311" s="2"/>
      <c r="J1311" s="2"/>
      <c r="K1311" s="2"/>
      <c r="L1311" s="2"/>
      <c r="M1311" s="2"/>
      <c r="N1311" s="2"/>
      <c r="O1311" s="2"/>
      <c r="P1311" s="2"/>
      <c r="Q1311" s="2"/>
      <c r="R1311" s="2"/>
      <c r="S1311" s="2"/>
      <c r="T1311" s="2"/>
      <c r="U1311" s="2"/>
      <c r="V1311" s="2"/>
      <c r="W1311" s="2"/>
    </row>
    <row r="1312" spans="1:23" ht="75" customHeight="1" x14ac:dyDescent="0.15">
      <c r="A1312" s="2"/>
      <c r="B1312" s="2"/>
      <c r="C1312" s="2"/>
      <c r="D1312" s="2"/>
      <c r="E1312" s="2"/>
      <c r="F1312" s="2"/>
      <c r="G1312" s="2"/>
      <c r="H1312" s="2"/>
      <c r="I1312" s="2"/>
      <c r="J1312" s="2"/>
      <c r="K1312" s="2"/>
      <c r="L1312" s="2"/>
      <c r="M1312" s="2"/>
      <c r="N1312" s="2"/>
      <c r="O1312" s="2"/>
      <c r="P1312" s="2"/>
      <c r="Q1312" s="2"/>
      <c r="R1312" s="2"/>
      <c r="S1312" s="2"/>
      <c r="T1312" s="2"/>
      <c r="U1312" s="2"/>
      <c r="V1312" s="2"/>
      <c r="W1312" s="2"/>
    </row>
    <row r="1313" spans="1:23" ht="75" customHeight="1" x14ac:dyDescent="0.15">
      <c r="A1313" s="2"/>
      <c r="B1313" s="2"/>
      <c r="C1313" s="2"/>
      <c r="D1313" s="2"/>
      <c r="E1313" s="2"/>
      <c r="F1313" s="2"/>
      <c r="G1313" s="2"/>
      <c r="H1313" s="2"/>
      <c r="I1313" s="2"/>
      <c r="J1313" s="2"/>
      <c r="K1313" s="2"/>
      <c r="L1313" s="2"/>
      <c r="M1313" s="2"/>
      <c r="N1313" s="2"/>
      <c r="O1313" s="2"/>
      <c r="P1313" s="2"/>
      <c r="Q1313" s="2"/>
      <c r="R1313" s="2"/>
      <c r="S1313" s="2"/>
      <c r="T1313" s="2"/>
      <c r="U1313" s="2"/>
      <c r="V1313" s="2"/>
      <c r="W1313" s="2"/>
    </row>
    <row r="1314" spans="1:23" ht="75" customHeight="1" x14ac:dyDescent="0.15">
      <c r="A1314" s="2"/>
      <c r="B1314" s="2"/>
      <c r="C1314" s="2"/>
      <c r="D1314" s="2"/>
      <c r="E1314" s="2"/>
      <c r="F1314" s="2"/>
      <c r="G1314" s="2"/>
      <c r="H1314" s="2"/>
      <c r="I1314" s="2"/>
      <c r="J1314" s="2"/>
      <c r="K1314" s="2"/>
      <c r="L1314" s="2"/>
      <c r="M1314" s="2"/>
      <c r="N1314" s="2"/>
      <c r="O1314" s="2"/>
      <c r="P1314" s="2"/>
      <c r="Q1314" s="2"/>
      <c r="R1314" s="2"/>
      <c r="S1314" s="2"/>
      <c r="T1314" s="2"/>
      <c r="U1314" s="2"/>
      <c r="V1314" s="2"/>
      <c r="W1314" s="2"/>
    </row>
    <row r="1315" spans="1:23" ht="75" customHeight="1" x14ac:dyDescent="0.15">
      <c r="A1315" s="2"/>
      <c r="B1315" s="2"/>
      <c r="C1315" s="2"/>
      <c r="D1315" s="2"/>
      <c r="E1315" s="2"/>
      <c r="F1315" s="2"/>
      <c r="G1315" s="2"/>
      <c r="H1315" s="2"/>
      <c r="I1315" s="2"/>
      <c r="J1315" s="2"/>
      <c r="K1315" s="2"/>
      <c r="L1315" s="2"/>
      <c r="M1315" s="2"/>
      <c r="N1315" s="2"/>
      <c r="O1315" s="2"/>
      <c r="P1315" s="2"/>
      <c r="Q1315" s="2"/>
      <c r="R1315" s="2"/>
      <c r="S1315" s="2"/>
      <c r="T1315" s="2"/>
      <c r="U1315" s="2"/>
      <c r="V1315" s="2"/>
      <c r="W1315" s="2"/>
    </row>
    <row r="1316" spans="1:23" ht="75" customHeight="1" x14ac:dyDescent="0.15">
      <c r="A1316" s="2"/>
      <c r="B1316" s="2"/>
      <c r="C1316" s="2"/>
      <c r="D1316" s="2"/>
      <c r="E1316" s="2"/>
      <c r="F1316" s="2"/>
      <c r="G1316" s="2"/>
      <c r="H1316" s="2"/>
      <c r="I1316" s="2"/>
      <c r="J1316" s="2"/>
      <c r="K1316" s="2"/>
      <c r="L1316" s="2"/>
      <c r="M1316" s="2"/>
      <c r="N1316" s="2"/>
      <c r="O1316" s="2"/>
      <c r="P1316" s="2"/>
      <c r="Q1316" s="2"/>
      <c r="R1316" s="2"/>
      <c r="S1316" s="2"/>
      <c r="T1316" s="2"/>
      <c r="U1316" s="2"/>
      <c r="V1316" s="2"/>
      <c r="W1316" s="2"/>
    </row>
    <row r="1317" spans="1:23" ht="75" customHeight="1" x14ac:dyDescent="0.15">
      <c r="A1317" s="2"/>
      <c r="B1317" s="2"/>
      <c r="C1317" s="2"/>
      <c r="D1317" s="2"/>
      <c r="E1317" s="2"/>
      <c r="F1317" s="2"/>
      <c r="G1317" s="2"/>
      <c r="H1317" s="2"/>
      <c r="I1317" s="2"/>
      <c r="J1317" s="2"/>
      <c r="K1317" s="2"/>
      <c r="L1317" s="2"/>
      <c r="M1317" s="2"/>
      <c r="N1317" s="2"/>
      <c r="O1317" s="2"/>
      <c r="P1317" s="2"/>
      <c r="Q1317" s="2"/>
      <c r="R1317" s="2"/>
      <c r="S1317" s="2"/>
      <c r="T1317" s="2"/>
      <c r="U1317" s="2"/>
      <c r="V1317" s="2"/>
      <c r="W1317" s="2"/>
    </row>
    <row r="1318" spans="1:23" ht="75" customHeight="1" x14ac:dyDescent="0.15">
      <c r="A1318" s="2"/>
      <c r="B1318" s="2"/>
      <c r="C1318" s="2"/>
      <c r="D1318" s="2"/>
      <c r="E1318" s="2"/>
      <c r="F1318" s="2"/>
      <c r="G1318" s="2"/>
      <c r="H1318" s="2"/>
      <c r="I1318" s="2"/>
      <c r="J1318" s="2"/>
      <c r="K1318" s="2"/>
      <c r="L1318" s="2"/>
      <c r="M1318" s="2"/>
      <c r="N1318" s="2"/>
      <c r="O1318" s="2"/>
      <c r="P1318" s="2"/>
      <c r="Q1318" s="2"/>
      <c r="R1318" s="2"/>
      <c r="S1318" s="2"/>
      <c r="T1318" s="2"/>
      <c r="U1318" s="2"/>
      <c r="V1318" s="2"/>
      <c r="W1318" s="2"/>
    </row>
    <row r="1319" spans="1:23" ht="75" customHeight="1" x14ac:dyDescent="0.15">
      <c r="A1319" s="2"/>
      <c r="B1319" s="2"/>
      <c r="C1319" s="2"/>
      <c r="D1319" s="2"/>
      <c r="E1319" s="2"/>
      <c r="F1319" s="2"/>
      <c r="G1319" s="2"/>
      <c r="H1319" s="2"/>
      <c r="I1319" s="2"/>
      <c r="J1319" s="2"/>
      <c r="K1319" s="2"/>
      <c r="L1319" s="2"/>
      <c r="M1319" s="2"/>
      <c r="N1319" s="2"/>
      <c r="O1319" s="2"/>
      <c r="P1319" s="2"/>
      <c r="Q1319" s="2"/>
      <c r="R1319" s="2"/>
      <c r="S1319" s="2"/>
      <c r="T1319" s="2"/>
      <c r="U1319" s="2"/>
      <c r="V1319" s="2"/>
      <c r="W1319" s="2"/>
    </row>
    <row r="1320" spans="1:23" ht="75" customHeight="1" x14ac:dyDescent="0.15">
      <c r="A1320" s="2"/>
      <c r="B1320" s="2"/>
      <c r="C1320" s="2"/>
      <c r="D1320" s="2"/>
      <c r="E1320" s="2"/>
      <c r="F1320" s="2"/>
      <c r="G1320" s="2"/>
      <c r="H1320" s="2"/>
      <c r="I1320" s="2"/>
      <c r="J1320" s="2"/>
      <c r="K1320" s="2"/>
      <c r="L1320" s="2"/>
      <c r="M1320" s="2"/>
      <c r="N1320" s="2"/>
      <c r="O1320" s="2"/>
      <c r="P1320" s="2"/>
      <c r="Q1320" s="2"/>
      <c r="R1320" s="2"/>
      <c r="S1320" s="2"/>
      <c r="T1320" s="2"/>
      <c r="U1320" s="2"/>
      <c r="V1320" s="2"/>
      <c r="W1320" s="2"/>
    </row>
    <row r="1321" spans="1:23" ht="75" customHeight="1" x14ac:dyDescent="0.15">
      <c r="A1321" s="2"/>
      <c r="B1321" s="2"/>
      <c r="C1321" s="2"/>
      <c r="D1321" s="2"/>
      <c r="E1321" s="2"/>
      <c r="F1321" s="2"/>
      <c r="G1321" s="2"/>
      <c r="H1321" s="2"/>
      <c r="I1321" s="2"/>
      <c r="J1321" s="2"/>
      <c r="K1321" s="2"/>
      <c r="L1321" s="2"/>
      <c r="M1321" s="2"/>
      <c r="N1321" s="2"/>
      <c r="O1321" s="2"/>
      <c r="P1321" s="2"/>
      <c r="Q1321" s="2"/>
      <c r="R1321" s="2"/>
      <c r="S1321" s="2"/>
      <c r="T1321" s="2"/>
      <c r="U1321" s="2"/>
      <c r="V1321" s="2"/>
      <c r="W1321" s="2"/>
    </row>
    <row r="1322" spans="1:23" ht="75" customHeight="1" x14ac:dyDescent="0.15">
      <c r="A1322" s="2"/>
      <c r="B1322" s="2"/>
      <c r="C1322" s="2"/>
      <c r="D1322" s="2"/>
      <c r="E1322" s="2"/>
      <c r="F1322" s="2"/>
      <c r="G1322" s="2"/>
      <c r="H1322" s="2"/>
      <c r="I1322" s="2"/>
      <c r="J1322" s="2"/>
      <c r="K1322" s="2"/>
      <c r="L1322" s="2"/>
      <c r="M1322" s="2"/>
      <c r="N1322" s="2"/>
      <c r="O1322" s="2"/>
      <c r="P1322" s="2"/>
      <c r="Q1322" s="2"/>
      <c r="R1322" s="2"/>
      <c r="S1322" s="2"/>
      <c r="T1322" s="2"/>
      <c r="U1322" s="2"/>
      <c r="V1322" s="2"/>
      <c r="W1322" s="2"/>
    </row>
    <row r="1323" spans="1:23" ht="75" customHeight="1" x14ac:dyDescent="0.15">
      <c r="A1323" s="2"/>
      <c r="B1323" s="2"/>
      <c r="C1323" s="2"/>
      <c r="D1323" s="2"/>
      <c r="E1323" s="2"/>
      <c r="F1323" s="2"/>
      <c r="G1323" s="2"/>
      <c r="H1323" s="2"/>
      <c r="I1323" s="2"/>
      <c r="J1323" s="2"/>
      <c r="K1323" s="2"/>
      <c r="L1323" s="2"/>
      <c r="M1323" s="2"/>
      <c r="N1323" s="2"/>
      <c r="O1323" s="2"/>
      <c r="P1323" s="2"/>
      <c r="Q1323" s="2"/>
      <c r="R1323" s="2"/>
      <c r="S1323" s="2"/>
      <c r="T1323" s="2"/>
      <c r="U1323" s="2"/>
      <c r="V1323" s="2"/>
      <c r="W1323" s="2"/>
    </row>
    <row r="1324" spans="1:23" ht="75" customHeight="1" x14ac:dyDescent="0.15">
      <c r="A1324" s="2"/>
      <c r="B1324" s="2"/>
      <c r="C1324" s="2"/>
      <c r="D1324" s="2"/>
      <c r="E1324" s="2"/>
      <c r="F1324" s="2"/>
      <c r="G1324" s="2"/>
      <c r="H1324" s="2"/>
      <c r="I1324" s="2"/>
      <c r="J1324" s="2"/>
      <c r="K1324" s="2"/>
      <c r="L1324" s="2"/>
      <c r="M1324" s="2"/>
      <c r="N1324" s="2"/>
      <c r="O1324" s="2"/>
      <c r="P1324" s="2"/>
      <c r="Q1324" s="2"/>
      <c r="R1324" s="2"/>
      <c r="S1324" s="2"/>
      <c r="T1324" s="2"/>
      <c r="U1324" s="2"/>
      <c r="V1324" s="2"/>
      <c r="W1324" s="2"/>
    </row>
    <row r="1325" spans="1:23" ht="75" customHeight="1" x14ac:dyDescent="0.15">
      <c r="A1325" s="2"/>
      <c r="B1325" s="2"/>
      <c r="C1325" s="2"/>
      <c r="D1325" s="2"/>
      <c r="E1325" s="2"/>
      <c r="F1325" s="2"/>
      <c r="G1325" s="2"/>
      <c r="H1325" s="2"/>
      <c r="I1325" s="2"/>
      <c r="J1325" s="2"/>
      <c r="K1325" s="2"/>
      <c r="L1325" s="2"/>
      <c r="M1325" s="2"/>
      <c r="N1325" s="2"/>
      <c r="O1325" s="2"/>
      <c r="P1325" s="2"/>
      <c r="Q1325" s="2"/>
      <c r="R1325" s="2"/>
      <c r="S1325" s="2"/>
      <c r="T1325" s="2"/>
      <c r="U1325" s="2"/>
      <c r="V1325" s="2"/>
      <c r="W1325" s="2"/>
    </row>
    <row r="1326" spans="1:23" ht="75" customHeight="1" x14ac:dyDescent="0.15">
      <c r="A1326" s="2"/>
      <c r="B1326" s="2"/>
      <c r="C1326" s="2"/>
      <c r="D1326" s="2"/>
      <c r="E1326" s="2"/>
      <c r="F1326" s="2"/>
      <c r="G1326" s="2"/>
      <c r="H1326" s="2"/>
      <c r="I1326" s="2"/>
      <c r="J1326" s="2"/>
      <c r="K1326" s="2"/>
      <c r="L1326" s="2"/>
      <c r="M1326" s="2"/>
      <c r="N1326" s="2"/>
      <c r="O1326" s="2"/>
      <c r="P1326" s="2"/>
      <c r="Q1326" s="2"/>
      <c r="R1326" s="2"/>
      <c r="S1326" s="2"/>
      <c r="T1326" s="2"/>
      <c r="U1326" s="2"/>
      <c r="V1326" s="2"/>
      <c r="W1326" s="2"/>
    </row>
    <row r="1327" spans="1:23" ht="75" customHeight="1" x14ac:dyDescent="0.15">
      <c r="A1327" s="2"/>
      <c r="B1327" s="2"/>
      <c r="C1327" s="2"/>
      <c r="D1327" s="2"/>
      <c r="E1327" s="2"/>
      <c r="F1327" s="2"/>
      <c r="G1327" s="2"/>
      <c r="H1327" s="2"/>
      <c r="I1327" s="2"/>
      <c r="J1327" s="2"/>
      <c r="K1327" s="2"/>
      <c r="L1327" s="2"/>
      <c r="M1327" s="2"/>
      <c r="N1327" s="2"/>
      <c r="O1327" s="2"/>
      <c r="P1327" s="2"/>
      <c r="Q1327" s="2"/>
      <c r="R1327" s="2"/>
      <c r="S1327" s="2"/>
      <c r="T1327" s="2"/>
      <c r="U1327" s="2"/>
      <c r="V1327" s="2"/>
      <c r="W1327" s="2"/>
    </row>
    <row r="1328" spans="1:23" ht="75" customHeight="1" x14ac:dyDescent="0.15">
      <c r="A1328" s="2"/>
      <c r="B1328" s="2"/>
      <c r="C1328" s="2"/>
      <c r="D1328" s="2"/>
      <c r="E1328" s="2"/>
      <c r="F1328" s="2"/>
      <c r="G1328" s="2"/>
      <c r="H1328" s="2"/>
      <c r="I1328" s="2"/>
      <c r="J1328" s="2"/>
      <c r="K1328" s="2"/>
      <c r="L1328" s="2"/>
      <c r="M1328" s="2"/>
      <c r="N1328" s="2"/>
      <c r="O1328" s="2"/>
      <c r="P1328" s="2"/>
      <c r="Q1328" s="2"/>
      <c r="R1328" s="2"/>
      <c r="S1328" s="2"/>
      <c r="T1328" s="2"/>
      <c r="U1328" s="2"/>
      <c r="V1328" s="2"/>
      <c r="W1328" s="2"/>
    </row>
    <row r="1329" spans="1:23" ht="75" customHeight="1" x14ac:dyDescent="0.15">
      <c r="A1329" s="2"/>
      <c r="B1329" s="2"/>
      <c r="C1329" s="2"/>
      <c r="D1329" s="2"/>
      <c r="E1329" s="2"/>
      <c r="F1329" s="2"/>
      <c r="G1329" s="2"/>
      <c r="H1329" s="2"/>
      <c r="I1329" s="2"/>
      <c r="J1329" s="2"/>
      <c r="K1329" s="2"/>
      <c r="L1329" s="2"/>
      <c r="M1329" s="2"/>
      <c r="N1329" s="2"/>
      <c r="O1329" s="2"/>
      <c r="P1329" s="2"/>
      <c r="Q1329" s="2"/>
      <c r="R1329" s="2"/>
      <c r="S1329" s="2"/>
      <c r="T1329" s="2"/>
      <c r="U1329" s="2"/>
      <c r="V1329" s="2"/>
      <c r="W1329" s="2"/>
    </row>
    <row r="1330" spans="1:23" ht="75" customHeight="1" x14ac:dyDescent="0.15">
      <c r="A1330" s="2"/>
      <c r="B1330" s="2"/>
      <c r="C1330" s="2"/>
      <c r="D1330" s="2"/>
      <c r="E1330" s="2"/>
      <c r="F1330" s="2"/>
      <c r="G1330" s="2"/>
      <c r="H1330" s="2"/>
      <c r="I1330" s="2"/>
      <c r="J1330" s="2"/>
      <c r="K1330" s="2"/>
      <c r="L1330" s="2"/>
      <c r="M1330" s="2"/>
      <c r="N1330" s="2"/>
      <c r="O1330" s="2"/>
      <c r="P1330" s="2"/>
      <c r="Q1330" s="2"/>
      <c r="R1330" s="2"/>
      <c r="S1330" s="2"/>
      <c r="T1330" s="2"/>
      <c r="U1330" s="2"/>
      <c r="V1330" s="2"/>
      <c r="W1330" s="2"/>
    </row>
    <row r="1331" spans="1:23" ht="75" customHeight="1" x14ac:dyDescent="0.15">
      <c r="A1331" s="2"/>
      <c r="B1331" s="2"/>
      <c r="C1331" s="2"/>
      <c r="D1331" s="2"/>
      <c r="E1331" s="2"/>
      <c r="F1331" s="2"/>
      <c r="G1331" s="2"/>
      <c r="H1331" s="2"/>
      <c r="I1331" s="2"/>
      <c r="J1331" s="2"/>
      <c r="K1331" s="2"/>
      <c r="L1331" s="2"/>
      <c r="M1331" s="2"/>
      <c r="N1331" s="2"/>
      <c r="O1331" s="2"/>
      <c r="P1331" s="2"/>
      <c r="Q1331" s="2"/>
      <c r="R1331" s="2"/>
      <c r="S1331" s="2"/>
      <c r="T1331" s="2"/>
      <c r="U1331" s="2"/>
      <c r="V1331" s="2"/>
      <c r="W1331" s="2"/>
    </row>
    <row r="1332" spans="1:23" ht="75" customHeight="1" x14ac:dyDescent="0.15">
      <c r="A1332" s="2"/>
      <c r="B1332" s="2"/>
      <c r="C1332" s="2"/>
      <c r="D1332" s="2"/>
      <c r="E1332" s="2"/>
      <c r="F1332" s="2"/>
      <c r="G1332" s="2"/>
      <c r="H1332" s="2"/>
      <c r="I1332" s="2"/>
      <c r="J1332" s="2"/>
      <c r="K1332" s="2"/>
      <c r="L1332" s="2"/>
      <c r="M1332" s="2"/>
      <c r="N1332" s="2"/>
      <c r="O1332" s="2"/>
      <c r="P1332" s="2"/>
      <c r="Q1332" s="2"/>
      <c r="R1332" s="2"/>
      <c r="S1332" s="2"/>
      <c r="T1332" s="2"/>
      <c r="U1332" s="2"/>
      <c r="V1332" s="2"/>
      <c r="W1332" s="2"/>
    </row>
    <row r="1333" spans="1:23" ht="75" customHeight="1" x14ac:dyDescent="0.15">
      <c r="A1333" s="2"/>
      <c r="B1333" s="2"/>
      <c r="C1333" s="2"/>
      <c r="D1333" s="2"/>
      <c r="E1333" s="2"/>
      <c r="F1333" s="2"/>
      <c r="G1333" s="2"/>
      <c r="H1333" s="2"/>
      <c r="I1333" s="2"/>
      <c r="J1333" s="2"/>
      <c r="K1333" s="2"/>
      <c r="L1333" s="2"/>
      <c r="M1333" s="2"/>
      <c r="N1333" s="2"/>
      <c r="O1333" s="2"/>
      <c r="P1333" s="2"/>
      <c r="Q1333" s="2"/>
      <c r="R1333" s="2"/>
      <c r="S1333" s="2"/>
      <c r="T1333" s="2"/>
      <c r="U1333" s="2"/>
      <c r="V1333" s="2"/>
      <c r="W1333" s="2"/>
    </row>
    <row r="1334" spans="1:23" ht="75" customHeight="1" x14ac:dyDescent="0.15">
      <c r="A1334" s="2"/>
      <c r="B1334" s="2"/>
      <c r="C1334" s="2"/>
      <c r="D1334" s="2"/>
      <c r="E1334" s="2"/>
      <c r="F1334" s="2"/>
      <c r="G1334" s="2"/>
      <c r="H1334" s="2"/>
      <c r="I1334" s="2"/>
      <c r="J1334" s="2"/>
      <c r="K1334" s="2"/>
      <c r="L1334" s="2"/>
      <c r="M1334" s="2"/>
      <c r="N1334" s="2"/>
      <c r="O1334" s="2"/>
      <c r="P1334" s="2"/>
      <c r="Q1334" s="2"/>
      <c r="R1334" s="2"/>
      <c r="S1334" s="2"/>
      <c r="T1334" s="2"/>
      <c r="U1334" s="2"/>
      <c r="V1334" s="2"/>
      <c r="W1334" s="2"/>
    </row>
    <row r="1335" spans="1:23" ht="75" customHeight="1" x14ac:dyDescent="0.15">
      <c r="A1335" s="2"/>
      <c r="B1335" s="2"/>
      <c r="C1335" s="2"/>
      <c r="D1335" s="2"/>
      <c r="E1335" s="2"/>
      <c r="F1335" s="2"/>
      <c r="G1335" s="2"/>
      <c r="H1335" s="2"/>
      <c r="I1335" s="2"/>
      <c r="J1335" s="2"/>
      <c r="K1335" s="2"/>
      <c r="L1335" s="2"/>
      <c r="M1335" s="2"/>
      <c r="N1335" s="2"/>
      <c r="O1335" s="2"/>
      <c r="P1335" s="2"/>
      <c r="Q1335" s="2"/>
      <c r="R1335" s="2"/>
      <c r="S1335" s="2"/>
      <c r="T1335" s="2"/>
      <c r="U1335" s="2"/>
      <c r="V1335" s="2"/>
      <c r="W1335" s="2"/>
    </row>
    <row r="1336" spans="1:23" ht="75" customHeight="1" x14ac:dyDescent="0.15">
      <c r="A1336" s="2"/>
      <c r="B1336" s="2"/>
      <c r="C1336" s="2"/>
      <c r="D1336" s="2"/>
      <c r="E1336" s="2"/>
      <c r="F1336" s="2"/>
      <c r="G1336" s="2"/>
      <c r="H1336" s="2"/>
      <c r="I1336" s="2"/>
      <c r="J1336" s="2"/>
      <c r="K1336" s="2"/>
      <c r="L1336" s="2"/>
      <c r="M1336" s="2"/>
      <c r="N1336" s="2"/>
      <c r="O1336" s="2"/>
      <c r="P1336" s="2"/>
      <c r="Q1336" s="2"/>
      <c r="R1336" s="2"/>
      <c r="S1336" s="2"/>
      <c r="T1336" s="2"/>
      <c r="U1336" s="2"/>
      <c r="V1336" s="2"/>
      <c r="W1336" s="2"/>
    </row>
    <row r="1337" spans="1:23" ht="75" customHeight="1" x14ac:dyDescent="0.15">
      <c r="A1337" s="2"/>
      <c r="B1337" s="2"/>
      <c r="C1337" s="2"/>
      <c r="D1337" s="2"/>
      <c r="E1337" s="2"/>
      <c r="F1337" s="2"/>
      <c r="G1337" s="2"/>
      <c r="H1337" s="2"/>
      <c r="I1337" s="2"/>
      <c r="J1337" s="2"/>
      <c r="K1337" s="2"/>
      <c r="L1337" s="2"/>
      <c r="M1337" s="2"/>
      <c r="N1337" s="2"/>
      <c r="O1337" s="2"/>
      <c r="P1337" s="2"/>
      <c r="Q1337" s="2"/>
      <c r="R1337" s="2"/>
      <c r="S1337" s="2"/>
      <c r="T1337" s="2"/>
      <c r="U1337" s="2"/>
      <c r="V1337" s="2"/>
      <c r="W1337" s="2"/>
    </row>
    <row r="1338" spans="1:23" ht="75" customHeight="1" x14ac:dyDescent="0.15">
      <c r="A1338" s="2"/>
      <c r="B1338" s="2"/>
      <c r="C1338" s="2"/>
      <c r="D1338" s="2"/>
      <c r="E1338" s="2"/>
      <c r="F1338" s="2"/>
      <c r="G1338" s="2"/>
      <c r="H1338" s="2"/>
      <c r="I1338" s="2"/>
      <c r="J1338" s="2"/>
      <c r="K1338" s="2"/>
      <c r="L1338" s="2"/>
      <c r="M1338" s="2"/>
      <c r="N1338" s="2"/>
      <c r="O1338" s="2"/>
      <c r="P1338" s="2"/>
      <c r="Q1338" s="2"/>
      <c r="R1338" s="2"/>
      <c r="S1338" s="2"/>
      <c r="T1338" s="2"/>
      <c r="U1338" s="2"/>
      <c r="V1338" s="2"/>
      <c r="W1338" s="2"/>
    </row>
    <row r="1339" spans="1:23" ht="75" customHeight="1" x14ac:dyDescent="0.15">
      <c r="A1339" s="2"/>
      <c r="B1339" s="2"/>
      <c r="C1339" s="2"/>
      <c r="D1339" s="2"/>
      <c r="E1339" s="2"/>
      <c r="F1339" s="2"/>
      <c r="G1339" s="2"/>
      <c r="H1339" s="2"/>
      <c r="I1339" s="2"/>
      <c r="J1339" s="2"/>
      <c r="K1339" s="2"/>
      <c r="L1339" s="2"/>
      <c r="M1339" s="2"/>
      <c r="N1339" s="2"/>
      <c r="O1339" s="2"/>
      <c r="P1339" s="2"/>
      <c r="Q1339" s="2"/>
      <c r="R1339" s="2"/>
      <c r="S1339" s="2"/>
      <c r="T1339" s="2"/>
      <c r="U1339" s="2"/>
      <c r="V1339" s="2"/>
      <c r="W1339" s="2"/>
    </row>
    <row r="1340" spans="1:23" ht="75" customHeight="1" x14ac:dyDescent="0.15">
      <c r="A1340" s="2"/>
      <c r="B1340" s="2"/>
      <c r="C1340" s="2"/>
      <c r="D1340" s="2"/>
      <c r="E1340" s="2"/>
      <c r="F1340" s="2"/>
      <c r="G1340" s="2"/>
      <c r="H1340" s="2"/>
      <c r="I1340" s="2"/>
      <c r="J1340" s="2"/>
      <c r="K1340" s="2"/>
      <c r="L1340" s="2"/>
      <c r="M1340" s="2"/>
      <c r="N1340" s="2"/>
      <c r="O1340" s="2"/>
      <c r="P1340" s="2"/>
      <c r="Q1340" s="2"/>
      <c r="R1340" s="2"/>
      <c r="S1340" s="2"/>
      <c r="T1340" s="2"/>
      <c r="U1340" s="2"/>
      <c r="V1340" s="2"/>
      <c r="W1340" s="2"/>
    </row>
    <row r="1341" spans="1:23" ht="75" customHeight="1" x14ac:dyDescent="0.15">
      <c r="A1341" s="2"/>
      <c r="B1341" s="2"/>
      <c r="C1341" s="2"/>
      <c r="D1341" s="2"/>
      <c r="E1341" s="2"/>
      <c r="F1341" s="2"/>
      <c r="G1341" s="2"/>
      <c r="H1341" s="2"/>
      <c r="I1341" s="2"/>
      <c r="J1341" s="2"/>
      <c r="K1341" s="2"/>
      <c r="L1341" s="2"/>
      <c r="M1341" s="2"/>
      <c r="N1341" s="2"/>
      <c r="O1341" s="2"/>
      <c r="P1341" s="2"/>
      <c r="Q1341" s="2"/>
      <c r="R1341" s="2"/>
      <c r="S1341" s="2"/>
      <c r="T1341" s="2"/>
      <c r="U1341" s="2"/>
      <c r="V1341" s="2"/>
      <c r="W1341" s="2"/>
    </row>
    <row r="1342" spans="1:23" ht="75" customHeight="1" x14ac:dyDescent="0.15">
      <c r="A1342" s="2"/>
      <c r="B1342" s="2"/>
      <c r="C1342" s="2"/>
      <c r="D1342" s="2"/>
      <c r="E1342" s="2"/>
      <c r="F1342" s="2"/>
      <c r="G1342" s="2"/>
      <c r="H1342" s="2"/>
      <c r="I1342" s="2"/>
      <c r="J1342" s="2"/>
      <c r="K1342" s="2"/>
      <c r="L1342" s="2"/>
      <c r="M1342" s="2"/>
      <c r="N1342" s="2"/>
      <c r="O1342" s="2"/>
      <c r="P1342" s="2"/>
      <c r="Q1342" s="2"/>
      <c r="R1342" s="2"/>
      <c r="S1342" s="2"/>
      <c r="T1342" s="2"/>
      <c r="U1342" s="2"/>
      <c r="V1342" s="2"/>
      <c r="W1342" s="2"/>
    </row>
    <row r="1343" spans="1:23" ht="75" customHeight="1" x14ac:dyDescent="0.15">
      <c r="A1343" s="2"/>
      <c r="B1343" s="2"/>
      <c r="C1343" s="2"/>
      <c r="D1343" s="2"/>
      <c r="E1343" s="2"/>
      <c r="F1343" s="2"/>
      <c r="G1343" s="2"/>
      <c r="H1343" s="2"/>
      <c r="I1343" s="2"/>
      <c r="J1343" s="2"/>
      <c r="K1343" s="2"/>
      <c r="L1343" s="2"/>
      <c r="M1343" s="2"/>
      <c r="N1343" s="2"/>
      <c r="O1343" s="2"/>
      <c r="P1343" s="2"/>
      <c r="Q1343" s="2"/>
      <c r="R1343" s="2"/>
      <c r="S1343" s="2"/>
      <c r="T1343" s="2"/>
      <c r="U1343" s="2"/>
      <c r="V1343" s="2"/>
      <c r="W1343" s="2"/>
    </row>
    <row r="1344" spans="1:23" ht="75" customHeight="1" x14ac:dyDescent="0.15">
      <c r="A1344" s="2"/>
      <c r="B1344" s="2"/>
      <c r="C1344" s="2"/>
      <c r="D1344" s="2"/>
      <c r="E1344" s="2"/>
      <c r="F1344" s="2"/>
      <c r="G1344" s="2"/>
      <c r="H1344" s="2"/>
      <c r="I1344" s="2"/>
      <c r="J1344" s="2"/>
      <c r="K1344" s="2"/>
      <c r="L1344" s="2"/>
      <c r="M1344" s="2"/>
      <c r="N1344" s="2"/>
      <c r="O1344" s="2"/>
      <c r="P1344" s="2"/>
      <c r="Q1344" s="2"/>
      <c r="R1344" s="2"/>
      <c r="S1344" s="2"/>
      <c r="T1344" s="2"/>
      <c r="U1344" s="2"/>
      <c r="V1344" s="2"/>
      <c r="W1344" s="2"/>
    </row>
    <row r="1345" spans="1:23" ht="75" customHeight="1" x14ac:dyDescent="0.15">
      <c r="A1345" s="2"/>
      <c r="B1345" s="2"/>
      <c r="C1345" s="2"/>
      <c r="D1345" s="2"/>
      <c r="E1345" s="2"/>
      <c r="F1345" s="2"/>
      <c r="G1345" s="2"/>
      <c r="H1345" s="2"/>
      <c r="I1345" s="2"/>
      <c r="J1345" s="2"/>
      <c r="K1345" s="2"/>
      <c r="L1345" s="2"/>
      <c r="M1345" s="2"/>
      <c r="N1345" s="2"/>
      <c r="O1345" s="2"/>
      <c r="P1345" s="2"/>
      <c r="Q1345" s="2"/>
      <c r="R1345" s="2"/>
      <c r="S1345" s="2"/>
      <c r="T1345" s="2"/>
      <c r="U1345" s="2"/>
      <c r="V1345" s="2"/>
      <c r="W1345" s="2"/>
    </row>
    <row r="1346" spans="1:23" ht="75" customHeight="1" x14ac:dyDescent="0.15">
      <c r="A1346" s="2"/>
      <c r="B1346" s="2"/>
      <c r="C1346" s="2"/>
      <c r="D1346" s="2"/>
      <c r="E1346" s="2"/>
      <c r="F1346" s="2"/>
      <c r="G1346" s="2"/>
      <c r="H1346" s="2"/>
      <c r="I1346" s="2"/>
      <c r="J1346" s="2"/>
      <c r="K1346" s="2"/>
      <c r="L1346" s="2"/>
      <c r="M1346" s="2"/>
      <c r="N1346" s="2"/>
      <c r="O1346" s="2"/>
      <c r="P1346" s="2"/>
      <c r="Q1346" s="2"/>
      <c r="R1346" s="2"/>
      <c r="S1346" s="2"/>
      <c r="T1346" s="2"/>
      <c r="U1346" s="2"/>
      <c r="V1346" s="2"/>
      <c r="W1346" s="2"/>
    </row>
    <row r="1347" spans="1:23" ht="75" customHeight="1" x14ac:dyDescent="0.15">
      <c r="A1347" s="2"/>
      <c r="B1347" s="2"/>
      <c r="C1347" s="2"/>
      <c r="D1347" s="2"/>
      <c r="E1347" s="2"/>
      <c r="F1347" s="2"/>
      <c r="G1347" s="2"/>
      <c r="H1347" s="2"/>
      <c r="I1347" s="2"/>
      <c r="J1347" s="2"/>
      <c r="K1347" s="2"/>
      <c r="L1347" s="2"/>
      <c r="M1347" s="2"/>
      <c r="N1347" s="2"/>
      <c r="O1347" s="2"/>
      <c r="P1347" s="2"/>
      <c r="Q1347" s="2"/>
      <c r="R1347" s="2"/>
      <c r="S1347" s="2"/>
      <c r="T1347" s="2"/>
      <c r="U1347" s="2"/>
      <c r="V1347" s="2"/>
      <c r="W1347" s="2"/>
    </row>
    <row r="1348" spans="1:23" ht="75" customHeight="1" x14ac:dyDescent="0.15">
      <c r="A1348" s="2"/>
      <c r="B1348" s="2"/>
      <c r="C1348" s="2"/>
      <c r="D1348" s="2"/>
      <c r="E1348" s="2"/>
      <c r="F1348" s="2"/>
      <c r="G1348" s="2"/>
      <c r="H1348" s="2"/>
      <c r="I1348" s="2"/>
      <c r="J1348" s="2"/>
      <c r="K1348" s="2"/>
      <c r="L1348" s="2"/>
      <c r="M1348" s="2"/>
      <c r="N1348" s="2"/>
      <c r="O1348" s="2"/>
      <c r="P1348" s="2"/>
      <c r="Q1348" s="2"/>
      <c r="R1348" s="2"/>
      <c r="S1348" s="2"/>
      <c r="T1348" s="2"/>
      <c r="U1348" s="2"/>
      <c r="V1348" s="2"/>
      <c r="W1348" s="2"/>
    </row>
    <row r="1349" spans="1:23" ht="75" customHeight="1" x14ac:dyDescent="0.15">
      <c r="A1349" s="2"/>
      <c r="B1349" s="2"/>
      <c r="C1349" s="2"/>
      <c r="D1349" s="2"/>
      <c r="E1349" s="2"/>
      <c r="F1349" s="2"/>
      <c r="G1349" s="2"/>
      <c r="H1349" s="2"/>
      <c r="I1349" s="2"/>
      <c r="J1349" s="2"/>
      <c r="K1349" s="2"/>
      <c r="L1349" s="2"/>
      <c r="M1349" s="2"/>
      <c r="N1349" s="2"/>
      <c r="O1349" s="2"/>
      <c r="P1349" s="2"/>
      <c r="Q1349" s="2"/>
      <c r="R1349" s="2"/>
      <c r="S1349" s="2"/>
      <c r="T1349" s="2"/>
      <c r="U1349" s="2"/>
      <c r="V1349" s="2"/>
      <c r="W1349" s="2"/>
    </row>
    <row r="1350" spans="1:23" ht="75" customHeight="1" x14ac:dyDescent="0.15">
      <c r="A1350" s="2"/>
      <c r="B1350" s="2"/>
      <c r="C1350" s="2"/>
      <c r="D1350" s="2"/>
      <c r="E1350" s="2"/>
      <c r="F1350" s="2"/>
      <c r="G1350" s="2"/>
      <c r="H1350" s="2"/>
      <c r="I1350" s="2"/>
      <c r="J1350" s="2"/>
      <c r="K1350" s="2"/>
      <c r="L1350" s="2"/>
      <c r="M1350" s="2"/>
      <c r="N1350" s="2"/>
      <c r="O1350" s="2"/>
      <c r="P1350" s="2"/>
      <c r="Q1350" s="2"/>
      <c r="R1350" s="2"/>
      <c r="S1350" s="2"/>
      <c r="T1350" s="2"/>
      <c r="U1350" s="2"/>
      <c r="V1350" s="2"/>
      <c r="W1350" s="2"/>
    </row>
    <row r="1351" spans="1:23" ht="75" customHeight="1" x14ac:dyDescent="0.15">
      <c r="A1351" s="2"/>
      <c r="B1351" s="2"/>
      <c r="C1351" s="2"/>
      <c r="D1351" s="2"/>
      <c r="E1351" s="2"/>
      <c r="F1351" s="2"/>
      <c r="G1351" s="2"/>
      <c r="H1351" s="2"/>
      <c r="I1351" s="2"/>
      <c r="J1351" s="2"/>
      <c r="K1351" s="2"/>
      <c r="L1351" s="2"/>
      <c r="M1351" s="2"/>
      <c r="N1351" s="2"/>
      <c r="O1351" s="2"/>
      <c r="P1351" s="2"/>
      <c r="Q1351" s="2"/>
      <c r="R1351" s="2"/>
      <c r="S1351" s="2"/>
      <c r="T1351" s="2"/>
      <c r="U1351" s="2"/>
      <c r="V1351" s="2"/>
      <c r="W1351" s="2"/>
    </row>
    <row r="1352" spans="1:23" ht="75" customHeight="1" x14ac:dyDescent="0.15">
      <c r="A1352" s="2"/>
      <c r="B1352" s="2"/>
      <c r="C1352" s="2"/>
      <c r="D1352" s="2"/>
      <c r="E1352" s="2"/>
      <c r="F1352" s="2"/>
      <c r="G1352" s="2"/>
      <c r="H1352" s="2"/>
      <c r="I1352" s="2"/>
      <c r="J1352" s="2"/>
      <c r="K1352" s="2"/>
      <c r="L1352" s="2"/>
      <c r="M1352" s="2"/>
      <c r="N1352" s="2"/>
      <c r="O1352" s="2"/>
      <c r="P1352" s="2"/>
      <c r="Q1352" s="2"/>
      <c r="R1352" s="2"/>
      <c r="S1352" s="2"/>
      <c r="T1352" s="2"/>
      <c r="U1352" s="2"/>
      <c r="V1352" s="2"/>
      <c r="W1352" s="2"/>
    </row>
    <row r="1353" spans="1:23" ht="75" customHeight="1" x14ac:dyDescent="0.15">
      <c r="A1353" s="2"/>
      <c r="B1353" s="2"/>
      <c r="C1353" s="2"/>
      <c r="D1353" s="2"/>
      <c r="E1353" s="2"/>
      <c r="F1353" s="2"/>
      <c r="G1353" s="2"/>
      <c r="H1353" s="2"/>
      <c r="I1353" s="2"/>
      <c r="J1353" s="2"/>
      <c r="K1353" s="2"/>
      <c r="L1353" s="2"/>
      <c r="M1353" s="2"/>
      <c r="N1353" s="2"/>
      <c r="O1353" s="2"/>
      <c r="P1353" s="2"/>
      <c r="Q1353" s="2"/>
      <c r="R1353" s="2"/>
      <c r="S1353" s="2"/>
      <c r="T1353" s="2"/>
      <c r="U1353" s="2"/>
      <c r="V1353" s="2"/>
      <c r="W1353" s="2"/>
    </row>
    <row r="1354" spans="1:23" ht="75" customHeight="1" x14ac:dyDescent="0.15">
      <c r="A1354" s="2"/>
      <c r="B1354" s="2"/>
      <c r="C1354" s="2"/>
      <c r="D1354" s="2"/>
      <c r="E1354" s="2"/>
      <c r="F1354" s="2"/>
      <c r="G1354" s="2"/>
      <c r="H1354" s="2"/>
      <c r="I1354" s="2"/>
      <c r="J1354" s="2"/>
      <c r="K1354" s="2"/>
      <c r="L1354" s="2"/>
      <c r="M1354" s="2"/>
      <c r="N1354" s="2"/>
      <c r="O1354" s="2"/>
      <c r="P1354" s="2"/>
      <c r="Q1354" s="2"/>
      <c r="R1354" s="2"/>
      <c r="S1354" s="2"/>
      <c r="T1354" s="2"/>
      <c r="U1354" s="2"/>
      <c r="V1354" s="2"/>
      <c r="W1354" s="2"/>
    </row>
    <row r="1355" spans="1:23" ht="75" customHeight="1" x14ac:dyDescent="0.15">
      <c r="A1355" s="2"/>
      <c r="B1355" s="2"/>
      <c r="C1355" s="2"/>
      <c r="D1355" s="2"/>
      <c r="E1355" s="2"/>
      <c r="F1355" s="2"/>
      <c r="G1355" s="2"/>
      <c r="H1355" s="2"/>
      <c r="I1355" s="2"/>
      <c r="J1355" s="2"/>
      <c r="K1355" s="2"/>
      <c r="L1355" s="2"/>
      <c r="M1355" s="2"/>
      <c r="N1355" s="2"/>
      <c r="O1355" s="2"/>
      <c r="P1355" s="2"/>
      <c r="Q1355" s="2"/>
      <c r="R1355" s="2"/>
      <c r="S1355" s="2"/>
      <c r="T1355" s="2"/>
      <c r="U1355" s="2"/>
      <c r="V1355" s="2"/>
      <c r="W1355" s="2"/>
    </row>
    <row r="1356" spans="1:23" ht="75" customHeight="1" x14ac:dyDescent="0.15">
      <c r="A1356" s="2"/>
      <c r="B1356" s="2"/>
      <c r="C1356" s="2"/>
      <c r="D1356" s="2"/>
      <c r="E1356" s="2"/>
      <c r="F1356" s="2"/>
      <c r="G1356" s="2"/>
      <c r="H1356" s="2"/>
      <c r="I1356" s="2"/>
      <c r="J1356" s="2"/>
      <c r="K1356" s="2"/>
      <c r="L1356" s="2"/>
      <c r="M1356" s="2"/>
      <c r="N1356" s="2"/>
      <c r="O1356" s="2"/>
      <c r="P1356" s="2"/>
      <c r="Q1356" s="2"/>
      <c r="R1356" s="2"/>
      <c r="S1356" s="2"/>
      <c r="T1356" s="2"/>
      <c r="U1356" s="2"/>
      <c r="V1356" s="2"/>
      <c r="W1356" s="2"/>
    </row>
    <row r="1357" spans="1:23" ht="75" customHeight="1" x14ac:dyDescent="0.15">
      <c r="A1357" s="2"/>
      <c r="B1357" s="2"/>
      <c r="C1357" s="2"/>
      <c r="D1357" s="2"/>
      <c r="E1357" s="2"/>
      <c r="F1357" s="2"/>
      <c r="G1357" s="2"/>
      <c r="H1357" s="2"/>
      <c r="I1357" s="2"/>
      <c r="J1357" s="2"/>
      <c r="K1357" s="2"/>
      <c r="L1357" s="2"/>
      <c r="M1357" s="2"/>
      <c r="N1357" s="2"/>
      <c r="O1357" s="2"/>
      <c r="P1357" s="2"/>
      <c r="Q1357" s="2"/>
      <c r="R1357" s="2"/>
      <c r="S1357" s="2"/>
      <c r="T1357" s="2"/>
      <c r="U1357" s="2"/>
      <c r="V1357" s="2"/>
      <c r="W1357" s="2"/>
    </row>
    <row r="1358" spans="1:23" ht="75" customHeight="1" x14ac:dyDescent="0.15">
      <c r="A1358" s="2"/>
      <c r="B1358" s="2"/>
      <c r="C1358" s="2"/>
      <c r="D1358" s="2"/>
      <c r="E1358" s="2"/>
      <c r="F1358" s="2"/>
      <c r="G1358" s="2"/>
      <c r="H1358" s="2"/>
      <c r="I1358" s="2"/>
      <c r="J1358" s="2"/>
      <c r="K1358" s="2"/>
      <c r="L1358" s="2"/>
      <c r="M1358" s="2"/>
      <c r="N1358" s="2"/>
      <c r="O1358" s="2"/>
      <c r="P1358" s="2"/>
      <c r="Q1358" s="2"/>
      <c r="R1358" s="2"/>
      <c r="S1358" s="2"/>
      <c r="T1358" s="2"/>
      <c r="U1358" s="2"/>
      <c r="V1358" s="2"/>
      <c r="W1358" s="2"/>
    </row>
    <row r="1359" spans="1:23" ht="75" customHeight="1" x14ac:dyDescent="0.15">
      <c r="A1359" s="2"/>
      <c r="B1359" s="2"/>
      <c r="C1359" s="2"/>
      <c r="D1359" s="2"/>
      <c r="E1359" s="2"/>
      <c r="F1359" s="2"/>
      <c r="G1359" s="2"/>
      <c r="H1359" s="2"/>
      <c r="I1359" s="2"/>
      <c r="J1359" s="2"/>
      <c r="K1359" s="2"/>
      <c r="L1359" s="2"/>
      <c r="M1359" s="2"/>
      <c r="N1359" s="2"/>
      <c r="O1359" s="2"/>
      <c r="P1359" s="2"/>
      <c r="Q1359" s="2"/>
      <c r="R1359" s="2"/>
      <c r="S1359" s="2"/>
      <c r="T1359" s="2"/>
      <c r="U1359" s="2"/>
      <c r="V1359" s="2"/>
      <c r="W1359" s="2"/>
    </row>
    <row r="1360" spans="1:23" ht="75" customHeight="1" x14ac:dyDescent="0.15">
      <c r="A1360" s="2"/>
      <c r="B1360" s="2"/>
      <c r="C1360" s="2"/>
      <c r="D1360" s="2"/>
      <c r="E1360" s="2"/>
      <c r="F1360" s="2"/>
      <c r="G1360" s="2"/>
      <c r="H1360" s="2"/>
      <c r="I1360" s="2"/>
      <c r="J1360" s="2"/>
      <c r="K1360" s="2"/>
      <c r="L1360" s="2"/>
      <c r="M1360" s="2"/>
      <c r="N1360" s="2"/>
      <c r="O1360" s="2"/>
      <c r="P1360" s="2"/>
      <c r="Q1360" s="2"/>
      <c r="R1360" s="2"/>
      <c r="S1360" s="2"/>
      <c r="T1360" s="2"/>
      <c r="U1360" s="2"/>
      <c r="V1360" s="2"/>
      <c r="W1360" s="2"/>
    </row>
    <row r="1361" spans="1:23" ht="75" customHeight="1" x14ac:dyDescent="0.15">
      <c r="A1361" s="2"/>
      <c r="B1361" s="2"/>
      <c r="C1361" s="2"/>
      <c r="D1361" s="2"/>
      <c r="E1361" s="2"/>
      <c r="F1361" s="2"/>
      <c r="G1361" s="2"/>
      <c r="H1361" s="2"/>
      <c r="I1361" s="2"/>
      <c r="J1361" s="2"/>
      <c r="K1361" s="2"/>
      <c r="L1361" s="2"/>
      <c r="M1361" s="2"/>
      <c r="N1361" s="2"/>
      <c r="O1361" s="2"/>
      <c r="P1361" s="2"/>
      <c r="Q1361" s="2"/>
      <c r="R1361" s="2"/>
      <c r="S1361" s="2"/>
      <c r="T1361" s="2"/>
      <c r="U1361" s="2"/>
      <c r="V1361" s="2"/>
      <c r="W1361" s="2"/>
    </row>
    <row r="1362" spans="1:23" ht="75" customHeight="1" x14ac:dyDescent="0.15">
      <c r="A1362" s="2"/>
      <c r="B1362" s="2"/>
      <c r="C1362" s="2"/>
      <c r="D1362" s="2"/>
      <c r="E1362" s="2"/>
      <c r="F1362" s="2"/>
      <c r="G1362" s="2"/>
      <c r="H1362" s="2"/>
      <c r="I1362" s="2"/>
      <c r="J1362" s="2"/>
      <c r="K1362" s="2"/>
      <c r="L1362" s="2"/>
      <c r="M1362" s="2"/>
      <c r="N1362" s="2"/>
      <c r="O1362" s="2"/>
      <c r="P1362" s="2"/>
      <c r="Q1362" s="2"/>
      <c r="R1362" s="2"/>
      <c r="S1362" s="2"/>
      <c r="T1362" s="2"/>
      <c r="U1362" s="2"/>
      <c r="V1362" s="2"/>
      <c r="W1362" s="2"/>
    </row>
    <row r="1363" spans="1:23" ht="75" customHeight="1" x14ac:dyDescent="0.15">
      <c r="A1363" s="2"/>
      <c r="B1363" s="2"/>
      <c r="C1363" s="2"/>
      <c r="D1363" s="2"/>
      <c r="E1363" s="2"/>
      <c r="F1363" s="2"/>
      <c r="G1363" s="2"/>
      <c r="H1363" s="2"/>
      <c r="I1363" s="2"/>
      <c r="J1363" s="2"/>
      <c r="K1363" s="2"/>
      <c r="L1363" s="2"/>
      <c r="M1363" s="2"/>
      <c r="N1363" s="2"/>
      <c r="O1363" s="2"/>
      <c r="P1363" s="2"/>
      <c r="Q1363" s="2"/>
      <c r="R1363" s="2"/>
      <c r="S1363" s="2"/>
      <c r="T1363" s="2"/>
      <c r="U1363" s="2"/>
      <c r="V1363" s="2"/>
      <c r="W1363" s="2"/>
    </row>
    <row r="1364" spans="1:23" ht="75" customHeight="1" x14ac:dyDescent="0.15">
      <c r="A1364" s="2"/>
      <c r="B1364" s="2"/>
      <c r="C1364" s="2"/>
      <c r="D1364" s="2"/>
      <c r="E1364" s="2"/>
      <c r="F1364" s="2"/>
      <c r="G1364" s="2"/>
      <c r="H1364" s="2"/>
      <c r="I1364" s="2"/>
      <c r="J1364" s="2"/>
      <c r="K1364" s="2"/>
      <c r="L1364" s="2"/>
      <c r="M1364" s="2"/>
      <c r="N1364" s="2"/>
      <c r="O1364" s="2"/>
      <c r="P1364" s="2"/>
      <c r="Q1364" s="2"/>
      <c r="R1364" s="2"/>
      <c r="S1364" s="2"/>
      <c r="T1364" s="2"/>
      <c r="U1364" s="2"/>
      <c r="V1364" s="2"/>
      <c r="W1364" s="2"/>
    </row>
    <row r="1365" spans="1:23" ht="75" customHeight="1" x14ac:dyDescent="0.15">
      <c r="A1365" s="2"/>
      <c r="B1365" s="2"/>
      <c r="C1365" s="2"/>
      <c r="D1365" s="2"/>
      <c r="E1365" s="2"/>
      <c r="F1365" s="2"/>
      <c r="G1365" s="2"/>
      <c r="H1365" s="2"/>
      <c r="I1365" s="2"/>
      <c r="J1365" s="2"/>
      <c r="K1365" s="2"/>
      <c r="L1365" s="2"/>
      <c r="M1365" s="2"/>
      <c r="N1365" s="2"/>
      <c r="O1365" s="2"/>
      <c r="P1365" s="2"/>
      <c r="Q1365" s="2"/>
      <c r="R1365" s="2"/>
      <c r="S1365" s="2"/>
      <c r="T1365" s="2"/>
      <c r="U1365" s="2"/>
      <c r="V1365" s="2"/>
      <c r="W1365" s="2"/>
    </row>
    <row r="1366" spans="1:23" ht="75" customHeight="1" x14ac:dyDescent="0.15">
      <c r="A1366" s="2"/>
      <c r="B1366" s="2"/>
      <c r="C1366" s="2"/>
      <c r="D1366" s="2"/>
      <c r="E1366" s="2"/>
      <c r="F1366" s="2"/>
      <c r="G1366" s="2"/>
      <c r="H1366" s="2"/>
      <c r="I1366" s="2"/>
      <c r="J1366" s="2"/>
      <c r="K1366" s="2"/>
      <c r="L1366" s="2"/>
      <c r="M1366" s="2"/>
      <c r="N1366" s="2"/>
      <c r="O1366" s="2"/>
      <c r="P1366" s="2"/>
      <c r="Q1366" s="2"/>
      <c r="R1366" s="2"/>
      <c r="S1366" s="2"/>
      <c r="T1366" s="2"/>
      <c r="U1366" s="2"/>
      <c r="V1366" s="2"/>
      <c r="W1366" s="2"/>
    </row>
    <row r="1367" spans="1:23" ht="75" customHeight="1" x14ac:dyDescent="0.15">
      <c r="A1367" s="2"/>
      <c r="B1367" s="2"/>
      <c r="C1367" s="2"/>
      <c r="D1367" s="2"/>
      <c r="E1367" s="2"/>
      <c r="F1367" s="2"/>
      <c r="G1367" s="2"/>
      <c r="H1367" s="2"/>
      <c r="I1367" s="2"/>
      <c r="J1367" s="2"/>
      <c r="K1367" s="2"/>
      <c r="L1367" s="2"/>
      <c r="M1367" s="2"/>
      <c r="N1367" s="2"/>
      <c r="O1367" s="2"/>
      <c r="P1367" s="2"/>
      <c r="Q1367" s="2"/>
      <c r="R1367" s="2"/>
      <c r="S1367" s="2"/>
      <c r="T1367" s="2"/>
      <c r="U1367" s="2"/>
      <c r="V1367" s="2"/>
      <c r="W1367" s="2"/>
    </row>
    <row r="1368" spans="1:23" ht="75" customHeight="1" x14ac:dyDescent="0.15">
      <c r="A1368" s="2"/>
      <c r="B1368" s="2"/>
      <c r="C1368" s="2"/>
      <c r="D1368" s="2"/>
      <c r="E1368" s="2"/>
      <c r="F1368" s="2"/>
      <c r="G1368" s="2"/>
      <c r="H1368" s="2"/>
      <c r="I1368" s="2"/>
      <c r="J1368" s="2"/>
      <c r="K1368" s="2"/>
      <c r="L1368" s="2"/>
      <c r="M1368" s="2"/>
      <c r="N1368" s="2"/>
      <c r="O1368" s="2"/>
      <c r="P1368" s="2"/>
      <c r="Q1368" s="2"/>
      <c r="R1368" s="2"/>
      <c r="S1368" s="2"/>
      <c r="T1368" s="2"/>
      <c r="U1368" s="2"/>
      <c r="V1368" s="2"/>
      <c r="W1368" s="2"/>
    </row>
    <row r="1369" spans="1:23" ht="75" customHeight="1" x14ac:dyDescent="0.15">
      <c r="A1369" s="2"/>
      <c r="B1369" s="2"/>
      <c r="C1369" s="2"/>
      <c r="D1369" s="2"/>
      <c r="E1369" s="2"/>
      <c r="F1369" s="2"/>
      <c r="G1369" s="2"/>
      <c r="H1369" s="2"/>
      <c r="I1369" s="2"/>
      <c r="J1369" s="2"/>
      <c r="K1369" s="2"/>
      <c r="L1369" s="2"/>
      <c r="M1369" s="2"/>
      <c r="N1369" s="2"/>
      <c r="O1369" s="2"/>
      <c r="P1369" s="2"/>
      <c r="Q1369" s="2"/>
      <c r="R1369" s="2"/>
      <c r="S1369" s="2"/>
      <c r="T1369" s="2"/>
      <c r="U1369" s="2"/>
      <c r="V1369" s="2"/>
      <c r="W1369" s="2"/>
    </row>
    <row r="1370" spans="1:23" ht="75" customHeight="1" x14ac:dyDescent="0.15">
      <c r="A1370" s="2"/>
      <c r="B1370" s="2"/>
      <c r="C1370" s="2"/>
      <c r="D1370" s="2"/>
      <c r="E1370" s="2"/>
      <c r="F1370" s="2"/>
      <c r="G1370" s="2"/>
      <c r="H1370" s="2"/>
      <c r="I1370" s="2"/>
      <c r="J1370" s="2"/>
      <c r="K1370" s="2"/>
      <c r="L1370" s="2"/>
      <c r="M1370" s="2"/>
      <c r="N1370" s="2"/>
      <c r="O1370" s="2"/>
      <c r="P1370" s="2"/>
      <c r="Q1370" s="2"/>
      <c r="R1370" s="2"/>
      <c r="S1370" s="2"/>
      <c r="T1370" s="2"/>
      <c r="U1370" s="2"/>
      <c r="V1370" s="2"/>
      <c r="W1370" s="2"/>
    </row>
    <row r="1371" spans="1:23" ht="75" customHeight="1" x14ac:dyDescent="0.15">
      <c r="A1371" s="2"/>
      <c r="B1371" s="2"/>
      <c r="C1371" s="2"/>
      <c r="D1371" s="2"/>
      <c r="E1371" s="2"/>
      <c r="F1371" s="2"/>
      <c r="G1371" s="2"/>
      <c r="H1371" s="2"/>
      <c r="I1371" s="2"/>
      <c r="J1371" s="2"/>
      <c r="K1371" s="2"/>
      <c r="L1371" s="2"/>
      <c r="M1371" s="2"/>
      <c r="N1371" s="2"/>
      <c r="O1371" s="2"/>
      <c r="P1371" s="2"/>
      <c r="Q1371" s="2"/>
      <c r="R1371" s="2"/>
      <c r="S1371" s="2"/>
      <c r="T1371" s="2"/>
      <c r="U1371" s="2"/>
      <c r="V1371" s="2"/>
      <c r="W1371" s="2"/>
    </row>
    <row r="1372" spans="1:23" ht="75" customHeight="1" x14ac:dyDescent="0.15">
      <c r="A1372" s="2"/>
      <c r="B1372" s="2"/>
      <c r="C1372" s="2"/>
      <c r="D1372" s="2"/>
      <c r="E1372" s="2"/>
      <c r="F1372" s="2"/>
      <c r="G1372" s="2"/>
      <c r="H1372" s="2"/>
      <c r="I1372" s="2"/>
      <c r="J1372" s="2"/>
      <c r="K1372" s="2"/>
      <c r="L1372" s="2"/>
      <c r="M1372" s="2"/>
      <c r="N1372" s="2"/>
      <c r="O1372" s="2"/>
      <c r="P1372" s="2"/>
      <c r="Q1372" s="2"/>
      <c r="R1372" s="2"/>
      <c r="S1372" s="2"/>
      <c r="T1372" s="2"/>
      <c r="U1372" s="2"/>
      <c r="V1372" s="2"/>
      <c r="W1372" s="2"/>
    </row>
    <row r="1373" spans="1:23" ht="75" customHeight="1" x14ac:dyDescent="0.15">
      <c r="A1373" s="2"/>
      <c r="B1373" s="2"/>
      <c r="C1373" s="2"/>
      <c r="D1373" s="2"/>
      <c r="E1373" s="2"/>
      <c r="F1373" s="2"/>
      <c r="G1373" s="2"/>
      <c r="H1373" s="2"/>
      <c r="I1373" s="2"/>
      <c r="J1373" s="2"/>
      <c r="K1373" s="2"/>
      <c r="L1373" s="2"/>
      <c r="M1373" s="2"/>
      <c r="N1373" s="2"/>
      <c r="O1373" s="2"/>
      <c r="P1373" s="2"/>
      <c r="Q1373" s="2"/>
      <c r="R1373" s="2"/>
      <c r="S1373" s="2"/>
      <c r="T1373" s="2"/>
      <c r="U1373" s="2"/>
      <c r="V1373" s="2"/>
      <c r="W1373" s="2"/>
    </row>
    <row r="1374" spans="1:23" ht="75" customHeight="1" x14ac:dyDescent="0.15">
      <c r="A1374" s="2"/>
      <c r="B1374" s="2"/>
      <c r="C1374" s="2"/>
      <c r="D1374" s="2"/>
      <c r="E1374" s="2"/>
      <c r="F1374" s="2"/>
      <c r="G1374" s="2"/>
      <c r="H1374" s="2"/>
      <c r="I1374" s="2"/>
      <c r="J1374" s="2"/>
      <c r="K1374" s="2"/>
      <c r="L1374" s="2"/>
      <c r="M1374" s="2"/>
      <c r="N1374" s="2"/>
      <c r="O1374" s="2"/>
      <c r="P1374" s="2"/>
      <c r="Q1374" s="2"/>
      <c r="R1374" s="2"/>
      <c r="S1374" s="2"/>
      <c r="T1374" s="2"/>
      <c r="U1374" s="2"/>
      <c r="V1374" s="2"/>
      <c r="W1374" s="2"/>
    </row>
    <row r="1375" spans="1:23" ht="75" customHeight="1" x14ac:dyDescent="0.15">
      <c r="A1375" s="2"/>
      <c r="B1375" s="2"/>
      <c r="C1375" s="2"/>
      <c r="D1375" s="2"/>
      <c r="E1375" s="2"/>
      <c r="F1375" s="2"/>
      <c r="G1375" s="2"/>
      <c r="H1375" s="2"/>
      <c r="I1375" s="2"/>
      <c r="J1375" s="2"/>
      <c r="K1375" s="2"/>
      <c r="L1375" s="2"/>
      <c r="M1375" s="2"/>
      <c r="N1375" s="2"/>
      <c r="O1375" s="2"/>
      <c r="P1375" s="2"/>
      <c r="Q1375" s="2"/>
      <c r="R1375" s="2"/>
      <c r="S1375" s="2"/>
      <c r="T1375" s="2"/>
      <c r="U1375" s="2"/>
      <c r="V1375" s="2"/>
      <c r="W1375" s="2"/>
    </row>
    <row r="1376" spans="1:23" ht="75" customHeight="1" x14ac:dyDescent="0.15">
      <c r="A1376" s="2"/>
      <c r="B1376" s="2"/>
      <c r="C1376" s="2"/>
      <c r="D1376" s="2"/>
      <c r="E1376" s="2"/>
      <c r="F1376" s="2"/>
      <c r="G1376" s="2"/>
      <c r="H1376" s="2"/>
      <c r="I1376" s="2"/>
      <c r="J1376" s="2"/>
      <c r="K1376" s="2"/>
      <c r="L1376" s="2"/>
      <c r="M1376" s="2"/>
      <c r="N1376" s="2"/>
      <c r="O1376" s="2"/>
      <c r="P1376" s="2"/>
      <c r="Q1376" s="2"/>
      <c r="R1376" s="2"/>
      <c r="S1376" s="2"/>
      <c r="T1376" s="2"/>
      <c r="U1376" s="2"/>
      <c r="V1376" s="2"/>
      <c r="W1376" s="2"/>
    </row>
    <row r="1377" spans="1:23" ht="75" customHeight="1" x14ac:dyDescent="0.15">
      <c r="A1377" s="2"/>
      <c r="B1377" s="2"/>
      <c r="C1377" s="2"/>
      <c r="D1377" s="2"/>
      <c r="E1377" s="2"/>
      <c r="F1377" s="2"/>
      <c r="G1377" s="2"/>
      <c r="H1377" s="2"/>
      <c r="I1377" s="2"/>
      <c r="J1377" s="2"/>
      <c r="K1377" s="2"/>
      <c r="L1377" s="2"/>
      <c r="M1377" s="2"/>
      <c r="N1377" s="2"/>
      <c r="O1377" s="2"/>
      <c r="P1377" s="2"/>
      <c r="Q1377" s="2"/>
      <c r="R1377" s="2"/>
      <c r="S1377" s="2"/>
      <c r="T1377" s="2"/>
      <c r="U1377" s="2"/>
      <c r="V1377" s="2"/>
      <c r="W1377" s="2"/>
    </row>
    <row r="1378" spans="1:23" ht="75" customHeight="1" x14ac:dyDescent="0.15">
      <c r="A1378" s="2"/>
      <c r="B1378" s="2"/>
      <c r="C1378" s="2"/>
      <c r="D1378" s="2"/>
      <c r="E1378" s="2"/>
      <c r="F1378" s="2"/>
      <c r="G1378" s="2"/>
      <c r="H1378" s="2"/>
      <c r="I1378" s="2"/>
      <c r="J1378" s="2"/>
      <c r="K1378" s="2"/>
      <c r="L1378" s="2"/>
      <c r="M1378" s="2"/>
      <c r="N1378" s="2"/>
      <c r="O1378" s="2"/>
      <c r="P1378" s="2"/>
      <c r="Q1378" s="2"/>
      <c r="R1378" s="2"/>
      <c r="S1378" s="2"/>
      <c r="T1378" s="2"/>
      <c r="U1378" s="2"/>
      <c r="V1378" s="2"/>
      <c r="W1378" s="2"/>
    </row>
    <row r="1379" spans="1:23" ht="75" customHeight="1" x14ac:dyDescent="0.15">
      <c r="A1379" s="2"/>
      <c r="B1379" s="2"/>
      <c r="C1379" s="2"/>
      <c r="D1379" s="2"/>
      <c r="E1379" s="2"/>
      <c r="F1379" s="2"/>
      <c r="G1379" s="2"/>
      <c r="H1379" s="2"/>
      <c r="I1379" s="2"/>
      <c r="J1379" s="2"/>
      <c r="K1379" s="2"/>
      <c r="L1379" s="2"/>
      <c r="M1379" s="2"/>
      <c r="N1379" s="2"/>
      <c r="O1379" s="2"/>
      <c r="P1379" s="2"/>
      <c r="Q1379" s="2"/>
      <c r="R1379" s="2"/>
      <c r="S1379" s="2"/>
      <c r="T1379" s="2"/>
      <c r="U1379" s="2"/>
      <c r="V1379" s="2"/>
      <c r="W1379" s="2"/>
    </row>
    <row r="1380" spans="1:23" ht="75" customHeight="1" x14ac:dyDescent="0.15">
      <c r="A1380" s="2"/>
      <c r="B1380" s="2"/>
      <c r="C1380" s="2"/>
      <c r="D1380" s="2"/>
      <c r="E1380" s="2"/>
      <c r="F1380" s="2"/>
      <c r="G1380" s="2"/>
      <c r="H1380" s="2"/>
      <c r="I1380" s="2"/>
      <c r="J1380" s="2"/>
      <c r="K1380" s="2"/>
      <c r="L1380" s="2"/>
      <c r="M1380" s="2"/>
      <c r="N1380" s="2"/>
      <c r="O1380" s="2"/>
      <c r="P1380" s="2"/>
      <c r="Q1380" s="2"/>
      <c r="R1380" s="2"/>
      <c r="S1380" s="2"/>
      <c r="T1380" s="2"/>
      <c r="U1380" s="2"/>
      <c r="V1380" s="2"/>
      <c r="W1380" s="2"/>
    </row>
    <row r="1381" spans="1:23" ht="75" customHeight="1" x14ac:dyDescent="0.15">
      <c r="A1381" s="2"/>
      <c r="B1381" s="2"/>
      <c r="C1381" s="2"/>
      <c r="D1381" s="2"/>
      <c r="E1381" s="2"/>
      <c r="F1381" s="2"/>
      <c r="G1381" s="2"/>
      <c r="H1381" s="2"/>
      <c r="I1381" s="2"/>
      <c r="J1381" s="2"/>
      <c r="K1381" s="2"/>
      <c r="L1381" s="2"/>
      <c r="M1381" s="2"/>
      <c r="N1381" s="2"/>
      <c r="O1381" s="2"/>
      <c r="P1381" s="2"/>
      <c r="Q1381" s="2"/>
      <c r="R1381" s="2"/>
      <c r="S1381" s="2"/>
      <c r="T1381" s="2"/>
      <c r="U1381" s="2"/>
      <c r="V1381" s="2"/>
      <c r="W1381" s="2"/>
    </row>
    <row r="1382" spans="1:23" ht="75" customHeight="1" x14ac:dyDescent="0.15">
      <c r="A1382" s="2"/>
      <c r="B1382" s="2"/>
      <c r="C1382" s="2"/>
      <c r="D1382" s="2"/>
      <c r="E1382" s="2"/>
      <c r="F1382" s="2"/>
      <c r="G1382" s="2"/>
      <c r="H1382" s="2"/>
      <c r="I1382" s="2"/>
      <c r="J1382" s="2"/>
      <c r="K1382" s="2"/>
      <c r="L1382" s="2"/>
      <c r="M1382" s="2"/>
      <c r="N1382" s="2"/>
      <c r="O1382" s="2"/>
      <c r="P1382" s="2"/>
      <c r="Q1382" s="2"/>
      <c r="R1382" s="2"/>
      <c r="S1382" s="2"/>
      <c r="T1382" s="2"/>
      <c r="U1382" s="2"/>
      <c r="V1382" s="2"/>
      <c r="W1382" s="2"/>
    </row>
    <row r="1383" spans="1:23" ht="75" customHeight="1" x14ac:dyDescent="0.15">
      <c r="A1383" s="2"/>
      <c r="B1383" s="2"/>
      <c r="C1383" s="2"/>
      <c r="D1383" s="2"/>
      <c r="E1383" s="2"/>
      <c r="F1383" s="2"/>
      <c r="G1383" s="2"/>
      <c r="H1383" s="2"/>
      <c r="I1383" s="2"/>
      <c r="J1383" s="2"/>
      <c r="K1383" s="2"/>
      <c r="L1383" s="2"/>
      <c r="M1383" s="2"/>
      <c r="N1383" s="2"/>
      <c r="O1383" s="2"/>
      <c r="P1383" s="2"/>
      <c r="Q1383" s="2"/>
      <c r="R1383" s="2"/>
      <c r="S1383" s="2"/>
      <c r="T1383" s="2"/>
      <c r="U1383" s="2"/>
      <c r="V1383" s="2"/>
      <c r="W1383" s="2"/>
    </row>
    <row r="1384" spans="1:23" ht="75" customHeight="1" x14ac:dyDescent="0.15">
      <c r="A1384" s="2"/>
      <c r="B1384" s="2"/>
      <c r="C1384" s="2"/>
      <c r="D1384" s="2"/>
      <c r="E1384" s="2"/>
      <c r="F1384" s="2"/>
      <c r="G1384" s="2"/>
      <c r="H1384" s="2"/>
      <c r="I1384" s="2"/>
      <c r="J1384" s="2"/>
      <c r="K1384" s="2"/>
      <c r="L1384" s="2"/>
      <c r="M1384" s="2"/>
      <c r="N1384" s="2"/>
      <c r="O1384" s="2"/>
      <c r="P1384" s="2"/>
      <c r="Q1384" s="2"/>
      <c r="R1384" s="2"/>
      <c r="S1384" s="2"/>
      <c r="T1384" s="2"/>
      <c r="U1384" s="2"/>
      <c r="V1384" s="2"/>
      <c r="W1384" s="2"/>
    </row>
    <row r="1385" spans="1:23" ht="75" customHeight="1" x14ac:dyDescent="0.15">
      <c r="A1385" s="2"/>
      <c r="B1385" s="2"/>
      <c r="C1385" s="2"/>
      <c r="D1385" s="2"/>
      <c r="E1385" s="2"/>
      <c r="F1385" s="2"/>
      <c r="G1385" s="2"/>
      <c r="H1385" s="2"/>
      <c r="I1385" s="2"/>
      <c r="J1385" s="2"/>
      <c r="K1385" s="2"/>
      <c r="L1385" s="2"/>
      <c r="M1385" s="2"/>
      <c r="N1385" s="2"/>
      <c r="O1385" s="2"/>
      <c r="P1385" s="2"/>
      <c r="Q1385" s="2"/>
      <c r="R1385" s="2"/>
      <c r="S1385" s="2"/>
      <c r="T1385" s="2"/>
      <c r="U1385" s="2"/>
      <c r="V1385" s="2"/>
      <c r="W1385" s="2"/>
    </row>
    <row r="1386" spans="1:23" ht="75" customHeight="1" x14ac:dyDescent="0.15">
      <c r="A1386" s="2"/>
      <c r="B1386" s="2"/>
      <c r="C1386" s="2"/>
      <c r="D1386" s="2"/>
      <c r="E1386" s="2"/>
      <c r="F1386" s="2"/>
      <c r="G1386" s="2"/>
      <c r="H1386" s="2"/>
      <c r="I1386" s="2"/>
      <c r="J1386" s="2"/>
      <c r="K1386" s="2"/>
      <c r="L1386" s="2"/>
      <c r="M1386" s="2"/>
      <c r="N1386" s="2"/>
      <c r="O1386" s="2"/>
      <c r="P1386" s="2"/>
      <c r="Q1386" s="2"/>
      <c r="R1386" s="2"/>
      <c r="S1386" s="2"/>
      <c r="T1386" s="2"/>
      <c r="U1386" s="2"/>
      <c r="V1386" s="2"/>
      <c r="W1386" s="2"/>
    </row>
    <row r="1387" spans="1:23" ht="75" customHeight="1" x14ac:dyDescent="0.15">
      <c r="A1387" s="2"/>
      <c r="B1387" s="2"/>
      <c r="C1387" s="2"/>
      <c r="D1387" s="2"/>
      <c r="E1387" s="2"/>
      <c r="F1387" s="2"/>
      <c r="G1387" s="2"/>
      <c r="H1387" s="2"/>
      <c r="I1387" s="2"/>
      <c r="J1387" s="2"/>
      <c r="K1387" s="2"/>
      <c r="L1387" s="2"/>
      <c r="M1387" s="2"/>
      <c r="N1387" s="2"/>
      <c r="O1387" s="2"/>
      <c r="P1387" s="2"/>
      <c r="Q1387" s="2"/>
      <c r="R1387" s="2"/>
      <c r="S1387" s="2"/>
      <c r="T1387" s="2"/>
      <c r="U1387" s="2"/>
      <c r="V1387" s="2"/>
      <c r="W1387" s="2"/>
    </row>
    <row r="1388" spans="1:23" ht="75" customHeight="1" x14ac:dyDescent="0.15">
      <c r="A1388" s="2"/>
      <c r="B1388" s="2"/>
      <c r="C1388" s="2"/>
      <c r="D1388" s="2"/>
      <c r="E1388" s="2"/>
      <c r="F1388" s="2"/>
      <c r="G1388" s="2"/>
      <c r="H1388" s="2"/>
      <c r="I1388" s="2"/>
      <c r="J1388" s="2"/>
      <c r="K1388" s="2"/>
      <c r="L1388" s="2"/>
      <c r="M1388" s="2"/>
      <c r="N1388" s="2"/>
      <c r="O1388" s="2"/>
      <c r="P1388" s="2"/>
      <c r="Q1388" s="2"/>
      <c r="R1388" s="2"/>
      <c r="S1388" s="2"/>
      <c r="T1388" s="2"/>
      <c r="U1388" s="2"/>
      <c r="V1388" s="2"/>
      <c r="W1388" s="2"/>
    </row>
    <row r="1389" spans="1:23" ht="75" customHeight="1" x14ac:dyDescent="0.15">
      <c r="A1389" s="2"/>
      <c r="B1389" s="2"/>
      <c r="C1389" s="2"/>
      <c r="D1389" s="2"/>
      <c r="E1389" s="2"/>
      <c r="F1389" s="2"/>
      <c r="G1389" s="2"/>
      <c r="H1389" s="2"/>
      <c r="I1389" s="2"/>
      <c r="J1389" s="2"/>
      <c r="K1389" s="2"/>
      <c r="L1389" s="2"/>
      <c r="M1389" s="2"/>
      <c r="N1389" s="2"/>
      <c r="O1389" s="2"/>
      <c r="P1389" s="2"/>
      <c r="Q1389" s="2"/>
      <c r="R1389" s="2"/>
      <c r="S1389" s="2"/>
      <c r="T1389" s="2"/>
      <c r="U1389" s="2"/>
      <c r="V1389" s="2"/>
      <c r="W1389" s="2"/>
    </row>
    <row r="1390" spans="1:23" ht="75" customHeight="1" x14ac:dyDescent="0.15">
      <c r="A1390" s="2"/>
      <c r="B1390" s="2"/>
      <c r="C1390" s="2"/>
      <c r="D1390" s="2"/>
      <c r="E1390" s="2"/>
      <c r="F1390" s="2"/>
      <c r="G1390" s="2"/>
      <c r="H1390" s="2"/>
      <c r="I1390" s="2"/>
      <c r="J1390" s="2"/>
      <c r="K1390" s="2"/>
      <c r="L1390" s="2"/>
      <c r="M1390" s="2"/>
      <c r="N1390" s="2"/>
      <c r="O1390" s="2"/>
      <c r="P1390" s="2"/>
      <c r="Q1390" s="2"/>
      <c r="R1390" s="2"/>
      <c r="S1390" s="2"/>
      <c r="T1390" s="2"/>
      <c r="U1390" s="2"/>
      <c r="V1390" s="2"/>
      <c r="W1390" s="2"/>
    </row>
    <row r="1391" spans="1:23" ht="75" customHeight="1" x14ac:dyDescent="0.15">
      <c r="A1391" s="2"/>
      <c r="B1391" s="2"/>
      <c r="C1391" s="2"/>
      <c r="D1391" s="2"/>
      <c r="E1391" s="2"/>
      <c r="F1391" s="2"/>
      <c r="G1391" s="2"/>
      <c r="H1391" s="2"/>
      <c r="I1391" s="2"/>
      <c r="J1391" s="2"/>
      <c r="K1391" s="2"/>
      <c r="L1391" s="2"/>
      <c r="M1391" s="2"/>
      <c r="N1391" s="2"/>
      <c r="O1391" s="2"/>
      <c r="P1391" s="2"/>
      <c r="Q1391" s="2"/>
      <c r="R1391" s="2"/>
      <c r="S1391" s="2"/>
      <c r="T1391" s="2"/>
      <c r="U1391" s="2"/>
      <c r="V1391" s="2"/>
      <c r="W1391" s="2"/>
    </row>
    <row r="1392" spans="1:23" ht="75" customHeight="1" x14ac:dyDescent="0.15">
      <c r="A1392" s="2"/>
      <c r="B1392" s="2"/>
      <c r="C1392" s="2"/>
      <c r="D1392" s="2"/>
      <c r="E1392" s="2"/>
      <c r="F1392" s="2"/>
      <c r="G1392" s="2"/>
      <c r="H1392" s="2"/>
      <c r="I1392" s="2"/>
      <c r="J1392" s="2"/>
      <c r="K1392" s="2"/>
      <c r="L1392" s="2"/>
      <c r="M1392" s="2"/>
      <c r="N1392" s="2"/>
      <c r="O1392" s="2"/>
      <c r="P1392" s="2"/>
      <c r="Q1392" s="2"/>
      <c r="R1392" s="2"/>
      <c r="S1392" s="2"/>
      <c r="T1392" s="2"/>
      <c r="U1392" s="2"/>
      <c r="V1392" s="2"/>
      <c r="W1392" s="2"/>
    </row>
    <row r="1393" spans="1:23" ht="75" customHeight="1" x14ac:dyDescent="0.15">
      <c r="A1393" s="2"/>
      <c r="B1393" s="2"/>
      <c r="C1393" s="2"/>
      <c r="D1393" s="2"/>
      <c r="E1393" s="2"/>
      <c r="F1393" s="2"/>
      <c r="G1393" s="2"/>
      <c r="H1393" s="2"/>
      <c r="I1393" s="2"/>
      <c r="J1393" s="2"/>
      <c r="K1393" s="2"/>
      <c r="L1393" s="2"/>
      <c r="M1393" s="2"/>
      <c r="N1393" s="2"/>
      <c r="O1393" s="2"/>
      <c r="P1393" s="2"/>
      <c r="Q1393" s="2"/>
      <c r="R1393" s="2"/>
      <c r="S1393" s="2"/>
      <c r="T1393" s="2"/>
      <c r="U1393" s="2"/>
      <c r="V1393" s="2"/>
      <c r="W1393" s="2"/>
    </row>
    <row r="1394" spans="1:23" ht="75" customHeight="1" x14ac:dyDescent="0.15">
      <c r="A1394" s="2"/>
      <c r="B1394" s="2"/>
      <c r="C1394" s="2"/>
      <c r="D1394" s="2"/>
      <c r="E1394" s="2"/>
      <c r="F1394" s="2"/>
      <c r="G1394" s="2"/>
      <c r="H1394" s="2"/>
      <c r="I1394" s="2"/>
      <c r="J1394" s="2"/>
      <c r="K1394" s="2"/>
      <c r="L1394" s="2"/>
      <c r="M1394" s="2"/>
      <c r="N1394" s="2"/>
      <c r="O1394" s="2"/>
      <c r="P1394" s="2"/>
      <c r="Q1394" s="2"/>
      <c r="R1394" s="2"/>
      <c r="S1394" s="2"/>
      <c r="T1394" s="2"/>
      <c r="U1394" s="2"/>
      <c r="V1394" s="2"/>
      <c r="W1394" s="2"/>
    </row>
    <row r="1395" spans="1:23" ht="75" customHeight="1" x14ac:dyDescent="0.15">
      <c r="A1395" s="2"/>
      <c r="B1395" s="2"/>
      <c r="C1395" s="2"/>
      <c r="D1395" s="2"/>
      <c r="E1395" s="2"/>
      <c r="F1395" s="2"/>
      <c r="G1395" s="2"/>
      <c r="H1395" s="2"/>
      <c r="I1395" s="2"/>
      <c r="J1395" s="2"/>
      <c r="K1395" s="2"/>
      <c r="L1395" s="2"/>
      <c r="M1395" s="2"/>
      <c r="N1395" s="2"/>
      <c r="O1395" s="2"/>
      <c r="P1395" s="2"/>
      <c r="Q1395" s="2"/>
      <c r="R1395" s="2"/>
      <c r="S1395" s="2"/>
      <c r="T1395" s="2"/>
      <c r="U1395" s="2"/>
      <c r="V1395" s="2"/>
      <c r="W1395" s="2"/>
    </row>
    <row r="1396" spans="1:23" ht="75" customHeight="1" x14ac:dyDescent="0.15">
      <c r="A1396" s="2"/>
      <c r="B1396" s="2"/>
      <c r="C1396" s="2"/>
      <c r="D1396" s="2"/>
      <c r="E1396" s="2"/>
      <c r="F1396" s="2"/>
      <c r="G1396" s="2"/>
      <c r="H1396" s="2"/>
      <c r="I1396" s="2"/>
      <c r="J1396" s="2"/>
      <c r="K1396" s="2"/>
      <c r="L1396" s="2"/>
      <c r="M1396" s="2"/>
      <c r="N1396" s="2"/>
      <c r="O1396" s="2"/>
      <c r="P1396" s="2"/>
      <c r="Q1396" s="2"/>
      <c r="R1396" s="2"/>
      <c r="S1396" s="2"/>
      <c r="T1396" s="2"/>
      <c r="U1396" s="2"/>
      <c r="V1396" s="2"/>
      <c r="W1396" s="2"/>
    </row>
    <row r="1397" spans="1:23" ht="75" customHeight="1" x14ac:dyDescent="0.15">
      <c r="A1397" s="2"/>
      <c r="B1397" s="2"/>
      <c r="C1397" s="2"/>
      <c r="D1397" s="2"/>
      <c r="E1397" s="2"/>
      <c r="F1397" s="2"/>
      <c r="G1397" s="2"/>
      <c r="H1397" s="2"/>
      <c r="I1397" s="2"/>
      <c r="J1397" s="2"/>
      <c r="K1397" s="2"/>
      <c r="L1397" s="2"/>
      <c r="M1397" s="2"/>
      <c r="N1397" s="2"/>
      <c r="O1397" s="2"/>
      <c r="P1397" s="2"/>
      <c r="Q1397" s="2"/>
      <c r="R1397" s="2"/>
      <c r="S1397" s="2"/>
      <c r="T1397" s="2"/>
      <c r="U1397" s="2"/>
      <c r="V1397" s="2"/>
      <c r="W1397" s="2"/>
    </row>
    <row r="1398" spans="1:23" ht="75" customHeight="1" x14ac:dyDescent="0.15">
      <c r="A1398" s="2"/>
      <c r="B1398" s="2"/>
      <c r="C1398" s="2"/>
      <c r="D1398" s="2"/>
      <c r="E1398" s="2"/>
      <c r="F1398" s="2"/>
      <c r="G1398" s="2"/>
      <c r="H1398" s="2"/>
      <c r="I1398" s="2"/>
      <c r="J1398" s="2"/>
      <c r="K1398" s="2"/>
      <c r="L1398" s="2"/>
      <c r="M1398" s="2"/>
      <c r="N1398" s="2"/>
      <c r="O1398" s="2"/>
      <c r="P1398" s="2"/>
      <c r="Q1398" s="2"/>
      <c r="R1398" s="2"/>
      <c r="S1398" s="2"/>
      <c r="T1398" s="2"/>
      <c r="U1398" s="2"/>
      <c r="V1398" s="2"/>
      <c r="W1398" s="2"/>
    </row>
    <row r="1399" spans="1:23" ht="75" customHeight="1" x14ac:dyDescent="0.15">
      <c r="A1399" s="2"/>
      <c r="B1399" s="2"/>
      <c r="C1399" s="2"/>
      <c r="D1399" s="2"/>
      <c r="E1399" s="2"/>
      <c r="F1399" s="2"/>
      <c r="G1399" s="2"/>
      <c r="H1399" s="2"/>
      <c r="I1399" s="2"/>
      <c r="J1399" s="2"/>
      <c r="K1399" s="2"/>
      <c r="L1399" s="2"/>
      <c r="M1399" s="2"/>
      <c r="N1399" s="2"/>
      <c r="O1399" s="2"/>
      <c r="P1399" s="2"/>
      <c r="Q1399" s="2"/>
      <c r="R1399" s="2"/>
      <c r="S1399" s="2"/>
      <c r="T1399" s="2"/>
      <c r="U1399" s="2"/>
      <c r="V1399" s="2"/>
      <c r="W1399" s="2"/>
    </row>
    <row r="1400" spans="1:23" ht="75" customHeight="1" x14ac:dyDescent="0.15">
      <c r="A1400" s="2"/>
      <c r="B1400" s="2"/>
      <c r="C1400" s="2"/>
      <c r="D1400" s="2"/>
      <c r="E1400" s="2"/>
      <c r="F1400" s="2"/>
      <c r="G1400" s="2"/>
      <c r="H1400" s="2"/>
      <c r="I1400" s="2"/>
      <c r="J1400" s="2"/>
      <c r="K1400" s="2"/>
      <c r="L1400" s="2"/>
      <c r="M1400" s="2"/>
      <c r="N1400" s="2"/>
      <c r="O1400" s="2"/>
      <c r="P1400" s="2"/>
      <c r="Q1400" s="2"/>
      <c r="R1400" s="2"/>
      <c r="S1400" s="2"/>
      <c r="T1400" s="2"/>
      <c r="U1400" s="2"/>
      <c r="V1400" s="2"/>
      <c r="W1400" s="2"/>
    </row>
    <row r="1401" spans="1:23" ht="75" customHeight="1" x14ac:dyDescent="0.15">
      <c r="A1401" s="2"/>
      <c r="B1401" s="2"/>
      <c r="C1401" s="2"/>
      <c r="D1401" s="2"/>
      <c r="E1401" s="2"/>
      <c r="F1401" s="2"/>
      <c r="G1401" s="2"/>
      <c r="H1401" s="2"/>
      <c r="I1401" s="2"/>
      <c r="J1401" s="2"/>
      <c r="K1401" s="2"/>
      <c r="L1401" s="2"/>
      <c r="M1401" s="2"/>
      <c r="N1401" s="2"/>
      <c r="O1401" s="2"/>
      <c r="P1401" s="2"/>
      <c r="Q1401" s="2"/>
      <c r="R1401" s="2"/>
      <c r="S1401" s="2"/>
      <c r="T1401" s="2"/>
      <c r="U1401" s="2"/>
      <c r="V1401" s="2"/>
      <c r="W1401" s="2"/>
    </row>
    <row r="1402" spans="1:23" ht="75" customHeight="1" x14ac:dyDescent="0.15">
      <c r="A1402" s="2"/>
      <c r="B1402" s="2"/>
      <c r="C1402" s="2"/>
      <c r="D1402" s="2"/>
      <c r="E1402" s="2"/>
      <c r="F1402" s="2"/>
      <c r="G1402" s="2"/>
      <c r="H1402" s="2"/>
      <c r="I1402" s="2"/>
      <c r="J1402" s="2"/>
      <c r="K1402" s="2"/>
      <c r="L1402" s="2"/>
      <c r="M1402" s="2"/>
      <c r="N1402" s="2"/>
      <c r="O1402" s="2"/>
      <c r="P1402" s="2"/>
      <c r="Q1402" s="2"/>
      <c r="R1402" s="2"/>
      <c r="S1402" s="2"/>
      <c r="T1402" s="2"/>
      <c r="U1402" s="2"/>
      <c r="V1402" s="2"/>
      <c r="W1402" s="2"/>
    </row>
    <row r="1403" spans="1:23" ht="75" customHeight="1" x14ac:dyDescent="0.15">
      <c r="A1403" s="2"/>
      <c r="B1403" s="2"/>
      <c r="C1403" s="2"/>
      <c r="D1403" s="2"/>
      <c r="E1403" s="2"/>
      <c r="F1403" s="2"/>
      <c r="G1403" s="2"/>
      <c r="H1403" s="2"/>
      <c r="I1403" s="2"/>
      <c r="J1403" s="2"/>
      <c r="K1403" s="2"/>
      <c r="L1403" s="2"/>
      <c r="M1403" s="2"/>
      <c r="N1403" s="2"/>
      <c r="O1403" s="2"/>
      <c r="P1403" s="2"/>
      <c r="Q1403" s="2"/>
      <c r="R1403" s="2"/>
      <c r="S1403" s="2"/>
      <c r="T1403" s="2"/>
      <c r="U1403" s="2"/>
      <c r="V1403" s="2"/>
      <c r="W1403" s="2"/>
    </row>
    <row r="1404" spans="1:23" ht="75" customHeight="1" x14ac:dyDescent="0.15">
      <c r="A1404" s="2"/>
      <c r="B1404" s="2"/>
      <c r="C1404" s="2"/>
      <c r="D1404" s="2"/>
      <c r="E1404" s="2"/>
      <c r="F1404" s="2"/>
      <c r="G1404" s="2"/>
      <c r="H1404" s="2"/>
      <c r="I1404" s="2"/>
      <c r="J1404" s="2"/>
      <c r="K1404" s="2"/>
      <c r="L1404" s="2"/>
      <c r="M1404" s="2"/>
      <c r="N1404" s="2"/>
      <c r="O1404" s="2"/>
      <c r="P1404" s="2"/>
      <c r="Q1404" s="2"/>
      <c r="R1404" s="2"/>
      <c r="S1404" s="2"/>
      <c r="T1404" s="2"/>
      <c r="U1404" s="2"/>
      <c r="V1404" s="2"/>
      <c r="W1404" s="2"/>
    </row>
    <row r="1405" spans="1:23" ht="75" customHeight="1" x14ac:dyDescent="0.15">
      <c r="A1405" s="2"/>
      <c r="B1405" s="2"/>
      <c r="C1405" s="2"/>
      <c r="D1405" s="2"/>
      <c r="E1405" s="2"/>
      <c r="F1405" s="2"/>
      <c r="G1405" s="2"/>
      <c r="H1405" s="2"/>
      <c r="I1405" s="2"/>
      <c r="J1405" s="2"/>
      <c r="K1405" s="2"/>
      <c r="L1405" s="2"/>
      <c r="M1405" s="2"/>
      <c r="N1405" s="2"/>
      <c r="O1405" s="2"/>
      <c r="P1405" s="2"/>
      <c r="Q1405" s="2"/>
      <c r="R1405" s="2"/>
      <c r="S1405" s="2"/>
      <c r="T1405" s="2"/>
      <c r="U1405" s="2"/>
      <c r="V1405" s="2"/>
      <c r="W1405" s="2"/>
    </row>
    <row r="1406" spans="1:23" ht="75" customHeight="1" x14ac:dyDescent="0.15">
      <c r="A1406" s="2"/>
      <c r="B1406" s="2"/>
      <c r="C1406" s="2"/>
      <c r="D1406" s="2"/>
      <c r="E1406" s="2"/>
      <c r="F1406" s="2"/>
      <c r="G1406" s="2"/>
      <c r="H1406" s="2"/>
      <c r="I1406" s="2"/>
      <c r="J1406" s="2"/>
      <c r="K1406" s="2"/>
      <c r="L1406" s="2"/>
      <c r="M1406" s="2"/>
      <c r="N1406" s="2"/>
      <c r="O1406" s="2"/>
      <c r="P1406" s="2"/>
      <c r="Q1406" s="2"/>
      <c r="R1406" s="2"/>
      <c r="S1406" s="2"/>
      <c r="T1406" s="2"/>
      <c r="U1406" s="2"/>
      <c r="V1406" s="2"/>
      <c r="W1406" s="2"/>
    </row>
    <row r="1407" spans="1:23" ht="75" customHeight="1" x14ac:dyDescent="0.15">
      <c r="A1407" s="2"/>
      <c r="B1407" s="2"/>
      <c r="C1407" s="2"/>
      <c r="D1407" s="2"/>
      <c r="E1407" s="2"/>
      <c r="F1407" s="2"/>
      <c r="G1407" s="2"/>
      <c r="H1407" s="2"/>
      <c r="I1407" s="2"/>
      <c r="J1407" s="2"/>
      <c r="K1407" s="2"/>
      <c r="L1407" s="2"/>
      <c r="M1407" s="2"/>
      <c r="N1407" s="2"/>
      <c r="O1407" s="2"/>
      <c r="P1407" s="2"/>
      <c r="Q1407" s="2"/>
      <c r="R1407" s="2"/>
      <c r="S1407" s="2"/>
      <c r="T1407" s="2"/>
      <c r="U1407" s="2"/>
      <c r="V1407" s="2"/>
      <c r="W1407" s="2"/>
    </row>
    <row r="1408" spans="1:23" ht="75" customHeight="1" x14ac:dyDescent="0.15">
      <c r="A1408" s="2"/>
      <c r="B1408" s="2"/>
      <c r="C1408" s="2"/>
      <c r="D1408" s="2"/>
      <c r="E1408" s="2"/>
      <c r="F1408" s="2"/>
      <c r="G1408" s="2"/>
      <c r="H1408" s="2"/>
      <c r="I1408" s="2"/>
      <c r="J1408" s="2"/>
      <c r="K1408" s="2"/>
      <c r="L1408" s="2"/>
      <c r="M1408" s="2"/>
      <c r="N1408" s="2"/>
      <c r="O1408" s="2"/>
      <c r="P1408" s="2"/>
      <c r="Q1408" s="2"/>
      <c r="R1408" s="2"/>
      <c r="S1408" s="2"/>
      <c r="T1408" s="2"/>
      <c r="U1408" s="2"/>
      <c r="V1408" s="2"/>
      <c r="W1408" s="2"/>
    </row>
    <row r="1409" spans="1:23" ht="75" customHeight="1" x14ac:dyDescent="0.15">
      <c r="A1409" s="2"/>
      <c r="B1409" s="2"/>
      <c r="C1409" s="2"/>
      <c r="D1409" s="2"/>
      <c r="E1409" s="2"/>
      <c r="F1409" s="2"/>
      <c r="G1409" s="2"/>
      <c r="H1409" s="2"/>
      <c r="I1409" s="2"/>
      <c r="J1409" s="2"/>
      <c r="K1409" s="2"/>
      <c r="L1409" s="2"/>
      <c r="M1409" s="2"/>
      <c r="N1409" s="2"/>
      <c r="O1409" s="2"/>
      <c r="P1409" s="2"/>
      <c r="Q1409" s="2"/>
      <c r="R1409" s="2"/>
      <c r="S1409" s="2"/>
      <c r="T1409" s="2"/>
      <c r="U1409" s="2"/>
      <c r="V1409" s="2"/>
      <c r="W1409" s="2"/>
    </row>
    <row r="1410" spans="1:23" ht="75" customHeight="1" x14ac:dyDescent="0.15">
      <c r="A1410" s="2"/>
      <c r="B1410" s="2"/>
      <c r="C1410" s="2"/>
      <c r="D1410" s="2"/>
      <c r="E1410" s="2"/>
      <c r="F1410" s="2"/>
      <c r="G1410" s="2"/>
      <c r="H1410" s="2"/>
      <c r="I1410" s="2"/>
      <c r="J1410" s="2"/>
      <c r="K1410" s="2"/>
      <c r="L1410" s="2"/>
      <c r="M1410" s="2"/>
      <c r="N1410" s="2"/>
      <c r="O1410" s="2"/>
      <c r="P1410" s="2"/>
      <c r="Q1410" s="2"/>
      <c r="R1410" s="2"/>
      <c r="S1410" s="2"/>
      <c r="T1410" s="2"/>
      <c r="U1410" s="2"/>
      <c r="V1410" s="2"/>
      <c r="W1410" s="2"/>
    </row>
    <row r="1411" spans="1:23" ht="75" customHeight="1" x14ac:dyDescent="0.15">
      <c r="A1411" s="2"/>
      <c r="B1411" s="2"/>
      <c r="C1411" s="2"/>
      <c r="D1411" s="2"/>
      <c r="E1411" s="2"/>
      <c r="F1411" s="2"/>
      <c r="G1411" s="2"/>
      <c r="H1411" s="2"/>
      <c r="I1411" s="2"/>
      <c r="J1411" s="2"/>
      <c r="K1411" s="2"/>
      <c r="L1411" s="2"/>
      <c r="M1411" s="2"/>
      <c r="N1411" s="2"/>
      <c r="O1411" s="2"/>
      <c r="P1411" s="2"/>
      <c r="Q1411" s="2"/>
      <c r="R1411" s="2"/>
      <c r="S1411" s="2"/>
      <c r="T1411" s="2"/>
      <c r="U1411" s="2"/>
      <c r="V1411" s="2"/>
      <c r="W1411" s="2"/>
    </row>
    <row r="1412" spans="1:23" ht="75" customHeight="1" x14ac:dyDescent="0.15">
      <c r="A1412" s="2"/>
      <c r="B1412" s="2"/>
      <c r="C1412" s="2"/>
      <c r="D1412" s="2"/>
      <c r="E1412" s="2"/>
      <c r="F1412" s="2"/>
      <c r="G1412" s="2"/>
      <c r="H1412" s="2"/>
      <c r="I1412" s="2"/>
      <c r="J1412" s="2"/>
      <c r="K1412" s="2"/>
      <c r="L1412" s="2"/>
      <c r="M1412" s="2"/>
      <c r="N1412" s="2"/>
      <c r="O1412" s="2"/>
      <c r="P1412" s="2"/>
      <c r="Q1412" s="2"/>
      <c r="R1412" s="2"/>
      <c r="S1412" s="2"/>
      <c r="T1412" s="2"/>
      <c r="U1412" s="2"/>
      <c r="V1412" s="2"/>
      <c r="W1412" s="2"/>
    </row>
    <row r="1413" spans="1:23" ht="75" customHeight="1" x14ac:dyDescent="0.15">
      <c r="A1413" s="2"/>
      <c r="B1413" s="2"/>
      <c r="C1413" s="2"/>
      <c r="D1413" s="2"/>
      <c r="E1413" s="2"/>
      <c r="F1413" s="2"/>
      <c r="G1413" s="2"/>
      <c r="H1413" s="2"/>
      <c r="I1413" s="2"/>
      <c r="J1413" s="2"/>
      <c r="K1413" s="2"/>
      <c r="L1413" s="2"/>
      <c r="M1413" s="2"/>
      <c r="N1413" s="2"/>
      <c r="O1413" s="2"/>
      <c r="P1413" s="2"/>
      <c r="Q1413" s="2"/>
      <c r="R1413" s="2"/>
      <c r="S1413" s="2"/>
      <c r="T1413" s="2"/>
      <c r="U1413" s="2"/>
      <c r="V1413" s="2"/>
      <c r="W1413" s="2"/>
    </row>
    <row r="1414" spans="1:23" ht="75" customHeight="1" x14ac:dyDescent="0.15">
      <c r="A1414" s="2"/>
      <c r="B1414" s="2"/>
      <c r="C1414" s="2"/>
      <c r="D1414" s="2"/>
      <c r="E1414" s="2"/>
      <c r="F1414" s="2"/>
      <c r="G1414" s="2"/>
      <c r="H1414" s="2"/>
      <c r="I1414" s="2"/>
      <c r="J1414" s="2"/>
      <c r="K1414" s="2"/>
      <c r="L1414" s="2"/>
      <c r="M1414" s="2"/>
      <c r="N1414" s="2"/>
      <c r="O1414" s="2"/>
      <c r="P1414" s="2"/>
      <c r="Q1414" s="2"/>
      <c r="R1414" s="2"/>
      <c r="S1414" s="2"/>
      <c r="T1414" s="2"/>
      <c r="U1414" s="2"/>
      <c r="V1414" s="2"/>
      <c r="W1414" s="2"/>
    </row>
    <row r="1415" spans="1:23" ht="75" customHeight="1" x14ac:dyDescent="0.15">
      <c r="A1415" s="2"/>
      <c r="B1415" s="2"/>
      <c r="C1415" s="2"/>
      <c r="D1415" s="2"/>
      <c r="E1415" s="2"/>
      <c r="F1415" s="2"/>
      <c r="G1415" s="2"/>
      <c r="H1415" s="2"/>
      <c r="I1415" s="2"/>
      <c r="J1415" s="2"/>
      <c r="K1415" s="2"/>
      <c r="L1415" s="2"/>
      <c r="M1415" s="2"/>
      <c r="N1415" s="2"/>
      <c r="O1415" s="2"/>
      <c r="P1415" s="2"/>
      <c r="Q1415" s="2"/>
      <c r="R1415" s="2"/>
      <c r="S1415" s="2"/>
      <c r="T1415" s="2"/>
      <c r="U1415" s="2"/>
      <c r="V1415" s="2"/>
      <c r="W1415" s="2"/>
    </row>
    <row r="1416" spans="1:23" ht="75" customHeight="1" x14ac:dyDescent="0.15">
      <c r="A1416" s="2"/>
      <c r="B1416" s="2"/>
      <c r="C1416" s="2"/>
      <c r="D1416" s="2"/>
      <c r="E1416" s="2"/>
      <c r="F1416" s="2"/>
      <c r="G1416" s="2"/>
      <c r="H1416" s="2"/>
      <c r="I1416" s="2"/>
      <c r="J1416" s="2"/>
      <c r="K1416" s="2"/>
      <c r="L1416" s="2"/>
      <c r="M1416" s="2"/>
      <c r="N1416" s="2"/>
      <c r="O1416" s="2"/>
      <c r="P1416" s="2"/>
      <c r="Q1416" s="2"/>
      <c r="R1416" s="2"/>
      <c r="S1416" s="2"/>
      <c r="T1416" s="2"/>
      <c r="U1416" s="2"/>
      <c r="V1416" s="2"/>
      <c r="W1416" s="2"/>
    </row>
    <row r="1417" spans="1:23" ht="75" customHeight="1" x14ac:dyDescent="0.15">
      <c r="A1417" s="2"/>
      <c r="B1417" s="2"/>
      <c r="C1417" s="2"/>
      <c r="D1417" s="2"/>
      <c r="E1417" s="2"/>
      <c r="F1417" s="2"/>
      <c r="G1417" s="2"/>
      <c r="H1417" s="2"/>
      <c r="I1417" s="2"/>
      <c r="J1417" s="2"/>
      <c r="K1417" s="2"/>
      <c r="L1417" s="2"/>
      <c r="M1417" s="2"/>
      <c r="N1417" s="2"/>
      <c r="O1417" s="2"/>
      <c r="P1417" s="2"/>
      <c r="Q1417" s="2"/>
      <c r="R1417" s="2"/>
      <c r="S1417" s="2"/>
      <c r="T1417" s="2"/>
      <c r="U1417" s="2"/>
      <c r="V1417" s="2"/>
      <c r="W1417" s="2"/>
    </row>
    <row r="1418" spans="1:23" ht="75" customHeight="1" x14ac:dyDescent="0.15">
      <c r="A1418" s="2"/>
      <c r="B1418" s="2"/>
      <c r="C1418" s="2"/>
      <c r="D1418" s="2"/>
      <c r="E1418" s="2"/>
      <c r="F1418" s="2"/>
      <c r="G1418" s="2"/>
      <c r="H1418" s="2"/>
      <c r="I1418" s="2"/>
      <c r="J1418" s="2"/>
      <c r="K1418" s="2"/>
      <c r="L1418" s="2"/>
      <c r="M1418" s="2"/>
      <c r="N1418" s="2"/>
      <c r="O1418" s="2"/>
      <c r="P1418" s="2"/>
      <c r="Q1418" s="2"/>
      <c r="R1418" s="2"/>
      <c r="S1418" s="2"/>
      <c r="T1418" s="2"/>
      <c r="U1418" s="2"/>
      <c r="V1418" s="2"/>
      <c r="W1418" s="2"/>
    </row>
    <row r="1419" spans="1:23" ht="75" customHeight="1" x14ac:dyDescent="0.15">
      <c r="A1419" s="2"/>
      <c r="B1419" s="2"/>
      <c r="C1419" s="2"/>
      <c r="D1419" s="2"/>
      <c r="E1419" s="2"/>
      <c r="F1419" s="2"/>
      <c r="G1419" s="2"/>
      <c r="H1419" s="2"/>
      <c r="I1419" s="2"/>
      <c r="J1419" s="2"/>
      <c r="K1419" s="2"/>
      <c r="L1419" s="2"/>
      <c r="M1419" s="2"/>
      <c r="N1419" s="2"/>
      <c r="O1419" s="2"/>
      <c r="P1419" s="2"/>
      <c r="Q1419" s="2"/>
      <c r="R1419" s="2"/>
      <c r="S1419" s="2"/>
      <c r="T1419" s="2"/>
      <c r="U1419" s="2"/>
      <c r="V1419" s="2"/>
      <c r="W1419" s="2"/>
    </row>
    <row r="1420" spans="1:23" ht="75" customHeight="1" x14ac:dyDescent="0.15">
      <c r="A1420" s="2"/>
      <c r="B1420" s="2"/>
      <c r="C1420" s="2"/>
      <c r="D1420" s="2"/>
      <c r="E1420" s="2"/>
      <c r="F1420" s="2"/>
      <c r="G1420" s="2"/>
      <c r="H1420" s="2"/>
      <c r="I1420" s="2"/>
      <c r="J1420" s="2"/>
      <c r="K1420" s="2"/>
      <c r="L1420" s="2"/>
      <c r="M1420" s="2"/>
      <c r="N1420" s="2"/>
      <c r="O1420" s="2"/>
      <c r="P1420" s="2"/>
      <c r="Q1420" s="2"/>
      <c r="R1420" s="2"/>
      <c r="S1420" s="2"/>
      <c r="T1420" s="2"/>
      <c r="U1420" s="2"/>
      <c r="V1420" s="2"/>
      <c r="W1420" s="2"/>
    </row>
    <row r="1421" spans="1:23" ht="75" customHeight="1" x14ac:dyDescent="0.15">
      <c r="A1421" s="2"/>
      <c r="B1421" s="2"/>
      <c r="C1421" s="2"/>
      <c r="D1421" s="2"/>
      <c r="E1421" s="2"/>
      <c r="F1421" s="2"/>
      <c r="G1421" s="2"/>
      <c r="H1421" s="2"/>
      <c r="I1421" s="2"/>
      <c r="J1421" s="2"/>
      <c r="K1421" s="2"/>
      <c r="L1421" s="2"/>
      <c r="M1421" s="2"/>
      <c r="N1421" s="2"/>
      <c r="O1421" s="2"/>
      <c r="P1421" s="2"/>
      <c r="Q1421" s="2"/>
      <c r="R1421" s="2"/>
      <c r="S1421" s="2"/>
      <c r="T1421" s="2"/>
      <c r="U1421" s="2"/>
      <c r="V1421" s="2"/>
      <c r="W1421" s="2"/>
    </row>
    <row r="1422" spans="1:23" ht="75" customHeight="1" x14ac:dyDescent="0.15">
      <c r="A1422" s="2"/>
      <c r="B1422" s="2"/>
      <c r="C1422" s="2"/>
      <c r="D1422" s="2"/>
      <c r="E1422" s="2"/>
      <c r="F1422" s="2"/>
      <c r="G1422" s="2"/>
      <c r="H1422" s="2"/>
      <c r="I1422" s="2"/>
      <c r="J1422" s="2"/>
      <c r="K1422" s="2"/>
      <c r="L1422" s="2"/>
      <c r="M1422" s="2"/>
      <c r="N1422" s="2"/>
      <c r="O1422" s="2"/>
      <c r="P1422" s="2"/>
      <c r="Q1422" s="2"/>
      <c r="R1422" s="2"/>
      <c r="S1422" s="2"/>
      <c r="T1422" s="2"/>
      <c r="U1422" s="2"/>
      <c r="V1422" s="2"/>
      <c r="W1422" s="2"/>
    </row>
    <row r="1423" spans="1:23" ht="75" customHeight="1" x14ac:dyDescent="0.15">
      <c r="A1423" s="2"/>
      <c r="B1423" s="2"/>
      <c r="C1423" s="2"/>
      <c r="D1423" s="2"/>
      <c r="E1423" s="2"/>
      <c r="F1423" s="2"/>
      <c r="G1423" s="2"/>
      <c r="H1423" s="2"/>
      <c r="I1423" s="2"/>
      <c r="J1423" s="2"/>
      <c r="K1423" s="2"/>
      <c r="L1423" s="2"/>
      <c r="M1423" s="2"/>
      <c r="N1423" s="2"/>
      <c r="O1423" s="2"/>
      <c r="P1423" s="2"/>
      <c r="Q1423" s="2"/>
      <c r="R1423" s="2"/>
      <c r="S1423" s="2"/>
      <c r="T1423" s="2"/>
      <c r="U1423" s="2"/>
      <c r="V1423" s="2"/>
      <c r="W1423" s="2"/>
    </row>
    <row r="1424" spans="1:23" ht="75" customHeight="1" x14ac:dyDescent="0.15">
      <c r="A1424" s="2"/>
      <c r="B1424" s="2"/>
      <c r="C1424" s="2"/>
      <c r="D1424" s="2"/>
      <c r="E1424" s="2"/>
      <c r="F1424" s="2"/>
      <c r="G1424" s="2"/>
      <c r="H1424" s="2"/>
      <c r="I1424" s="2"/>
      <c r="J1424" s="2"/>
      <c r="K1424" s="2"/>
      <c r="L1424" s="2"/>
      <c r="M1424" s="2"/>
      <c r="N1424" s="2"/>
      <c r="O1424" s="2"/>
      <c r="P1424" s="2"/>
      <c r="Q1424" s="2"/>
      <c r="R1424" s="2"/>
      <c r="S1424" s="2"/>
      <c r="T1424" s="2"/>
      <c r="U1424" s="2"/>
      <c r="V1424" s="2"/>
      <c r="W1424" s="2"/>
    </row>
    <row r="1425" spans="1:23" ht="75" customHeight="1" x14ac:dyDescent="0.15">
      <c r="A1425" s="2"/>
      <c r="B1425" s="2"/>
      <c r="C1425" s="2"/>
      <c r="D1425" s="2"/>
      <c r="E1425" s="2"/>
      <c r="F1425" s="2"/>
      <c r="G1425" s="2"/>
      <c r="H1425" s="2"/>
      <c r="I1425" s="2"/>
      <c r="J1425" s="2"/>
      <c r="K1425" s="2"/>
      <c r="L1425" s="2"/>
      <c r="M1425" s="2"/>
      <c r="N1425" s="2"/>
      <c r="O1425" s="2"/>
      <c r="P1425" s="2"/>
      <c r="Q1425" s="2"/>
      <c r="R1425" s="2"/>
      <c r="S1425" s="2"/>
      <c r="T1425" s="2"/>
      <c r="U1425" s="2"/>
      <c r="V1425" s="2"/>
      <c r="W1425" s="2"/>
    </row>
    <row r="1426" spans="1:23" ht="75" customHeight="1" x14ac:dyDescent="0.15">
      <c r="A1426" s="2"/>
      <c r="B1426" s="2"/>
      <c r="C1426" s="2"/>
      <c r="D1426" s="2"/>
      <c r="E1426" s="2"/>
      <c r="F1426" s="2"/>
      <c r="G1426" s="2"/>
      <c r="H1426" s="2"/>
      <c r="I1426" s="2"/>
      <c r="J1426" s="2"/>
      <c r="K1426" s="2"/>
      <c r="L1426" s="2"/>
      <c r="M1426" s="2"/>
      <c r="N1426" s="2"/>
      <c r="O1426" s="2"/>
      <c r="P1426" s="2"/>
      <c r="Q1426" s="2"/>
      <c r="R1426" s="2"/>
      <c r="S1426" s="2"/>
      <c r="T1426" s="2"/>
      <c r="U1426" s="2"/>
      <c r="V1426" s="2"/>
      <c r="W1426" s="2"/>
    </row>
    <row r="1427" spans="1:23" ht="75" customHeight="1" x14ac:dyDescent="0.15">
      <c r="A1427" s="2"/>
      <c r="B1427" s="2"/>
      <c r="C1427" s="2"/>
      <c r="D1427" s="2"/>
      <c r="E1427" s="2"/>
      <c r="F1427" s="2"/>
      <c r="G1427" s="2"/>
      <c r="H1427" s="2"/>
      <c r="I1427" s="2"/>
      <c r="J1427" s="2"/>
      <c r="K1427" s="2"/>
      <c r="L1427" s="2"/>
      <c r="M1427" s="2"/>
      <c r="N1427" s="2"/>
      <c r="O1427" s="2"/>
      <c r="P1427" s="2"/>
      <c r="Q1427" s="2"/>
      <c r="R1427" s="2"/>
      <c r="S1427" s="2"/>
      <c r="T1427" s="2"/>
      <c r="U1427" s="2"/>
      <c r="V1427" s="2"/>
      <c r="W1427" s="2"/>
    </row>
    <row r="1428" spans="1:23" ht="75" customHeight="1" x14ac:dyDescent="0.15">
      <c r="A1428" s="2"/>
      <c r="B1428" s="2"/>
      <c r="C1428" s="2"/>
      <c r="D1428" s="2"/>
      <c r="E1428" s="2"/>
      <c r="F1428" s="2"/>
      <c r="G1428" s="2"/>
      <c r="H1428" s="2"/>
      <c r="I1428" s="2"/>
      <c r="J1428" s="2"/>
      <c r="K1428" s="2"/>
      <c r="L1428" s="2"/>
      <c r="M1428" s="2"/>
      <c r="N1428" s="2"/>
      <c r="O1428" s="2"/>
      <c r="P1428" s="2"/>
      <c r="Q1428" s="2"/>
      <c r="R1428" s="2"/>
      <c r="S1428" s="2"/>
      <c r="T1428" s="2"/>
      <c r="U1428" s="2"/>
      <c r="V1428" s="2"/>
      <c r="W1428" s="2"/>
    </row>
    <row r="1429" spans="1:23" ht="75" customHeight="1" x14ac:dyDescent="0.15">
      <c r="A1429" s="2"/>
      <c r="B1429" s="2"/>
      <c r="C1429" s="2"/>
      <c r="D1429" s="2"/>
      <c r="E1429" s="2"/>
      <c r="F1429" s="2"/>
      <c r="G1429" s="2"/>
      <c r="H1429" s="2"/>
      <c r="I1429" s="2"/>
      <c r="J1429" s="2"/>
      <c r="K1429" s="2"/>
      <c r="L1429" s="2"/>
      <c r="M1429" s="2"/>
      <c r="N1429" s="2"/>
      <c r="O1429" s="2"/>
      <c r="P1429" s="2"/>
      <c r="Q1429" s="2"/>
      <c r="R1429" s="2"/>
      <c r="S1429" s="2"/>
      <c r="T1429" s="2"/>
      <c r="U1429" s="2"/>
      <c r="V1429" s="2"/>
      <c r="W1429" s="2"/>
    </row>
    <row r="1430" spans="1:23" ht="75" customHeight="1" x14ac:dyDescent="0.15">
      <c r="A1430" s="2"/>
      <c r="B1430" s="2"/>
      <c r="C1430" s="2"/>
      <c r="D1430" s="2"/>
      <c r="E1430" s="2"/>
      <c r="F1430" s="2"/>
      <c r="G1430" s="2"/>
      <c r="H1430" s="2"/>
      <c r="I1430" s="2"/>
      <c r="J1430" s="2"/>
      <c r="K1430" s="2"/>
      <c r="L1430" s="2"/>
      <c r="M1430" s="2"/>
      <c r="N1430" s="2"/>
      <c r="O1430" s="2"/>
      <c r="P1430" s="2"/>
      <c r="Q1430" s="2"/>
      <c r="R1430" s="2"/>
      <c r="S1430" s="2"/>
      <c r="T1430" s="2"/>
      <c r="U1430" s="2"/>
      <c r="V1430" s="2"/>
      <c r="W1430" s="2"/>
    </row>
    <row r="1431" spans="1:23" ht="75" customHeight="1" x14ac:dyDescent="0.15">
      <c r="A1431" s="2"/>
      <c r="B1431" s="2"/>
      <c r="C1431" s="2"/>
      <c r="D1431" s="2"/>
      <c r="E1431" s="2"/>
      <c r="F1431" s="2"/>
      <c r="G1431" s="2"/>
      <c r="H1431" s="2"/>
      <c r="I1431" s="2"/>
      <c r="J1431" s="2"/>
      <c r="K1431" s="2"/>
      <c r="L1431" s="2"/>
      <c r="M1431" s="2"/>
      <c r="N1431" s="2"/>
      <c r="O1431" s="2"/>
      <c r="P1431" s="2"/>
      <c r="Q1431" s="2"/>
      <c r="R1431" s="2"/>
      <c r="S1431" s="2"/>
      <c r="T1431" s="2"/>
      <c r="U1431" s="2"/>
      <c r="V1431" s="2"/>
      <c r="W1431" s="2"/>
    </row>
    <row r="1432" spans="1:23" ht="75" customHeight="1" x14ac:dyDescent="0.15">
      <c r="A1432" s="2"/>
      <c r="B1432" s="2"/>
      <c r="C1432" s="2"/>
      <c r="D1432" s="2"/>
      <c r="E1432" s="2"/>
      <c r="F1432" s="2"/>
      <c r="G1432" s="2"/>
      <c r="H1432" s="2"/>
      <c r="I1432" s="2"/>
      <c r="J1432" s="2"/>
      <c r="K1432" s="2"/>
      <c r="L1432" s="2"/>
      <c r="M1432" s="2"/>
      <c r="N1432" s="2"/>
      <c r="O1432" s="2"/>
      <c r="P1432" s="2"/>
      <c r="Q1432" s="2"/>
      <c r="R1432" s="2"/>
      <c r="S1432" s="2"/>
      <c r="T1432" s="2"/>
      <c r="U1432" s="2"/>
      <c r="V1432" s="2"/>
      <c r="W1432" s="2"/>
    </row>
    <row r="1433" spans="1:23" ht="75" customHeight="1" x14ac:dyDescent="0.15">
      <c r="A1433" s="2"/>
      <c r="B1433" s="2"/>
      <c r="C1433" s="2"/>
      <c r="D1433" s="2"/>
      <c r="E1433" s="2"/>
      <c r="F1433" s="2"/>
      <c r="G1433" s="2"/>
      <c r="H1433" s="2"/>
      <c r="I1433" s="2"/>
      <c r="J1433" s="2"/>
      <c r="K1433" s="2"/>
      <c r="L1433" s="2"/>
      <c r="M1433" s="2"/>
      <c r="N1433" s="2"/>
      <c r="O1433" s="2"/>
      <c r="P1433" s="2"/>
      <c r="Q1433" s="2"/>
      <c r="R1433" s="2"/>
      <c r="S1433" s="2"/>
      <c r="T1433" s="2"/>
      <c r="U1433" s="2"/>
      <c r="V1433" s="2"/>
      <c r="W1433" s="2"/>
    </row>
    <row r="1434" spans="1:23" ht="75" customHeight="1" x14ac:dyDescent="0.15">
      <c r="A1434" s="2"/>
      <c r="B1434" s="2"/>
      <c r="C1434" s="2"/>
      <c r="D1434" s="2"/>
      <c r="E1434" s="2"/>
      <c r="F1434" s="2"/>
      <c r="G1434" s="2"/>
      <c r="H1434" s="2"/>
      <c r="I1434" s="2"/>
      <c r="J1434" s="2"/>
      <c r="K1434" s="2"/>
      <c r="L1434" s="2"/>
      <c r="M1434" s="2"/>
      <c r="N1434" s="2"/>
      <c r="O1434" s="2"/>
      <c r="P1434" s="2"/>
      <c r="Q1434" s="2"/>
      <c r="R1434" s="2"/>
      <c r="S1434" s="2"/>
      <c r="T1434" s="2"/>
      <c r="U1434" s="2"/>
      <c r="V1434" s="2"/>
      <c r="W1434" s="2"/>
    </row>
    <row r="1435" spans="1:23" ht="75" customHeight="1" x14ac:dyDescent="0.15">
      <c r="A1435" s="2"/>
      <c r="B1435" s="2"/>
      <c r="C1435" s="2"/>
      <c r="D1435" s="2"/>
      <c r="E1435" s="2"/>
      <c r="F1435" s="2"/>
      <c r="G1435" s="2"/>
      <c r="H1435" s="2"/>
      <c r="I1435" s="2"/>
      <c r="J1435" s="2"/>
      <c r="K1435" s="2"/>
      <c r="L1435" s="2"/>
      <c r="M1435" s="2"/>
      <c r="N1435" s="2"/>
      <c r="O1435" s="2"/>
      <c r="P1435" s="2"/>
      <c r="Q1435" s="2"/>
      <c r="R1435" s="2"/>
      <c r="S1435" s="2"/>
      <c r="T1435" s="2"/>
      <c r="U1435" s="2"/>
      <c r="V1435" s="2"/>
      <c r="W1435" s="2"/>
    </row>
    <row r="1436" spans="1:23" ht="75" customHeight="1" x14ac:dyDescent="0.15">
      <c r="A1436" s="2"/>
      <c r="B1436" s="2"/>
      <c r="C1436" s="2"/>
      <c r="D1436" s="2"/>
      <c r="E1436" s="2"/>
      <c r="F1436" s="2"/>
      <c r="G1436" s="2"/>
      <c r="H1436" s="2"/>
      <c r="I1436" s="2"/>
      <c r="J1436" s="2"/>
      <c r="K1436" s="2"/>
      <c r="L1436" s="2"/>
      <c r="M1436" s="2"/>
      <c r="N1436" s="2"/>
      <c r="O1436" s="2"/>
      <c r="P1436" s="2"/>
      <c r="Q1436" s="2"/>
      <c r="R1436" s="2"/>
      <c r="S1436" s="2"/>
      <c r="T1436" s="2"/>
      <c r="U1436" s="2"/>
      <c r="V1436" s="2"/>
      <c r="W1436" s="2"/>
    </row>
    <row r="1437" spans="1:23" ht="75" customHeight="1" x14ac:dyDescent="0.15">
      <c r="A1437" s="2"/>
      <c r="B1437" s="2"/>
      <c r="C1437" s="2"/>
      <c r="D1437" s="2"/>
      <c r="E1437" s="2"/>
      <c r="F1437" s="2"/>
      <c r="G1437" s="2"/>
      <c r="H1437" s="2"/>
      <c r="I1437" s="2"/>
      <c r="J1437" s="2"/>
      <c r="K1437" s="2"/>
      <c r="L1437" s="2"/>
      <c r="M1437" s="2"/>
      <c r="N1437" s="2"/>
      <c r="O1437" s="2"/>
      <c r="P1437" s="2"/>
      <c r="Q1437" s="2"/>
      <c r="R1437" s="2"/>
      <c r="S1437" s="2"/>
      <c r="T1437" s="2"/>
      <c r="U1437" s="2"/>
      <c r="V1437" s="2"/>
      <c r="W1437" s="2"/>
    </row>
    <row r="1438" spans="1:23" ht="75" customHeight="1" x14ac:dyDescent="0.15">
      <c r="A1438" s="2"/>
      <c r="B1438" s="2"/>
      <c r="C1438" s="2"/>
      <c r="D1438" s="2"/>
      <c r="E1438" s="2"/>
      <c r="F1438" s="2"/>
      <c r="G1438" s="2"/>
      <c r="H1438" s="2"/>
      <c r="I1438" s="2"/>
      <c r="J1438" s="2"/>
      <c r="K1438" s="2"/>
      <c r="L1438" s="2"/>
      <c r="M1438" s="2"/>
      <c r="N1438" s="2"/>
      <c r="O1438" s="2"/>
      <c r="P1438" s="2"/>
      <c r="Q1438" s="2"/>
      <c r="R1438" s="2"/>
      <c r="S1438" s="2"/>
      <c r="T1438" s="2"/>
      <c r="U1438" s="2"/>
      <c r="V1438" s="2"/>
      <c r="W1438" s="2"/>
    </row>
    <row r="1439" spans="1:23" ht="75" customHeight="1" x14ac:dyDescent="0.15">
      <c r="A1439" s="2"/>
      <c r="B1439" s="2"/>
      <c r="C1439" s="2"/>
      <c r="D1439" s="2"/>
      <c r="E1439" s="2"/>
      <c r="F1439" s="2"/>
      <c r="G1439" s="2"/>
      <c r="H1439" s="2"/>
      <c r="I1439" s="2"/>
      <c r="J1439" s="2"/>
      <c r="K1439" s="2"/>
      <c r="L1439" s="2"/>
      <c r="M1439" s="2"/>
      <c r="N1439" s="2"/>
      <c r="O1439" s="2"/>
      <c r="P1439" s="2"/>
      <c r="Q1439" s="2"/>
      <c r="R1439" s="2"/>
      <c r="S1439" s="2"/>
      <c r="T1439" s="2"/>
      <c r="U1439" s="2"/>
      <c r="V1439" s="2"/>
      <c r="W1439" s="2"/>
    </row>
    <row r="1440" spans="1:23" ht="75" customHeight="1" x14ac:dyDescent="0.15">
      <c r="A1440" s="2"/>
      <c r="B1440" s="2"/>
      <c r="C1440" s="2"/>
      <c r="D1440" s="2"/>
      <c r="E1440" s="2"/>
      <c r="F1440" s="2"/>
      <c r="G1440" s="2"/>
      <c r="H1440" s="2"/>
      <c r="I1440" s="2"/>
      <c r="J1440" s="2"/>
      <c r="K1440" s="2"/>
      <c r="L1440" s="2"/>
      <c r="M1440" s="2"/>
      <c r="N1440" s="2"/>
      <c r="O1440" s="2"/>
      <c r="P1440" s="2"/>
      <c r="Q1440" s="2"/>
      <c r="R1440" s="2"/>
      <c r="S1440" s="2"/>
      <c r="T1440" s="2"/>
      <c r="U1440" s="2"/>
      <c r="V1440" s="2"/>
      <c r="W1440" s="2"/>
    </row>
    <row r="1441" spans="1:23" ht="75" customHeight="1" x14ac:dyDescent="0.15">
      <c r="A1441" s="2"/>
      <c r="B1441" s="2"/>
      <c r="C1441" s="2"/>
      <c r="D1441" s="2"/>
      <c r="E1441" s="2"/>
      <c r="F1441" s="2"/>
      <c r="G1441" s="2"/>
      <c r="H1441" s="2"/>
      <c r="I1441" s="2"/>
      <c r="J1441" s="2"/>
      <c r="K1441" s="2"/>
      <c r="L1441" s="2"/>
      <c r="M1441" s="2"/>
      <c r="N1441" s="2"/>
      <c r="O1441" s="2"/>
      <c r="P1441" s="2"/>
      <c r="Q1441" s="2"/>
      <c r="R1441" s="2"/>
      <c r="S1441" s="2"/>
      <c r="T1441" s="2"/>
      <c r="U1441" s="2"/>
      <c r="V1441" s="2"/>
      <c r="W1441" s="2"/>
    </row>
    <row r="1442" spans="1:23" ht="75" customHeight="1" x14ac:dyDescent="0.15">
      <c r="A1442" s="2"/>
      <c r="B1442" s="2"/>
      <c r="C1442" s="2"/>
      <c r="D1442" s="2"/>
      <c r="E1442" s="2"/>
      <c r="F1442" s="2"/>
      <c r="G1442" s="2"/>
      <c r="H1442" s="2"/>
      <c r="I1442" s="2"/>
      <c r="J1442" s="2"/>
      <c r="K1442" s="2"/>
      <c r="L1442" s="2"/>
      <c r="M1442" s="2"/>
      <c r="N1442" s="2"/>
      <c r="O1442" s="2"/>
      <c r="P1442" s="2"/>
      <c r="Q1442" s="2"/>
      <c r="R1442" s="2"/>
      <c r="S1442" s="2"/>
      <c r="T1442" s="2"/>
      <c r="U1442" s="2"/>
      <c r="V1442" s="2"/>
      <c r="W1442" s="2"/>
    </row>
    <row r="1443" spans="1:23" ht="75" customHeight="1" x14ac:dyDescent="0.15">
      <c r="A1443" s="2"/>
      <c r="B1443" s="2"/>
      <c r="C1443" s="2"/>
      <c r="D1443" s="2"/>
      <c r="E1443" s="2"/>
      <c r="F1443" s="2"/>
      <c r="G1443" s="2"/>
      <c r="H1443" s="2"/>
      <c r="I1443" s="2"/>
      <c r="J1443" s="2"/>
      <c r="K1443" s="2"/>
      <c r="L1443" s="2"/>
      <c r="M1443" s="2"/>
      <c r="N1443" s="2"/>
      <c r="O1443" s="2"/>
      <c r="P1443" s="2"/>
      <c r="Q1443" s="2"/>
      <c r="R1443" s="2"/>
      <c r="S1443" s="2"/>
      <c r="T1443" s="2"/>
      <c r="U1443" s="2"/>
      <c r="V1443" s="2"/>
      <c r="W1443" s="2"/>
    </row>
    <row r="1444" spans="1:23" ht="75" customHeight="1" x14ac:dyDescent="0.15">
      <c r="A1444" s="2"/>
      <c r="B1444" s="2"/>
      <c r="C1444" s="2"/>
      <c r="D1444" s="2"/>
      <c r="E1444" s="2"/>
      <c r="F1444" s="2"/>
      <c r="G1444" s="2"/>
      <c r="H1444" s="2"/>
      <c r="I1444" s="2"/>
      <c r="J1444" s="2"/>
      <c r="K1444" s="2"/>
      <c r="L1444" s="2"/>
      <c r="M1444" s="2"/>
      <c r="N1444" s="2"/>
      <c r="O1444" s="2"/>
      <c r="P1444" s="2"/>
      <c r="Q1444" s="2"/>
      <c r="R1444" s="2"/>
      <c r="S1444" s="2"/>
      <c r="T1444" s="2"/>
      <c r="U1444" s="2"/>
      <c r="V1444" s="2"/>
      <c r="W1444" s="2"/>
    </row>
    <row r="1445" spans="1:23" ht="75" customHeight="1" x14ac:dyDescent="0.15">
      <c r="A1445" s="2"/>
      <c r="B1445" s="2"/>
      <c r="C1445" s="2"/>
      <c r="D1445" s="2"/>
      <c r="E1445" s="2"/>
      <c r="F1445" s="2"/>
      <c r="G1445" s="2"/>
      <c r="H1445" s="2"/>
      <c r="I1445" s="2"/>
      <c r="J1445" s="2"/>
      <c r="K1445" s="2"/>
      <c r="L1445" s="2"/>
      <c r="M1445" s="2"/>
      <c r="N1445" s="2"/>
      <c r="O1445" s="2"/>
      <c r="P1445" s="2"/>
      <c r="Q1445" s="2"/>
      <c r="R1445" s="2"/>
      <c r="S1445" s="2"/>
      <c r="T1445" s="2"/>
      <c r="U1445" s="2"/>
      <c r="V1445" s="2"/>
      <c r="W1445" s="2"/>
    </row>
    <row r="1446" spans="1:23" ht="75" customHeight="1" x14ac:dyDescent="0.15">
      <c r="A1446" s="2"/>
      <c r="B1446" s="2"/>
      <c r="C1446" s="2"/>
      <c r="D1446" s="2"/>
      <c r="E1446" s="2"/>
      <c r="F1446" s="2"/>
      <c r="G1446" s="2"/>
      <c r="H1446" s="2"/>
      <c r="I1446" s="2"/>
      <c r="J1446" s="2"/>
      <c r="K1446" s="2"/>
      <c r="L1446" s="2"/>
      <c r="M1446" s="2"/>
      <c r="N1446" s="2"/>
      <c r="O1446" s="2"/>
      <c r="P1446" s="2"/>
      <c r="Q1446" s="2"/>
      <c r="R1446" s="2"/>
      <c r="S1446" s="2"/>
      <c r="T1446" s="2"/>
      <c r="U1446" s="2"/>
      <c r="V1446" s="2"/>
      <c r="W1446" s="2"/>
    </row>
    <row r="1447" spans="1:23" ht="75" customHeight="1" x14ac:dyDescent="0.15">
      <c r="A1447" s="2"/>
      <c r="B1447" s="2"/>
      <c r="C1447" s="2"/>
      <c r="D1447" s="2"/>
      <c r="E1447" s="2"/>
      <c r="F1447" s="2"/>
      <c r="G1447" s="2"/>
      <c r="H1447" s="2"/>
      <c r="I1447" s="2"/>
      <c r="J1447" s="2"/>
      <c r="K1447" s="2"/>
      <c r="L1447" s="2"/>
      <c r="M1447" s="2"/>
      <c r="N1447" s="2"/>
      <c r="O1447" s="2"/>
      <c r="P1447" s="2"/>
      <c r="Q1447" s="2"/>
      <c r="R1447" s="2"/>
      <c r="S1447" s="2"/>
      <c r="T1447" s="2"/>
      <c r="U1447" s="2"/>
      <c r="V1447" s="2"/>
      <c r="W1447" s="2"/>
    </row>
    <row r="1448" spans="1:23" ht="75" customHeight="1" x14ac:dyDescent="0.15">
      <c r="A1448" s="2"/>
      <c r="B1448" s="2"/>
      <c r="C1448" s="2"/>
      <c r="D1448" s="2"/>
      <c r="E1448" s="2"/>
      <c r="F1448" s="2"/>
      <c r="G1448" s="2"/>
      <c r="H1448" s="2"/>
      <c r="I1448" s="2"/>
      <c r="J1448" s="2"/>
      <c r="K1448" s="2"/>
      <c r="L1448" s="2"/>
      <c r="M1448" s="2"/>
      <c r="N1448" s="2"/>
      <c r="O1448" s="2"/>
      <c r="P1448" s="2"/>
      <c r="Q1448" s="2"/>
      <c r="R1448" s="2"/>
      <c r="S1448" s="2"/>
      <c r="T1448" s="2"/>
      <c r="U1448" s="2"/>
      <c r="V1448" s="2"/>
      <c r="W1448" s="2"/>
    </row>
    <row r="1449" spans="1:23" ht="75" customHeight="1" x14ac:dyDescent="0.15">
      <c r="A1449" s="2"/>
      <c r="B1449" s="2"/>
      <c r="C1449" s="2"/>
      <c r="D1449" s="2"/>
      <c r="E1449" s="2"/>
      <c r="F1449" s="2"/>
      <c r="G1449" s="2"/>
      <c r="H1449" s="2"/>
      <c r="I1449" s="2"/>
      <c r="J1449" s="2"/>
      <c r="K1449" s="2"/>
      <c r="L1449" s="2"/>
      <c r="M1449" s="2"/>
      <c r="N1449" s="2"/>
      <c r="O1449" s="2"/>
      <c r="P1449" s="2"/>
      <c r="Q1449" s="2"/>
      <c r="R1449" s="2"/>
      <c r="S1449" s="2"/>
      <c r="T1449" s="2"/>
      <c r="U1449" s="2"/>
      <c r="V1449" s="2"/>
      <c r="W1449" s="2"/>
    </row>
    <row r="1450" spans="1:23" ht="75" customHeight="1" x14ac:dyDescent="0.15">
      <c r="A1450" s="2"/>
      <c r="B1450" s="2"/>
      <c r="C1450" s="2"/>
      <c r="D1450" s="2"/>
      <c r="E1450" s="2"/>
      <c r="F1450" s="2"/>
      <c r="G1450" s="2"/>
      <c r="H1450" s="2"/>
      <c r="I1450" s="2"/>
      <c r="J1450" s="2"/>
      <c r="K1450" s="2"/>
      <c r="L1450" s="2"/>
      <c r="M1450" s="2"/>
      <c r="N1450" s="2"/>
      <c r="O1450" s="2"/>
      <c r="P1450" s="2"/>
      <c r="Q1450" s="2"/>
      <c r="R1450" s="2"/>
      <c r="S1450" s="2"/>
      <c r="T1450" s="2"/>
      <c r="U1450" s="2"/>
      <c r="V1450" s="2"/>
      <c r="W1450" s="2"/>
    </row>
    <row r="1451" spans="1:23" ht="75" customHeight="1" x14ac:dyDescent="0.15">
      <c r="A1451" s="2"/>
      <c r="B1451" s="2"/>
      <c r="C1451" s="2"/>
      <c r="D1451" s="2"/>
      <c r="E1451" s="2"/>
      <c r="F1451" s="2"/>
      <c r="G1451" s="2"/>
      <c r="H1451" s="2"/>
      <c r="I1451" s="2"/>
      <c r="J1451" s="2"/>
      <c r="K1451" s="2"/>
      <c r="L1451" s="2"/>
      <c r="M1451" s="2"/>
      <c r="N1451" s="2"/>
      <c r="O1451" s="2"/>
      <c r="P1451" s="2"/>
      <c r="Q1451" s="2"/>
      <c r="R1451" s="2"/>
      <c r="S1451" s="2"/>
      <c r="T1451" s="2"/>
      <c r="U1451" s="2"/>
      <c r="V1451" s="2"/>
      <c r="W1451" s="2"/>
    </row>
    <row r="1452" spans="1:23" ht="75" customHeight="1" x14ac:dyDescent="0.15">
      <c r="A1452" s="2"/>
      <c r="B1452" s="2"/>
      <c r="C1452" s="2"/>
      <c r="D1452" s="2"/>
      <c r="E1452" s="2"/>
      <c r="F1452" s="2"/>
      <c r="G1452" s="2"/>
      <c r="H1452" s="2"/>
      <c r="I1452" s="2"/>
      <c r="J1452" s="2"/>
      <c r="K1452" s="2"/>
      <c r="L1452" s="2"/>
      <c r="M1452" s="2"/>
      <c r="N1452" s="2"/>
      <c r="O1452" s="2"/>
      <c r="P1452" s="2"/>
      <c r="Q1452" s="2"/>
      <c r="R1452" s="2"/>
      <c r="S1452" s="2"/>
      <c r="T1452" s="2"/>
      <c r="U1452" s="2"/>
      <c r="V1452" s="2"/>
      <c r="W1452" s="2"/>
    </row>
    <row r="1453" spans="1:23" ht="75" customHeight="1" x14ac:dyDescent="0.15">
      <c r="A1453" s="2"/>
      <c r="B1453" s="2"/>
      <c r="C1453" s="2"/>
      <c r="D1453" s="2"/>
      <c r="E1453" s="2"/>
      <c r="F1453" s="2"/>
      <c r="G1453" s="2"/>
      <c r="H1453" s="2"/>
      <c r="I1453" s="2"/>
      <c r="J1453" s="2"/>
      <c r="K1453" s="2"/>
      <c r="L1453" s="2"/>
      <c r="M1453" s="2"/>
      <c r="N1453" s="2"/>
      <c r="O1453" s="2"/>
      <c r="P1453" s="2"/>
      <c r="Q1453" s="2"/>
      <c r="R1453" s="2"/>
      <c r="S1453" s="2"/>
      <c r="T1453" s="2"/>
      <c r="U1453" s="2"/>
      <c r="V1453" s="2"/>
      <c r="W1453" s="2"/>
    </row>
    <row r="1454" spans="1:23" ht="75" customHeight="1" x14ac:dyDescent="0.15">
      <c r="A1454" s="2"/>
      <c r="B1454" s="2"/>
      <c r="C1454" s="2"/>
      <c r="D1454" s="2"/>
      <c r="E1454" s="2"/>
      <c r="F1454" s="2"/>
      <c r="G1454" s="2"/>
      <c r="H1454" s="2"/>
      <c r="I1454" s="2"/>
      <c r="J1454" s="2"/>
      <c r="K1454" s="2"/>
      <c r="L1454" s="2"/>
      <c r="M1454" s="2"/>
      <c r="N1454" s="2"/>
      <c r="O1454" s="2"/>
      <c r="P1454" s="2"/>
      <c r="Q1454" s="2"/>
      <c r="R1454" s="2"/>
      <c r="S1454" s="2"/>
      <c r="T1454" s="2"/>
      <c r="U1454" s="2"/>
      <c r="V1454" s="2"/>
      <c r="W1454" s="2"/>
    </row>
    <row r="1455" spans="1:23" ht="75" customHeight="1" x14ac:dyDescent="0.15">
      <c r="A1455" s="2"/>
      <c r="B1455" s="2"/>
      <c r="C1455" s="2"/>
      <c r="D1455" s="2"/>
      <c r="E1455" s="2"/>
      <c r="F1455" s="2"/>
      <c r="G1455" s="2"/>
      <c r="H1455" s="2"/>
      <c r="I1455" s="2"/>
      <c r="J1455" s="2"/>
      <c r="K1455" s="2"/>
      <c r="L1455" s="2"/>
      <c r="M1455" s="2"/>
      <c r="N1455" s="2"/>
      <c r="O1455" s="2"/>
      <c r="P1455" s="2"/>
      <c r="Q1455" s="2"/>
      <c r="R1455" s="2"/>
      <c r="S1455" s="2"/>
      <c r="T1455" s="2"/>
      <c r="U1455" s="2"/>
      <c r="V1455" s="2"/>
      <c r="W1455" s="2"/>
    </row>
    <row r="1456" spans="1:23" ht="75" customHeight="1" x14ac:dyDescent="0.15">
      <c r="A1456" s="2"/>
      <c r="B1456" s="2"/>
      <c r="C1456" s="2"/>
      <c r="D1456" s="2"/>
      <c r="E1456" s="2"/>
      <c r="F1456" s="2"/>
      <c r="G1456" s="2"/>
      <c r="H1456" s="2"/>
      <c r="I1456" s="2"/>
      <c r="J1456" s="2"/>
      <c r="K1456" s="2"/>
      <c r="L1456" s="2"/>
      <c r="M1456" s="2"/>
      <c r="N1456" s="2"/>
      <c r="O1456" s="2"/>
      <c r="P1456" s="2"/>
      <c r="Q1456" s="2"/>
      <c r="R1456" s="2"/>
      <c r="S1456" s="2"/>
      <c r="T1456" s="2"/>
      <c r="U1456" s="2"/>
      <c r="V1456" s="2"/>
      <c r="W1456" s="2"/>
    </row>
    <row r="1457" spans="1:23" ht="75" customHeight="1" x14ac:dyDescent="0.15">
      <c r="A1457" s="2"/>
      <c r="B1457" s="2"/>
      <c r="C1457" s="2"/>
      <c r="D1457" s="2"/>
      <c r="E1457" s="2"/>
      <c r="F1457" s="2"/>
      <c r="G1457" s="2"/>
      <c r="H1457" s="2"/>
      <c r="I1457" s="2"/>
      <c r="J1457" s="2"/>
      <c r="K1457" s="2"/>
      <c r="L1457" s="2"/>
      <c r="M1457" s="2"/>
      <c r="N1457" s="2"/>
      <c r="O1457" s="2"/>
      <c r="P1457" s="2"/>
      <c r="Q1457" s="2"/>
      <c r="R1457" s="2"/>
      <c r="S1457" s="2"/>
      <c r="T1457" s="2"/>
      <c r="U1457" s="2"/>
      <c r="V1457" s="2"/>
      <c r="W1457" s="2"/>
    </row>
    <row r="1458" spans="1:23" ht="75" customHeight="1" x14ac:dyDescent="0.15">
      <c r="A1458" s="2"/>
      <c r="B1458" s="2"/>
      <c r="C1458" s="2"/>
      <c r="D1458" s="2"/>
      <c r="E1458" s="2"/>
      <c r="F1458" s="2"/>
      <c r="G1458" s="2"/>
      <c r="H1458" s="2"/>
      <c r="I1458" s="2"/>
      <c r="J1458" s="2"/>
      <c r="K1458" s="2"/>
      <c r="L1458" s="2"/>
      <c r="M1458" s="2"/>
      <c r="N1458" s="2"/>
      <c r="O1458" s="2"/>
      <c r="P1458" s="2"/>
      <c r="Q1458" s="2"/>
      <c r="R1458" s="2"/>
      <c r="S1458" s="2"/>
      <c r="T1458" s="2"/>
      <c r="U1458" s="2"/>
      <c r="V1458" s="2"/>
      <c r="W1458" s="2"/>
    </row>
    <row r="1459" spans="1:23" ht="75" customHeight="1" x14ac:dyDescent="0.15">
      <c r="A1459" s="2"/>
      <c r="B1459" s="2"/>
      <c r="C1459" s="2"/>
      <c r="D1459" s="2"/>
      <c r="E1459" s="2"/>
      <c r="F1459" s="2"/>
      <c r="G1459" s="2"/>
      <c r="H1459" s="2"/>
      <c r="I1459" s="2"/>
      <c r="J1459" s="2"/>
      <c r="K1459" s="2"/>
      <c r="L1459" s="2"/>
      <c r="M1459" s="2"/>
      <c r="N1459" s="2"/>
      <c r="O1459" s="2"/>
      <c r="P1459" s="2"/>
      <c r="Q1459" s="2"/>
      <c r="R1459" s="2"/>
      <c r="S1459" s="2"/>
      <c r="T1459" s="2"/>
      <c r="U1459" s="2"/>
      <c r="V1459" s="2"/>
      <c r="W1459" s="2"/>
    </row>
    <row r="1460" spans="1:23" ht="75" customHeight="1" x14ac:dyDescent="0.15">
      <c r="A1460" s="2"/>
      <c r="B1460" s="2"/>
      <c r="C1460" s="2"/>
      <c r="D1460" s="2"/>
      <c r="E1460" s="2"/>
      <c r="F1460" s="2"/>
      <c r="G1460" s="2"/>
      <c r="H1460" s="2"/>
      <c r="I1460" s="2"/>
      <c r="J1460" s="2"/>
      <c r="K1460" s="2"/>
      <c r="L1460" s="2"/>
      <c r="M1460" s="2"/>
      <c r="N1460" s="2"/>
      <c r="O1460" s="2"/>
      <c r="P1460" s="2"/>
      <c r="Q1460" s="2"/>
      <c r="R1460" s="2"/>
      <c r="S1460" s="2"/>
      <c r="T1460" s="2"/>
      <c r="U1460" s="2"/>
      <c r="V1460" s="2"/>
      <c r="W1460" s="2"/>
    </row>
    <row r="1461" spans="1:23" ht="75" customHeight="1" x14ac:dyDescent="0.15">
      <c r="A1461" s="2"/>
      <c r="B1461" s="2"/>
      <c r="C1461" s="2"/>
      <c r="D1461" s="2"/>
      <c r="E1461" s="2"/>
      <c r="F1461" s="2"/>
      <c r="G1461" s="2"/>
      <c r="H1461" s="2"/>
      <c r="I1461" s="2"/>
      <c r="J1461" s="2"/>
      <c r="K1461" s="2"/>
      <c r="L1461" s="2"/>
      <c r="M1461" s="2"/>
      <c r="N1461" s="2"/>
      <c r="O1461" s="2"/>
      <c r="P1461" s="2"/>
      <c r="Q1461" s="2"/>
      <c r="R1461" s="2"/>
      <c r="S1461" s="2"/>
      <c r="T1461" s="2"/>
      <c r="U1461" s="2"/>
      <c r="V1461" s="2"/>
      <c r="W1461" s="2"/>
    </row>
    <row r="1462" spans="1:23" ht="75" customHeight="1" x14ac:dyDescent="0.15">
      <c r="A1462" s="2"/>
      <c r="B1462" s="2"/>
      <c r="C1462" s="2"/>
      <c r="D1462" s="2"/>
      <c r="E1462" s="2"/>
      <c r="F1462" s="2"/>
      <c r="G1462" s="2"/>
      <c r="H1462" s="2"/>
      <c r="I1462" s="2"/>
      <c r="J1462" s="2"/>
      <c r="K1462" s="2"/>
      <c r="L1462" s="2"/>
      <c r="M1462" s="2"/>
      <c r="N1462" s="2"/>
      <c r="O1462" s="2"/>
      <c r="P1462" s="2"/>
      <c r="Q1462" s="2"/>
      <c r="R1462" s="2"/>
      <c r="S1462" s="2"/>
      <c r="T1462" s="2"/>
      <c r="U1462" s="2"/>
      <c r="V1462" s="2"/>
      <c r="W1462" s="2"/>
    </row>
    <row r="1463" spans="1:23" ht="75" customHeight="1" x14ac:dyDescent="0.15">
      <c r="A1463" s="2"/>
      <c r="B1463" s="2"/>
      <c r="C1463" s="2"/>
      <c r="D1463" s="2"/>
      <c r="E1463" s="2"/>
      <c r="F1463" s="2"/>
      <c r="G1463" s="2"/>
      <c r="H1463" s="2"/>
      <c r="I1463" s="2"/>
      <c r="J1463" s="2"/>
      <c r="K1463" s="2"/>
      <c r="L1463" s="2"/>
      <c r="M1463" s="2"/>
      <c r="N1463" s="2"/>
      <c r="O1463" s="2"/>
      <c r="P1463" s="2"/>
      <c r="Q1463" s="2"/>
      <c r="R1463" s="2"/>
      <c r="S1463" s="2"/>
      <c r="T1463" s="2"/>
      <c r="U1463" s="2"/>
      <c r="V1463" s="2"/>
      <c r="W1463" s="2"/>
    </row>
    <row r="1464" spans="1:23" ht="75" customHeight="1" x14ac:dyDescent="0.15">
      <c r="A1464" s="2"/>
      <c r="B1464" s="2"/>
      <c r="C1464" s="2"/>
      <c r="D1464" s="2"/>
      <c r="E1464" s="2"/>
      <c r="F1464" s="2"/>
      <c r="G1464" s="2"/>
      <c r="H1464" s="2"/>
      <c r="I1464" s="2"/>
      <c r="J1464" s="2"/>
      <c r="K1464" s="2"/>
      <c r="L1464" s="2"/>
      <c r="M1464" s="2"/>
      <c r="N1464" s="2"/>
      <c r="O1464" s="2"/>
      <c r="P1464" s="2"/>
      <c r="Q1464" s="2"/>
      <c r="R1464" s="2"/>
      <c r="S1464" s="2"/>
      <c r="T1464" s="2"/>
      <c r="U1464" s="2"/>
      <c r="V1464" s="2"/>
      <c r="W1464" s="2"/>
    </row>
    <row r="1465" spans="1:23" ht="75" customHeight="1" x14ac:dyDescent="0.15">
      <c r="A1465" s="2"/>
      <c r="B1465" s="2"/>
      <c r="C1465" s="2"/>
      <c r="D1465" s="2"/>
      <c r="E1465" s="2"/>
      <c r="F1465" s="2"/>
      <c r="G1465" s="2"/>
      <c r="H1465" s="2"/>
      <c r="I1465" s="2"/>
      <c r="J1465" s="2"/>
      <c r="K1465" s="2"/>
      <c r="L1465" s="2"/>
      <c r="M1465" s="2"/>
      <c r="N1465" s="2"/>
      <c r="O1465" s="2"/>
      <c r="P1465" s="2"/>
      <c r="Q1465" s="2"/>
      <c r="R1465" s="2"/>
      <c r="S1465" s="2"/>
      <c r="T1465" s="2"/>
      <c r="U1465" s="2"/>
      <c r="V1465" s="2"/>
      <c r="W1465" s="2"/>
    </row>
    <row r="1466" spans="1:23" ht="75" customHeight="1" x14ac:dyDescent="0.15">
      <c r="A1466" s="2"/>
      <c r="B1466" s="2"/>
      <c r="C1466" s="2"/>
      <c r="D1466" s="2"/>
      <c r="E1466" s="2"/>
      <c r="F1466" s="2"/>
      <c r="G1466" s="2"/>
      <c r="H1466" s="2"/>
      <c r="I1466" s="2"/>
      <c r="J1466" s="2"/>
      <c r="K1466" s="2"/>
      <c r="L1466" s="2"/>
      <c r="M1466" s="2"/>
      <c r="N1466" s="2"/>
      <c r="O1466" s="2"/>
      <c r="P1466" s="2"/>
      <c r="Q1466" s="2"/>
      <c r="R1466" s="2"/>
      <c r="S1466" s="2"/>
      <c r="T1466" s="2"/>
      <c r="U1466" s="2"/>
      <c r="V1466" s="2"/>
      <c r="W1466" s="2"/>
    </row>
    <row r="1467" spans="1:23" ht="75" customHeight="1" x14ac:dyDescent="0.15">
      <c r="A1467" s="2"/>
      <c r="B1467" s="2"/>
      <c r="C1467" s="2"/>
      <c r="D1467" s="2"/>
      <c r="E1467" s="2"/>
      <c r="F1467" s="2"/>
      <c r="G1467" s="2"/>
      <c r="H1467" s="2"/>
      <c r="I1467" s="2"/>
      <c r="J1467" s="2"/>
      <c r="K1467" s="2"/>
      <c r="L1467" s="2"/>
      <c r="M1467" s="2"/>
      <c r="N1467" s="2"/>
      <c r="O1467" s="2"/>
      <c r="P1467" s="2"/>
      <c r="Q1467" s="2"/>
      <c r="R1467" s="2"/>
      <c r="S1467" s="2"/>
      <c r="T1467" s="2"/>
      <c r="U1467" s="2"/>
      <c r="V1467" s="2"/>
      <c r="W1467" s="2"/>
    </row>
    <row r="1468" spans="1:23" ht="75" customHeight="1" x14ac:dyDescent="0.15">
      <c r="A1468" s="2"/>
      <c r="B1468" s="2"/>
      <c r="C1468" s="2"/>
      <c r="D1468" s="2"/>
      <c r="E1468" s="2"/>
      <c r="F1468" s="2"/>
      <c r="G1468" s="2"/>
      <c r="H1468" s="2"/>
      <c r="I1468" s="2"/>
      <c r="J1468" s="2"/>
      <c r="K1468" s="2"/>
      <c r="L1468" s="2"/>
      <c r="M1468" s="2"/>
      <c r="N1468" s="2"/>
      <c r="O1468" s="2"/>
      <c r="P1468" s="2"/>
      <c r="Q1468" s="2"/>
      <c r="R1468" s="2"/>
      <c r="S1468" s="2"/>
      <c r="T1468" s="2"/>
      <c r="U1468" s="2"/>
      <c r="V1468" s="2"/>
      <c r="W1468" s="2"/>
    </row>
    <row r="1469" spans="1:23" ht="75" customHeight="1" x14ac:dyDescent="0.15">
      <c r="A1469" s="2"/>
      <c r="B1469" s="2"/>
      <c r="C1469" s="2"/>
      <c r="D1469" s="2"/>
      <c r="E1469" s="2"/>
      <c r="F1469" s="2"/>
      <c r="G1469" s="2"/>
      <c r="H1469" s="2"/>
      <c r="I1469" s="2"/>
      <c r="J1469" s="2"/>
      <c r="K1469" s="2"/>
      <c r="L1469" s="2"/>
      <c r="M1469" s="2"/>
      <c r="N1469" s="2"/>
      <c r="O1469" s="2"/>
      <c r="P1469" s="2"/>
      <c r="Q1469" s="2"/>
      <c r="R1469" s="2"/>
      <c r="S1469" s="2"/>
      <c r="T1469" s="2"/>
      <c r="U1469" s="2"/>
      <c r="V1469" s="2"/>
      <c r="W1469" s="2"/>
    </row>
    <row r="1470" spans="1:23" ht="75" customHeight="1" x14ac:dyDescent="0.15">
      <c r="A1470" s="2"/>
      <c r="B1470" s="2"/>
      <c r="C1470" s="2"/>
      <c r="D1470" s="2"/>
      <c r="E1470" s="2"/>
      <c r="F1470" s="2"/>
      <c r="G1470" s="2"/>
      <c r="H1470" s="2"/>
      <c r="I1470" s="2"/>
      <c r="J1470" s="2"/>
      <c r="K1470" s="2"/>
      <c r="L1470" s="2"/>
      <c r="M1470" s="2"/>
      <c r="N1470" s="2"/>
      <c r="O1470" s="2"/>
      <c r="P1470" s="2"/>
      <c r="Q1470" s="2"/>
      <c r="R1470" s="2"/>
      <c r="S1470" s="2"/>
      <c r="T1470" s="2"/>
      <c r="U1470" s="2"/>
      <c r="V1470" s="2"/>
      <c r="W1470" s="2"/>
    </row>
    <row r="1471" spans="1:23" ht="75" customHeight="1" x14ac:dyDescent="0.15">
      <c r="A1471" s="2"/>
      <c r="B1471" s="2"/>
      <c r="C1471" s="2"/>
      <c r="D1471" s="2"/>
      <c r="E1471" s="2"/>
      <c r="F1471" s="2"/>
      <c r="G1471" s="2"/>
      <c r="H1471" s="2"/>
      <c r="I1471" s="2"/>
      <c r="J1471" s="2"/>
      <c r="K1471" s="2"/>
      <c r="L1471" s="2"/>
      <c r="M1471" s="2"/>
      <c r="N1471" s="2"/>
      <c r="O1471" s="2"/>
      <c r="P1471" s="2"/>
      <c r="Q1471" s="2"/>
      <c r="R1471" s="2"/>
      <c r="S1471" s="2"/>
      <c r="T1471" s="2"/>
      <c r="U1471" s="2"/>
      <c r="V1471" s="2"/>
      <c r="W1471" s="2"/>
    </row>
    <row r="1472" spans="1:23" ht="75" customHeight="1" x14ac:dyDescent="0.15">
      <c r="A1472" s="2"/>
      <c r="B1472" s="2"/>
      <c r="C1472" s="2"/>
      <c r="D1472" s="2"/>
      <c r="E1472" s="2"/>
      <c r="F1472" s="2"/>
      <c r="G1472" s="2"/>
      <c r="H1472" s="2"/>
      <c r="I1472" s="2"/>
      <c r="J1472" s="2"/>
      <c r="K1472" s="2"/>
      <c r="L1472" s="2"/>
      <c r="M1472" s="2"/>
      <c r="N1472" s="2"/>
      <c r="O1472" s="2"/>
      <c r="P1472" s="2"/>
      <c r="Q1472" s="2"/>
      <c r="R1472" s="2"/>
      <c r="S1472" s="2"/>
      <c r="T1472" s="2"/>
      <c r="U1472" s="2"/>
      <c r="V1472" s="2"/>
      <c r="W1472" s="2"/>
    </row>
    <row r="1473" spans="1:23" ht="75" customHeight="1" x14ac:dyDescent="0.15">
      <c r="A1473" s="2"/>
      <c r="B1473" s="2"/>
      <c r="C1473" s="2"/>
      <c r="D1473" s="2"/>
      <c r="E1473" s="2"/>
      <c r="F1473" s="2"/>
      <c r="G1473" s="2"/>
      <c r="H1473" s="2"/>
      <c r="I1473" s="2"/>
      <c r="J1473" s="2"/>
      <c r="K1473" s="2"/>
      <c r="L1473" s="2"/>
      <c r="M1473" s="2"/>
      <c r="N1473" s="2"/>
      <c r="O1473" s="2"/>
      <c r="P1473" s="2"/>
      <c r="Q1473" s="2"/>
      <c r="R1473" s="2"/>
      <c r="S1473" s="2"/>
      <c r="T1473" s="2"/>
      <c r="U1473" s="2"/>
      <c r="V1473" s="2"/>
      <c r="W1473" s="2"/>
    </row>
    <row r="1474" spans="1:23" ht="75" customHeight="1" x14ac:dyDescent="0.15">
      <c r="A1474" s="2"/>
      <c r="B1474" s="2"/>
      <c r="C1474" s="2"/>
      <c r="D1474" s="2"/>
      <c r="E1474" s="2"/>
      <c r="F1474" s="2"/>
      <c r="G1474" s="2"/>
      <c r="H1474" s="2"/>
      <c r="I1474" s="2"/>
      <c r="J1474" s="2"/>
      <c r="K1474" s="2"/>
      <c r="L1474" s="2"/>
      <c r="M1474" s="2"/>
      <c r="N1474" s="2"/>
      <c r="O1474" s="2"/>
      <c r="P1474" s="2"/>
      <c r="Q1474" s="2"/>
      <c r="R1474" s="2"/>
      <c r="S1474" s="2"/>
      <c r="T1474" s="2"/>
      <c r="U1474" s="2"/>
      <c r="V1474" s="2"/>
      <c r="W1474" s="2"/>
    </row>
    <row r="1475" spans="1:23" ht="75" customHeight="1" x14ac:dyDescent="0.15">
      <c r="A1475" s="2"/>
      <c r="B1475" s="2"/>
      <c r="C1475" s="2"/>
      <c r="D1475" s="2"/>
      <c r="E1475" s="2"/>
      <c r="F1475" s="2"/>
      <c r="G1475" s="2"/>
      <c r="H1475" s="2"/>
      <c r="I1475" s="2"/>
      <c r="J1475" s="2"/>
      <c r="K1475" s="2"/>
      <c r="L1475" s="2"/>
      <c r="M1475" s="2"/>
      <c r="N1475" s="2"/>
      <c r="O1475" s="2"/>
      <c r="P1475" s="2"/>
      <c r="Q1475" s="2"/>
      <c r="R1475" s="2"/>
      <c r="S1475" s="2"/>
      <c r="T1475" s="2"/>
      <c r="U1475" s="2"/>
      <c r="V1475" s="2"/>
      <c r="W1475" s="2"/>
    </row>
    <row r="1476" spans="1:23" ht="75" customHeight="1" x14ac:dyDescent="0.15">
      <c r="A1476" s="2"/>
      <c r="B1476" s="2"/>
      <c r="C1476" s="2"/>
      <c r="D1476" s="2"/>
      <c r="E1476" s="2"/>
      <c r="F1476" s="2"/>
      <c r="G1476" s="2"/>
      <c r="H1476" s="2"/>
      <c r="I1476" s="2"/>
      <c r="J1476" s="2"/>
      <c r="K1476" s="2"/>
      <c r="L1476" s="2"/>
      <c r="M1476" s="2"/>
      <c r="N1476" s="2"/>
      <c r="O1476" s="2"/>
      <c r="P1476" s="2"/>
      <c r="Q1476" s="2"/>
      <c r="R1476" s="2"/>
      <c r="S1476" s="2"/>
      <c r="T1476" s="2"/>
      <c r="U1476" s="2"/>
      <c r="V1476" s="2"/>
      <c r="W1476" s="2"/>
    </row>
    <row r="1477" spans="1:23" ht="75" customHeight="1" x14ac:dyDescent="0.15">
      <c r="A1477" s="2"/>
      <c r="B1477" s="2"/>
      <c r="C1477" s="2"/>
      <c r="D1477" s="2"/>
      <c r="E1477" s="2"/>
      <c r="F1477" s="2"/>
      <c r="G1477" s="2"/>
      <c r="H1477" s="2"/>
      <c r="I1477" s="2"/>
      <c r="J1477" s="2"/>
      <c r="K1477" s="2"/>
      <c r="L1477" s="2"/>
      <c r="M1477" s="2"/>
      <c r="N1477" s="2"/>
      <c r="O1477" s="2"/>
      <c r="P1477" s="2"/>
      <c r="Q1477" s="2"/>
      <c r="R1477" s="2"/>
      <c r="S1477" s="2"/>
      <c r="T1477" s="2"/>
      <c r="U1477" s="2"/>
      <c r="V1477" s="2"/>
      <c r="W1477" s="2"/>
    </row>
    <row r="1478" spans="1:23" ht="75" customHeight="1" x14ac:dyDescent="0.15">
      <c r="A1478" s="2"/>
      <c r="B1478" s="2"/>
      <c r="C1478" s="2"/>
      <c r="D1478" s="2"/>
      <c r="E1478" s="2"/>
      <c r="F1478" s="2"/>
      <c r="G1478" s="2"/>
      <c r="H1478" s="2"/>
      <c r="I1478" s="2"/>
      <c r="J1478" s="2"/>
      <c r="K1478" s="2"/>
      <c r="L1478" s="2"/>
      <c r="M1478" s="2"/>
      <c r="N1478" s="2"/>
      <c r="O1478" s="2"/>
      <c r="P1478" s="2"/>
      <c r="Q1478" s="2"/>
      <c r="R1478" s="2"/>
      <c r="S1478" s="2"/>
      <c r="T1478" s="2"/>
      <c r="U1478" s="2"/>
      <c r="V1478" s="2"/>
      <c r="W1478" s="2"/>
    </row>
    <row r="1479" spans="1:23" ht="75" customHeight="1" x14ac:dyDescent="0.15">
      <c r="A1479" s="2"/>
      <c r="B1479" s="2"/>
      <c r="C1479" s="2"/>
      <c r="D1479" s="2"/>
      <c r="E1479" s="2"/>
      <c r="F1479" s="2"/>
      <c r="G1479" s="2"/>
      <c r="H1479" s="2"/>
      <c r="I1479" s="2"/>
      <c r="J1479" s="2"/>
      <c r="K1479" s="2"/>
      <c r="L1479" s="2"/>
      <c r="M1479" s="2"/>
      <c r="N1479" s="2"/>
      <c r="O1479" s="2"/>
      <c r="P1479" s="2"/>
      <c r="Q1479" s="2"/>
      <c r="R1479" s="2"/>
      <c r="S1479" s="2"/>
      <c r="T1479" s="2"/>
      <c r="U1479" s="2"/>
      <c r="V1479" s="2"/>
      <c r="W1479" s="2"/>
    </row>
    <row r="1480" spans="1:23" ht="75" customHeight="1" x14ac:dyDescent="0.15">
      <c r="A1480" s="2"/>
      <c r="B1480" s="2"/>
      <c r="C1480" s="2"/>
      <c r="D1480" s="2"/>
      <c r="E1480" s="2"/>
      <c r="F1480" s="2"/>
      <c r="G1480" s="2"/>
      <c r="H1480" s="2"/>
      <c r="I1480" s="2"/>
      <c r="J1480" s="2"/>
      <c r="K1480" s="2"/>
      <c r="L1480" s="2"/>
      <c r="M1480" s="2"/>
      <c r="N1480" s="2"/>
      <c r="O1480" s="2"/>
      <c r="P1480" s="2"/>
      <c r="Q1480" s="2"/>
      <c r="R1480" s="2"/>
      <c r="S1480" s="2"/>
      <c r="T1480" s="2"/>
      <c r="U1480" s="2"/>
      <c r="V1480" s="2"/>
      <c r="W1480" s="2"/>
    </row>
    <row r="1481" spans="1:23" ht="75" customHeight="1" x14ac:dyDescent="0.15">
      <c r="A1481" s="2"/>
      <c r="B1481" s="2"/>
      <c r="C1481" s="2"/>
      <c r="D1481" s="2"/>
      <c r="E1481" s="2"/>
      <c r="F1481" s="2"/>
      <c r="G1481" s="2"/>
      <c r="H1481" s="2"/>
      <c r="I1481" s="2"/>
      <c r="J1481" s="2"/>
      <c r="K1481" s="2"/>
      <c r="L1481" s="2"/>
      <c r="M1481" s="2"/>
      <c r="N1481" s="2"/>
      <c r="O1481" s="2"/>
      <c r="P1481" s="2"/>
      <c r="Q1481" s="2"/>
      <c r="R1481" s="2"/>
      <c r="S1481" s="2"/>
      <c r="T1481" s="2"/>
      <c r="U1481" s="2"/>
      <c r="V1481" s="2"/>
      <c r="W1481" s="2"/>
    </row>
    <row r="1482" spans="1:23" ht="75" customHeight="1" x14ac:dyDescent="0.15">
      <c r="A1482" s="2"/>
      <c r="B1482" s="2"/>
      <c r="C1482" s="2"/>
      <c r="D1482" s="2"/>
      <c r="E1482" s="2"/>
      <c r="F1482" s="2"/>
      <c r="G1482" s="2"/>
      <c r="H1482" s="2"/>
      <c r="I1482" s="2"/>
      <c r="J1482" s="2"/>
      <c r="K1482" s="2"/>
      <c r="L1482" s="2"/>
      <c r="M1482" s="2"/>
      <c r="N1482" s="2"/>
      <c r="O1482" s="2"/>
      <c r="P1482" s="2"/>
      <c r="Q1482" s="2"/>
      <c r="R1482" s="2"/>
      <c r="S1482" s="2"/>
      <c r="T1482" s="2"/>
      <c r="U1482" s="2"/>
      <c r="V1482" s="2"/>
      <c r="W1482" s="2"/>
    </row>
    <row r="1483" spans="1:23" ht="75" customHeight="1" x14ac:dyDescent="0.15">
      <c r="A1483" s="2"/>
      <c r="B1483" s="2"/>
      <c r="C1483" s="2"/>
      <c r="D1483" s="2"/>
      <c r="E1483" s="2"/>
      <c r="F1483" s="2"/>
      <c r="G1483" s="2"/>
      <c r="H1483" s="2"/>
      <c r="I1483" s="2"/>
      <c r="J1483" s="2"/>
      <c r="K1483" s="2"/>
      <c r="L1483" s="2"/>
      <c r="M1483" s="2"/>
      <c r="N1483" s="2"/>
      <c r="O1483" s="2"/>
      <c r="P1483" s="2"/>
      <c r="Q1483" s="2"/>
      <c r="R1483" s="2"/>
      <c r="S1483" s="2"/>
      <c r="T1483" s="2"/>
      <c r="U1483" s="2"/>
      <c r="V1483" s="2"/>
      <c r="W1483" s="2"/>
    </row>
    <row r="1484" spans="1:23" ht="75" customHeight="1" x14ac:dyDescent="0.15">
      <c r="A1484" s="2"/>
      <c r="B1484" s="2"/>
      <c r="C1484" s="2"/>
      <c r="D1484" s="2"/>
      <c r="E1484" s="2"/>
      <c r="F1484" s="2"/>
      <c r="G1484" s="2"/>
      <c r="H1484" s="2"/>
      <c r="I1484" s="2"/>
      <c r="J1484" s="2"/>
      <c r="K1484" s="2"/>
      <c r="L1484" s="2"/>
      <c r="M1484" s="2"/>
      <c r="N1484" s="2"/>
      <c r="O1484" s="2"/>
      <c r="P1484" s="2"/>
      <c r="Q1484" s="2"/>
      <c r="R1484" s="2"/>
      <c r="S1484" s="2"/>
      <c r="T1484" s="2"/>
      <c r="U1484" s="2"/>
      <c r="V1484" s="2"/>
      <c r="W1484" s="2"/>
    </row>
    <row r="1485" spans="1:23" ht="75" customHeight="1" x14ac:dyDescent="0.15">
      <c r="A1485" s="2"/>
      <c r="B1485" s="2"/>
      <c r="C1485" s="2"/>
      <c r="D1485" s="2"/>
      <c r="E1485" s="2"/>
      <c r="F1485" s="2"/>
      <c r="G1485" s="2"/>
      <c r="H1485" s="2"/>
      <c r="I1485" s="2"/>
      <c r="J1485" s="2"/>
      <c r="K1485" s="2"/>
      <c r="L1485" s="2"/>
      <c r="M1485" s="2"/>
      <c r="N1485" s="2"/>
      <c r="O1485" s="2"/>
      <c r="P1485" s="2"/>
      <c r="Q1485" s="2"/>
      <c r="R1485" s="2"/>
      <c r="S1485" s="2"/>
      <c r="T1485" s="2"/>
      <c r="U1485" s="2"/>
      <c r="V1485" s="2"/>
      <c r="W1485" s="2"/>
    </row>
    <row r="1486" spans="1:23" ht="75" customHeight="1" x14ac:dyDescent="0.15">
      <c r="A1486" s="2"/>
      <c r="B1486" s="2"/>
      <c r="C1486" s="2"/>
      <c r="D1486" s="2"/>
      <c r="E1486" s="2"/>
      <c r="F1486" s="2"/>
      <c r="G1486" s="2"/>
      <c r="H1486" s="2"/>
      <c r="I1486" s="2"/>
      <c r="J1486" s="2"/>
      <c r="K1486" s="2"/>
      <c r="L1486" s="2"/>
      <c r="M1486" s="2"/>
      <c r="N1486" s="2"/>
      <c r="O1486" s="2"/>
      <c r="P1486" s="2"/>
      <c r="Q1486" s="2"/>
      <c r="R1486" s="2"/>
      <c r="S1486" s="2"/>
      <c r="T1486" s="2"/>
      <c r="U1486" s="2"/>
      <c r="V1486" s="2"/>
      <c r="W1486" s="2"/>
    </row>
    <row r="1487" spans="1:23" ht="75" customHeight="1" x14ac:dyDescent="0.15">
      <c r="A1487" s="2"/>
      <c r="B1487" s="2"/>
      <c r="C1487" s="2"/>
      <c r="D1487" s="2"/>
      <c r="E1487" s="2"/>
      <c r="F1487" s="2"/>
      <c r="G1487" s="2"/>
      <c r="H1487" s="2"/>
      <c r="I1487" s="2"/>
      <c r="J1487" s="2"/>
      <c r="K1487" s="2"/>
      <c r="L1487" s="2"/>
      <c r="M1487" s="2"/>
      <c r="N1487" s="2"/>
      <c r="O1487" s="2"/>
      <c r="P1487" s="2"/>
      <c r="Q1487" s="2"/>
      <c r="R1487" s="2"/>
      <c r="S1487" s="2"/>
      <c r="T1487" s="2"/>
      <c r="U1487" s="2"/>
      <c r="V1487" s="2"/>
      <c r="W1487" s="2"/>
    </row>
    <row r="1488" spans="1:23" ht="75" customHeight="1" x14ac:dyDescent="0.15">
      <c r="A1488" s="2"/>
      <c r="B1488" s="2"/>
      <c r="C1488" s="2"/>
      <c r="D1488" s="2"/>
      <c r="E1488" s="2"/>
      <c r="F1488" s="2"/>
      <c r="G1488" s="2"/>
      <c r="H1488" s="2"/>
      <c r="I1488" s="2"/>
      <c r="J1488" s="2"/>
      <c r="K1488" s="2"/>
      <c r="L1488" s="2"/>
      <c r="M1488" s="2"/>
      <c r="N1488" s="2"/>
      <c r="O1488" s="2"/>
      <c r="P1488" s="2"/>
      <c r="Q1488" s="2"/>
      <c r="R1488" s="2"/>
      <c r="S1488" s="2"/>
      <c r="T1488" s="2"/>
      <c r="U1488" s="2"/>
      <c r="V1488" s="2"/>
      <c r="W1488" s="2"/>
    </row>
    <row r="1489" spans="1:23" ht="75" customHeight="1" x14ac:dyDescent="0.15">
      <c r="A1489" s="2"/>
      <c r="B1489" s="2"/>
      <c r="C1489" s="2"/>
      <c r="D1489" s="2"/>
      <c r="E1489" s="2"/>
      <c r="F1489" s="2"/>
      <c r="G1489" s="2"/>
      <c r="H1489" s="2"/>
      <c r="I1489" s="2"/>
      <c r="J1489" s="2"/>
      <c r="K1489" s="2"/>
      <c r="L1489" s="2"/>
      <c r="M1489" s="2"/>
      <c r="N1489" s="2"/>
      <c r="O1489" s="2"/>
      <c r="P1489" s="2"/>
      <c r="Q1489" s="2"/>
      <c r="R1489" s="2"/>
      <c r="S1489" s="2"/>
      <c r="T1489" s="2"/>
      <c r="U1489" s="2"/>
      <c r="V1489" s="2"/>
      <c r="W1489" s="2"/>
    </row>
    <row r="1490" spans="1:23" ht="75" customHeight="1" x14ac:dyDescent="0.15">
      <c r="A1490" s="2"/>
      <c r="B1490" s="2"/>
      <c r="C1490" s="2"/>
      <c r="D1490" s="2"/>
      <c r="E1490" s="2"/>
      <c r="F1490" s="2"/>
      <c r="G1490" s="2"/>
      <c r="H1490" s="2"/>
      <c r="I1490" s="2"/>
      <c r="J1490" s="2"/>
      <c r="K1490" s="2"/>
      <c r="L1490" s="2"/>
      <c r="M1490" s="2"/>
      <c r="N1490" s="2"/>
      <c r="O1490" s="2"/>
      <c r="P1490" s="2"/>
      <c r="Q1490" s="2"/>
      <c r="R1490" s="2"/>
      <c r="S1490" s="2"/>
      <c r="T1490" s="2"/>
      <c r="U1490" s="2"/>
      <c r="V1490" s="2"/>
      <c r="W1490" s="2"/>
    </row>
    <row r="1491" spans="1:23" ht="75" customHeight="1" x14ac:dyDescent="0.15">
      <c r="A1491" s="2"/>
      <c r="B1491" s="2"/>
      <c r="C1491" s="2"/>
      <c r="D1491" s="2"/>
      <c r="E1491" s="2"/>
      <c r="F1491" s="2"/>
      <c r="G1491" s="2"/>
      <c r="H1491" s="2"/>
      <c r="I1491" s="2"/>
      <c r="J1491" s="2"/>
      <c r="K1491" s="2"/>
      <c r="L1491" s="2"/>
      <c r="M1491" s="2"/>
      <c r="N1491" s="2"/>
      <c r="O1491" s="2"/>
      <c r="P1491" s="2"/>
      <c r="Q1491" s="2"/>
      <c r="R1491" s="2"/>
      <c r="S1491" s="2"/>
      <c r="T1491" s="2"/>
      <c r="U1491" s="2"/>
      <c r="V1491" s="2"/>
      <c r="W1491" s="2"/>
    </row>
    <row r="1492" spans="1:23" ht="75" customHeight="1" x14ac:dyDescent="0.15">
      <c r="A1492" s="2"/>
      <c r="B1492" s="2"/>
      <c r="C1492" s="2"/>
      <c r="D1492" s="2"/>
      <c r="E1492" s="2"/>
      <c r="F1492" s="2"/>
      <c r="G1492" s="2"/>
      <c r="H1492" s="2"/>
      <c r="I1492" s="2"/>
      <c r="J1492" s="2"/>
      <c r="K1492" s="2"/>
      <c r="L1492" s="2"/>
      <c r="M1492" s="2"/>
      <c r="N1492" s="2"/>
      <c r="O1492" s="2"/>
      <c r="P1492" s="2"/>
      <c r="Q1492" s="2"/>
      <c r="R1492" s="2"/>
      <c r="S1492" s="2"/>
      <c r="T1492" s="2"/>
      <c r="U1492" s="2"/>
      <c r="V1492" s="2"/>
      <c r="W1492" s="2"/>
    </row>
    <row r="1493" spans="1:23" ht="75" customHeight="1" x14ac:dyDescent="0.15">
      <c r="A1493" s="2"/>
      <c r="B1493" s="2"/>
      <c r="C1493" s="2"/>
      <c r="D1493" s="2"/>
      <c r="E1493" s="2"/>
      <c r="F1493" s="2"/>
      <c r="G1493" s="2"/>
      <c r="H1493" s="2"/>
      <c r="I1493" s="2"/>
      <c r="J1493" s="2"/>
      <c r="K1493" s="2"/>
      <c r="L1493" s="2"/>
      <c r="M1493" s="2"/>
      <c r="N1493" s="2"/>
      <c r="O1493" s="2"/>
      <c r="P1493" s="2"/>
      <c r="Q1493" s="2"/>
      <c r="R1493" s="2"/>
      <c r="S1493" s="2"/>
      <c r="T1493" s="2"/>
      <c r="U1493" s="2"/>
      <c r="V1493" s="2"/>
      <c r="W1493" s="2"/>
    </row>
    <row r="1494" spans="1:23" ht="75" customHeight="1" x14ac:dyDescent="0.15">
      <c r="A1494" s="2"/>
      <c r="B1494" s="2"/>
      <c r="C1494" s="2"/>
      <c r="D1494" s="2"/>
      <c r="E1494" s="2"/>
      <c r="F1494" s="2"/>
      <c r="G1494" s="2"/>
      <c r="H1494" s="2"/>
      <c r="I1494" s="2"/>
      <c r="J1494" s="2"/>
      <c r="K1494" s="2"/>
      <c r="L1494" s="2"/>
      <c r="M1494" s="2"/>
      <c r="N1494" s="2"/>
      <c r="O1494" s="2"/>
      <c r="P1494" s="2"/>
      <c r="Q1494" s="2"/>
      <c r="R1494" s="2"/>
      <c r="S1494" s="2"/>
      <c r="T1494" s="2"/>
      <c r="U1494" s="2"/>
      <c r="V1494" s="2"/>
      <c r="W1494" s="2"/>
    </row>
    <row r="1495" spans="1:23" ht="75" customHeight="1" x14ac:dyDescent="0.15">
      <c r="A1495" s="2"/>
      <c r="B1495" s="2"/>
      <c r="C1495" s="2"/>
      <c r="D1495" s="2"/>
      <c r="E1495" s="2"/>
      <c r="F1495" s="2"/>
      <c r="G1495" s="2"/>
      <c r="H1495" s="2"/>
      <c r="I1495" s="2"/>
      <c r="J1495" s="2"/>
      <c r="K1495" s="2"/>
      <c r="L1495" s="2"/>
      <c r="M1495" s="2"/>
      <c r="N1495" s="2"/>
      <c r="O1495" s="2"/>
      <c r="P1495" s="2"/>
      <c r="Q1495" s="2"/>
      <c r="R1495" s="2"/>
      <c r="S1495" s="2"/>
      <c r="T1495" s="2"/>
      <c r="U1495" s="2"/>
      <c r="V1495" s="2"/>
      <c r="W1495" s="2"/>
    </row>
    <row r="1496" spans="1:23" ht="75" customHeight="1" x14ac:dyDescent="0.15">
      <c r="A1496" s="2"/>
      <c r="B1496" s="2"/>
      <c r="C1496" s="2"/>
      <c r="D1496" s="2"/>
      <c r="E1496" s="2"/>
      <c r="F1496" s="2"/>
      <c r="G1496" s="2"/>
      <c r="H1496" s="2"/>
      <c r="I1496" s="2"/>
      <c r="J1496" s="2"/>
      <c r="K1496" s="2"/>
      <c r="L1496" s="2"/>
      <c r="M1496" s="2"/>
      <c r="N1496" s="2"/>
      <c r="O1496" s="2"/>
      <c r="P1496" s="2"/>
      <c r="Q1496" s="2"/>
      <c r="R1496" s="2"/>
      <c r="S1496" s="2"/>
      <c r="T1496" s="2"/>
      <c r="U1496" s="2"/>
      <c r="V1496" s="2"/>
      <c r="W1496" s="2"/>
    </row>
    <row r="1497" spans="1:23" ht="75" customHeight="1" x14ac:dyDescent="0.15">
      <c r="A1497" s="2"/>
      <c r="B1497" s="2"/>
      <c r="C1497" s="2"/>
      <c r="D1497" s="2"/>
      <c r="E1497" s="2"/>
      <c r="F1497" s="2"/>
      <c r="G1497" s="2"/>
      <c r="H1497" s="2"/>
      <c r="I1497" s="2"/>
      <c r="J1497" s="2"/>
      <c r="K1497" s="2"/>
      <c r="L1497" s="2"/>
      <c r="M1497" s="2"/>
      <c r="N1497" s="2"/>
      <c r="O1497" s="2"/>
      <c r="P1497" s="2"/>
      <c r="Q1497" s="2"/>
      <c r="R1497" s="2"/>
      <c r="S1497" s="2"/>
      <c r="T1497" s="2"/>
      <c r="U1497" s="2"/>
      <c r="V1497" s="2"/>
      <c r="W1497" s="2"/>
    </row>
    <row r="1498" spans="1:23" ht="75" customHeight="1" x14ac:dyDescent="0.15">
      <c r="A1498" s="2"/>
      <c r="B1498" s="2"/>
      <c r="C1498" s="2"/>
      <c r="D1498" s="2"/>
      <c r="E1498" s="2"/>
      <c r="F1498" s="2"/>
      <c r="G1498" s="2"/>
      <c r="H1498" s="2"/>
      <c r="I1498" s="2"/>
      <c r="J1498" s="2"/>
      <c r="K1498" s="2"/>
      <c r="L1498" s="2"/>
      <c r="M1498" s="2"/>
      <c r="N1498" s="2"/>
      <c r="O1498" s="2"/>
      <c r="P1498" s="2"/>
      <c r="Q1498" s="2"/>
      <c r="R1498" s="2"/>
      <c r="S1498" s="2"/>
      <c r="T1498" s="2"/>
      <c r="U1498" s="2"/>
      <c r="V1498" s="2"/>
      <c r="W1498" s="2"/>
    </row>
    <row r="1499" spans="1:23" ht="75" customHeight="1" x14ac:dyDescent="0.15">
      <c r="A1499" s="2"/>
      <c r="B1499" s="2"/>
      <c r="C1499" s="2"/>
      <c r="D1499" s="2"/>
      <c r="E1499" s="2"/>
      <c r="F1499" s="2"/>
      <c r="G1499" s="2"/>
      <c r="H1499" s="2"/>
      <c r="I1499" s="2"/>
      <c r="J1499" s="2"/>
      <c r="K1499" s="2"/>
      <c r="L1499" s="2"/>
      <c r="M1499" s="2"/>
      <c r="N1499" s="2"/>
      <c r="O1499" s="2"/>
      <c r="P1499" s="2"/>
      <c r="Q1499" s="2"/>
      <c r="R1499" s="2"/>
      <c r="S1499" s="2"/>
      <c r="T1499" s="2"/>
      <c r="U1499" s="2"/>
      <c r="V1499" s="2"/>
      <c r="W1499" s="2"/>
    </row>
    <row r="1500" spans="1:23" ht="75" customHeight="1" x14ac:dyDescent="0.15">
      <c r="A1500" s="2"/>
      <c r="B1500" s="2"/>
      <c r="C1500" s="2"/>
      <c r="D1500" s="2"/>
      <c r="E1500" s="2"/>
      <c r="F1500" s="2"/>
      <c r="G1500" s="2"/>
      <c r="H1500" s="2"/>
      <c r="I1500" s="2"/>
      <c r="J1500" s="2"/>
      <c r="K1500" s="2"/>
      <c r="L1500" s="2"/>
      <c r="M1500" s="2"/>
      <c r="N1500" s="2"/>
      <c r="O1500" s="2"/>
      <c r="P1500" s="2"/>
      <c r="Q1500" s="2"/>
      <c r="R1500" s="2"/>
      <c r="S1500" s="2"/>
      <c r="T1500" s="2"/>
      <c r="U1500" s="2"/>
      <c r="V1500" s="2"/>
      <c r="W1500" s="2"/>
    </row>
    <row r="1501" spans="1:23" ht="75" customHeight="1" x14ac:dyDescent="0.15">
      <c r="A1501" s="2"/>
      <c r="B1501" s="2"/>
      <c r="C1501" s="2"/>
      <c r="D1501" s="2"/>
      <c r="E1501" s="2"/>
      <c r="F1501" s="2"/>
      <c r="G1501" s="2"/>
      <c r="H1501" s="2"/>
      <c r="I1501" s="2"/>
      <c r="J1501" s="2"/>
      <c r="K1501" s="2"/>
      <c r="L1501" s="2"/>
      <c r="M1501" s="2"/>
      <c r="N1501" s="2"/>
      <c r="O1501" s="2"/>
      <c r="P1501" s="2"/>
      <c r="Q1501" s="2"/>
      <c r="R1501" s="2"/>
      <c r="S1501" s="2"/>
      <c r="T1501" s="2"/>
      <c r="U1501" s="2"/>
      <c r="V1501" s="2"/>
      <c r="W1501" s="2"/>
    </row>
    <row r="1502" spans="1:23" ht="75" customHeight="1" x14ac:dyDescent="0.15">
      <c r="A1502" s="2"/>
      <c r="B1502" s="2"/>
      <c r="C1502" s="2"/>
      <c r="D1502" s="2"/>
      <c r="E1502" s="2"/>
      <c r="F1502" s="2"/>
      <c r="G1502" s="2"/>
      <c r="H1502" s="2"/>
      <c r="I1502" s="2"/>
      <c r="J1502" s="2"/>
      <c r="K1502" s="2"/>
      <c r="L1502" s="2"/>
      <c r="M1502" s="2"/>
      <c r="N1502" s="2"/>
      <c r="O1502" s="2"/>
      <c r="P1502" s="2"/>
      <c r="Q1502" s="2"/>
      <c r="R1502" s="2"/>
      <c r="S1502" s="2"/>
      <c r="T1502" s="2"/>
      <c r="U1502" s="2"/>
      <c r="V1502" s="2"/>
      <c r="W1502" s="2"/>
    </row>
    <row r="1503" spans="1:23" ht="75" customHeight="1" x14ac:dyDescent="0.15">
      <c r="A1503" s="2"/>
      <c r="B1503" s="2"/>
      <c r="C1503" s="2"/>
      <c r="D1503" s="2"/>
      <c r="E1503" s="2"/>
      <c r="F1503" s="2"/>
      <c r="G1503" s="2"/>
      <c r="H1503" s="2"/>
      <c r="I1503" s="2"/>
      <c r="J1503" s="2"/>
      <c r="K1503" s="2"/>
      <c r="L1503" s="2"/>
      <c r="M1503" s="2"/>
      <c r="N1503" s="2"/>
      <c r="O1503" s="2"/>
      <c r="P1503" s="2"/>
      <c r="Q1503" s="2"/>
      <c r="R1503" s="2"/>
      <c r="S1503" s="2"/>
      <c r="T1503" s="2"/>
      <c r="U1503" s="2"/>
      <c r="V1503" s="2"/>
      <c r="W1503" s="2"/>
    </row>
    <row r="1504" spans="1:23" ht="75" customHeight="1" x14ac:dyDescent="0.15">
      <c r="A1504" s="2"/>
      <c r="B1504" s="2"/>
      <c r="C1504" s="2"/>
      <c r="D1504" s="2"/>
      <c r="E1504" s="2"/>
      <c r="F1504" s="2"/>
      <c r="G1504" s="2"/>
      <c r="H1504" s="2"/>
      <c r="I1504" s="2"/>
      <c r="J1504" s="2"/>
      <c r="K1504" s="2"/>
      <c r="L1504" s="2"/>
      <c r="M1504" s="2"/>
      <c r="N1504" s="2"/>
      <c r="O1504" s="2"/>
      <c r="P1504" s="2"/>
      <c r="Q1504" s="2"/>
      <c r="R1504" s="2"/>
      <c r="S1504" s="2"/>
      <c r="T1504" s="2"/>
      <c r="U1504" s="2"/>
      <c r="V1504" s="2"/>
      <c r="W1504" s="2"/>
    </row>
    <row r="1505" spans="1:23" ht="75" customHeight="1" x14ac:dyDescent="0.15">
      <c r="A1505" s="2"/>
      <c r="B1505" s="2"/>
      <c r="C1505" s="2"/>
      <c r="D1505" s="2"/>
      <c r="E1505" s="2"/>
      <c r="F1505" s="2"/>
      <c r="G1505" s="2"/>
      <c r="H1505" s="2"/>
      <c r="I1505" s="2"/>
      <c r="J1505" s="2"/>
      <c r="K1505" s="2"/>
      <c r="L1505" s="2"/>
      <c r="M1505" s="2"/>
      <c r="N1505" s="2"/>
      <c r="O1505" s="2"/>
      <c r="P1505" s="2"/>
      <c r="Q1505" s="2"/>
      <c r="R1505" s="2"/>
      <c r="S1505" s="2"/>
      <c r="T1505" s="2"/>
      <c r="U1505" s="2"/>
      <c r="V1505" s="2"/>
      <c r="W1505" s="2"/>
    </row>
    <row r="1506" spans="1:23" ht="75" customHeight="1" x14ac:dyDescent="0.15">
      <c r="A1506" s="2"/>
      <c r="B1506" s="2"/>
      <c r="C1506" s="2"/>
      <c r="D1506" s="2"/>
      <c r="E1506" s="2"/>
      <c r="F1506" s="2"/>
      <c r="G1506" s="2"/>
      <c r="H1506" s="2"/>
      <c r="I1506" s="2"/>
      <c r="J1506" s="2"/>
      <c r="K1506" s="2"/>
      <c r="L1506" s="2"/>
      <c r="M1506" s="2"/>
      <c r="N1506" s="2"/>
      <c r="O1506" s="2"/>
      <c r="P1506" s="2"/>
      <c r="Q1506" s="2"/>
      <c r="R1506" s="2"/>
      <c r="S1506" s="2"/>
      <c r="T1506" s="2"/>
      <c r="U1506" s="2"/>
      <c r="V1506" s="2"/>
      <c r="W1506" s="2"/>
    </row>
    <row r="1507" spans="1:23" ht="75" customHeight="1" x14ac:dyDescent="0.15">
      <c r="A1507" s="2"/>
      <c r="B1507" s="2"/>
      <c r="C1507" s="2"/>
      <c r="D1507" s="2"/>
      <c r="E1507" s="2"/>
      <c r="F1507" s="2"/>
      <c r="G1507" s="2"/>
      <c r="H1507" s="2"/>
      <c r="I1507" s="2"/>
      <c r="J1507" s="2"/>
      <c r="K1507" s="2"/>
      <c r="L1507" s="2"/>
      <c r="M1507" s="2"/>
      <c r="N1507" s="2"/>
      <c r="O1507" s="2"/>
      <c r="P1507" s="2"/>
      <c r="Q1507" s="2"/>
      <c r="R1507" s="2"/>
      <c r="S1507" s="2"/>
      <c r="T1507" s="2"/>
      <c r="U1507" s="2"/>
      <c r="V1507" s="2"/>
      <c r="W1507" s="2"/>
    </row>
    <row r="1508" spans="1:23" ht="75" customHeight="1" x14ac:dyDescent="0.15">
      <c r="A1508" s="2"/>
      <c r="B1508" s="2"/>
      <c r="C1508" s="2"/>
      <c r="D1508" s="2"/>
      <c r="E1508" s="2"/>
      <c r="F1508" s="2"/>
      <c r="G1508" s="2"/>
      <c r="H1508" s="2"/>
      <c r="I1508" s="2"/>
      <c r="J1508" s="2"/>
      <c r="K1508" s="2"/>
      <c r="L1508" s="2"/>
      <c r="M1508" s="2"/>
      <c r="N1508" s="2"/>
      <c r="O1508" s="2"/>
      <c r="P1508" s="2"/>
      <c r="Q1508" s="2"/>
      <c r="R1508" s="2"/>
      <c r="S1508" s="2"/>
      <c r="T1508" s="2"/>
      <c r="U1508" s="2"/>
      <c r="V1508" s="2"/>
      <c r="W1508" s="2"/>
    </row>
    <row r="1509" spans="1:23" ht="75" customHeight="1" x14ac:dyDescent="0.15">
      <c r="A1509" s="2"/>
      <c r="B1509" s="2"/>
      <c r="C1509" s="2"/>
      <c r="D1509" s="2"/>
      <c r="E1509" s="2"/>
      <c r="F1509" s="2"/>
      <c r="G1509" s="2"/>
      <c r="H1509" s="2"/>
      <c r="I1509" s="2"/>
      <c r="J1509" s="2"/>
      <c r="K1509" s="2"/>
      <c r="L1509" s="2"/>
      <c r="M1509" s="2"/>
      <c r="N1509" s="2"/>
      <c r="O1509" s="2"/>
      <c r="P1509" s="2"/>
      <c r="Q1509" s="2"/>
      <c r="R1509" s="2"/>
      <c r="S1509" s="2"/>
      <c r="T1509" s="2"/>
      <c r="U1509" s="2"/>
      <c r="V1509" s="2"/>
      <c r="W1509" s="2"/>
    </row>
    <row r="1510" spans="1:23" ht="75" customHeight="1" x14ac:dyDescent="0.15">
      <c r="A1510" s="2"/>
      <c r="B1510" s="2"/>
      <c r="C1510" s="2"/>
      <c r="D1510" s="2"/>
      <c r="E1510" s="2"/>
      <c r="F1510" s="2"/>
      <c r="G1510" s="2"/>
      <c r="H1510" s="2"/>
      <c r="I1510" s="2"/>
      <c r="J1510" s="2"/>
      <c r="K1510" s="2"/>
      <c r="L1510" s="2"/>
      <c r="M1510" s="2"/>
      <c r="N1510" s="2"/>
      <c r="O1510" s="2"/>
      <c r="P1510" s="2"/>
      <c r="Q1510" s="2"/>
      <c r="R1510" s="2"/>
      <c r="S1510" s="2"/>
      <c r="T1510" s="2"/>
      <c r="U1510" s="2"/>
      <c r="V1510" s="2"/>
      <c r="W1510" s="2"/>
    </row>
    <row r="1511" spans="1:23" ht="75" customHeight="1" x14ac:dyDescent="0.15">
      <c r="A1511" s="2"/>
      <c r="B1511" s="2"/>
      <c r="C1511" s="2"/>
      <c r="D1511" s="2"/>
      <c r="E1511" s="2"/>
      <c r="F1511" s="2"/>
      <c r="G1511" s="2"/>
      <c r="H1511" s="2"/>
      <c r="I1511" s="2"/>
      <c r="J1511" s="2"/>
      <c r="K1511" s="2"/>
      <c r="L1511" s="2"/>
      <c r="M1511" s="2"/>
      <c r="N1511" s="2"/>
      <c r="O1511" s="2"/>
      <c r="P1511" s="2"/>
      <c r="Q1511" s="2"/>
      <c r="R1511" s="2"/>
      <c r="S1511" s="2"/>
      <c r="T1511" s="2"/>
      <c r="U1511" s="2"/>
      <c r="V1511" s="2"/>
      <c r="W1511" s="2"/>
    </row>
    <row r="1512" spans="1:23" ht="75" customHeight="1" x14ac:dyDescent="0.15">
      <c r="A1512" s="2"/>
      <c r="B1512" s="2"/>
      <c r="C1512" s="2"/>
      <c r="D1512" s="2"/>
      <c r="E1512" s="2"/>
      <c r="F1512" s="2"/>
      <c r="G1512" s="2"/>
      <c r="H1512" s="2"/>
      <c r="I1512" s="2"/>
      <c r="J1512" s="2"/>
      <c r="K1512" s="2"/>
      <c r="L1512" s="2"/>
      <c r="M1512" s="2"/>
      <c r="N1512" s="2"/>
      <c r="O1512" s="2"/>
      <c r="P1512" s="2"/>
      <c r="Q1512" s="2"/>
      <c r="R1512" s="2"/>
      <c r="S1512" s="2"/>
      <c r="T1512" s="2"/>
      <c r="U1512" s="2"/>
      <c r="V1512" s="2"/>
      <c r="W1512" s="2"/>
    </row>
    <row r="1513" spans="1:23" ht="75" customHeight="1" x14ac:dyDescent="0.15">
      <c r="A1513" s="2"/>
      <c r="B1513" s="2"/>
      <c r="C1513" s="2"/>
      <c r="D1513" s="2"/>
      <c r="E1513" s="2"/>
      <c r="F1513" s="2"/>
      <c r="G1513" s="2"/>
      <c r="H1513" s="2"/>
      <c r="I1513" s="2"/>
      <c r="J1513" s="2"/>
      <c r="K1513" s="2"/>
      <c r="L1513" s="2"/>
      <c r="M1513" s="2"/>
      <c r="N1513" s="2"/>
      <c r="O1513" s="2"/>
      <c r="P1513" s="2"/>
      <c r="Q1513" s="2"/>
      <c r="R1513" s="2"/>
      <c r="S1513" s="2"/>
      <c r="T1513" s="2"/>
      <c r="U1513" s="2"/>
      <c r="V1513" s="2"/>
      <c r="W1513" s="2"/>
    </row>
    <row r="1514" spans="1:23" ht="75" customHeight="1" x14ac:dyDescent="0.15">
      <c r="A1514" s="2"/>
      <c r="B1514" s="2"/>
      <c r="C1514" s="2"/>
      <c r="D1514" s="2"/>
      <c r="E1514" s="2"/>
      <c r="F1514" s="2"/>
      <c r="G1514" s="2"/>
      <c r="H1514" s="2"/>
      <c r="I1514" s="2"/>
      <c r="J1514" s="2"/>
      <c r="K1514" s="2"/>
      <c r="L1514" s="2"/>
      <c r="M1514" s="2"/>
      <c r="N1514" s="2"/>
      <c r="O1514" s="2"/>
      <c r="P1514" s="2"/>
      <c r="Q1514" s="2"/>
      <c r="R1514" s="2"/>
      <c r="S1514" s="2"/>
      <c r="T1514" s="2"/>
      <c r="U1514" s="2"/>
      <c r="V1514" s="2"/>
      <c r="W1514" s="2"/>
    </row>
    <row r="1515" spans="1:23" ht="75" customHeight="1" x14ac:dyDescent="0.15">
      <c r="A1515" s="2"/>
      <c r="B1515" s="2"/>
      <c r="C1515" s="2"/>
      <c r="D1515" s="2"/>
      <c r="E1515" s="2"/>
      <c r="F1515" s="2"/>
      <c r="G1515" s="2"/>
      <c r="H1515" s="2"/>
      <c r="I1515" s="2"/>
      <c r="J1515" s="2"/>
      <c r="K1515" s="2"/>
      <c r="L1515" s="2"/>
      <c r="M1515" s="2"/>
      <c r="N1515" s="2"/>
      <c r="O1515" s="2"/>
      <c r="P1515" s="2"/>
      <c r="Q1515" s="2"/>
      <c r="R1515" s="2"/>
      <c r="S1515" s="2"/>
      <c r="T1515" s="2"/>
      <c r="U1515" s="2"/>
      <c r="V1515" s="2"/>
      <c r="W1515" s="2"/>
    </row>
    <row r="1516" spans="1:23" ht="75" customHeight="1" x14ac:dyDescent="0.15">
      <c r="A1516" s="2"/>
      <c r="B1516" s="2"/>
      <c r="C1516" s="2"/>
      <c r="D1516" s="2"/>
      <c r="E1516" s="2"/>
      <c r="F1516" s="2"/>
      <c r="G1516" s="2"/>
      <c r="H1516" s="2"/>
      <c r="I1516" s="2"/>
      <c r="J1516" s="2"/>
      <c r="K1516" s="2"/>
      <c r="L1516" s="2"/>
      <c r="M1516" s="2"/>
      <c r="N1516" s="2"/>
      <c r="O1516" s="2"/>
      <c r="P1516" s="2"/>
      <c r="Q1516" s="2"/>
      <c r="R1516" s="2"/>
      <c r="S1516" s="2"/>
      <c r="T1516" s="2"/>
      <c r="U1516" s="2"/>
      <c r="V1516" s="2"/>
      <c r="W1516" s="2"/>
    </row>
    <row r="1517" spans="1:23" ht="75" customHeight="1" x14ac:dyDescent="0.15">
      <c r="A1517" s="2"/>
      <c r="B1517" s="2"/>
      <c r="C1517" s="2"/>
      <c r="D1517" s="2"/>
      <c r="E1517" s="2"/>
      <c r="F1517" s="2"/>
      <c r="G1517" s="2"/>
      <c r="H1517" s="2"/>
      <c r="I1517" s="2"/>
      <c r="J1517" s="2"/>
      <c r="K1517" s="2"/>
      <c r="L1517" s="2"/>
      <c r="M1517" s="2"/>
      <c r="N1517" s="2"/>
      <c r="O1517" s="2"/>
      <c r="P1517" s="2"/>
      <c r="Q1517" s="2"/>
      <c r="R1517" s="2"/>
      <c r="S1517" s="2"/>
      <c r="T1517" s="2"/>
      <c r="U1517" s="2"/>
      <c r="V1517" s="2"/>
      <c r="W1517" s="2"/>
    </row>
    <row r="1518" spans="1:23" ht="75" customHeight="1" x14ac:dyDescent="0.15">
      <c r="A1518" s="2"/>
      <c r="B1518" s="2"/>
      <c r="C1518" s="2"/>
      <c r="D1518" s="2"/>
      <c r="E1518" s="2"/>
      <c r="F1518" s="2"/>
      <c r="G1518" s="2"/>
      <c r="H1518" s="2"/>
      <c r="I1518" s="2"/>
      <c r="J1518" s="2"/>
      <c r="K1518" s="2"/>
      <c r="L1518" s="2"/>
      <c r="M1518" s="2"/>
      <c r="N1518" s="2"/>
      <c r="O1518" s="2"/>
      <c r="P1518" s="2"/>
      <c r="Q1518" s="2"/>
      <c r="R1518" s="2"/>
      <c r="S1518" s="2"/>
      <c r="T1518" s="2"/>
      <c r="U1518" s="2"/>
      <c r="V1518" s="2"/>
      <c r="W1518" s="2"/>
    </row>
    <row r="1519" spans="1:23" ht="75" customHeight="1" x14ac:dyDescent="0.15">
      <c r="A1519" s="2"/>
      <c r="B1519" s="2"/>
      <c r="C1519" s="2"/>
      <c r="D1519" s="2"/>
      <c r="E1519" s="2"/>
      <c r="F1519" s="2"/>
      <c r="G1519" s="2"/>
      <c r="H1519" s="2"/>
      <c r="I1519" s="2"/>
      <c r="J1519" s="2"/>
      <c r="K1519" s="2"/>
      <c r="L1519" s="2"/>
      <c r="M1519" s="2"/>
      <c r="N1519" s="2"/>
      <c r="O1519" s="2"/>
      <c r="P1519" s="2"/>
      <c r="Q1519" s="2"/>
      <c r="R1519" s="2"/>
      <c r="S1519" s="2"/>
      <c r="T1519" s="2"/>
      <c r="U1519" s="2"/>
      <c r="V1519" s="2"/>
      <c r="W1519" s="2"/>
    </row>
    <row r="1520" spans="1:23" ht="75" customHeight="1" x14ac:dyDescent="0.15">
      <c r="A1520" s="2"/>
      <c r="B1520" s="2"/>
      <c r="C1520" s="2"/>
      <c r="D1520" s="2"/>
      <c r="E1520" s="2"/>
      <c r="F1520" s="2"/>
      <c r="G1520" s="2"/>
      <c r="H1520" s="2"/>
      <c r="I1520" s="2"/>
      <c r="J1520" s="2"/>
      <c r="K1520" s="2"/>
      <c r="L1520" s="2"/>
      <c r="M1520" s="2"/>
      <c r="N1520" s="2"/>
      <c r="O1520" s="2"/>
      <c r="P1520" s="2"/>
      <c r="Q1520" s="2"/>
      <c r="R1520" s="2"/>
      <c r="S1520" s="2"/>
      <c r="T1520" s="2"/>
      <c r="U1520" s="2"/>
      <c r="V1520" s="2"/>
      <c r="W1520" s="2"/>
    </row>
    <row r="1521" spans="1:23" ht="75" customHeight="1" x14ac:dyDescent="0.15">
      <c r="A1521" s="2"/>
      <c r="B1521" s="2"/>
      <c r="C1521" s="2"/>
      <c r="D1521" s="2"/>
      <c r="E1521" s="2"/>
      <c r="F1521" s="2"/>
      <c r="G1521" s="2"/>
      <c r="H1521" s="2"/>
      <c r="I1521" s="2"/>
      <c r="J1521" s="2"/>
      <c r="K1521" s="2"/>
      <c r="L1521" s="2"/>
      <c r="M1521" s="2"/>
      <c r="N1521" s="2"/>
      <c r="O1521" s="2"/>
      <c r="P1521" s="2"/>
      <c r="Q1521" s="2"/>
      <c r="R1521" s="2"/>
      <c r="S1521" s="2"/>
      <c r="T1521" s="2"/>
      <c r="U1521" s="2"/>
      <c r="V1521" s="2"/>
      <c r="W1521" s="2"/>
    </row>
    <row r="1522" spans="1:23" ht="75" customHeight="1" x14ac:dyDescent="0.15">
      <c r="A1522" s="2"/>
      <c r="B1522" s="2"/>
      <c r="C1522" s="2"/>
      <c r="D1522" s="2"/>
      <c r="E1522" s="2"/>
      <c r="F1522" s="2"/>
      <c r="G1522" s="2"/>
      <c r="H1522" s="2"/>
      <c r="I1522" s="2"/>
      <c r="J1522" s="2"/>
      <c r="K1522" s="2"/>
      <c r="L1522" s="2"/>
      <c r="M1522" s="2"/>
      <c r="N1522" s="2"/>
      <c r="O1522" s="2"/>
      <c r="P1522" s="2"/>
      <c r="Q1522" s="2"/>
      <c r="R1522" s="2"/>
      <c r="S1522" s="2"/>
      <c r="T1522" s="2"/>
      <c r="U1522" s="2"/>
      <c r="V1522" s="2"/>
      <c r="W1522" s="2"/>
    </row>
    <row r="1523" spans="1:23" ht="75" customHeight="1" x14ac:dyDescent="0.15">
      <c r="A1523" s="2"/>
      <c r="B1523" s="2"/>
      <c r="C1523" s="2"/>
      <c r="D1523" s="2"/>
      <c r="E1523" s="2"/>
      <c r="F1523" s="2"/>
      <c r="G1523" s="2"/>
      <c r="H1523" s="2"/>
      <c r="I1523" s="2"/>
      <c r="J1523" s="2"/>
      <c r="K1523" s="2"/>
      <c r="L1523" s="2"/>
      <c r="M1523" s="2"/>
      <c r="N1523" s="2"/>
      <c r="O1523" s="2"/>
      <c r="P1523" s="2"/>
      <c r="Q1523" s="2"/>
      <c r="R1523" s="2"/>
      <c r="S1523" s="2"/>
      <c r="T1523" s="2"/>
      <c r="U1523" s="2"/>
      <c r="V1523" s="2"/>
      <c r="W1523" s="2"/>
    </row>
    <row r="1524" spans="1:23" ht="75" customHeight="1" x14ac:dyDescent="0.15">
      <c r="A1524" s="2"/>
      <c r="B1524" s="2"/>
      <c r="C1524" s="2"/>
      <c r="D1524" s="2"/>
      <c r="E1524" s="2"/>
      <c r="F1524" s="2"/>
      <c r="G1524" s="2"/>
      <c r="H1524" s="2"/>
      <c r="I1524" s="2"/>
      <c r="J1524" s="2"/>
      <c r="K1524" s="2"/>
      <c r="L1524" s="2"/>
      <c r="M1524" s="2"/>
      <c r="N1524" s="2"/>
      <c r="O1524" s="2"/>
      <c r="P1524" s="2"/>
      <c r="Q1524" s="2"/>
      <c r="R1524" s="2"/>
      <c r="S1524" s="2"/>
      <c r="T1524" s="2"/>
      <c r="U1524" s="2"/>
      <c r="V1524" s="2"/>
      <c r="W1524" s="2"/>
    </row>
    <row r="1525" spans="1:23" ht="75" customHeight="1" x14ac:dyDescent="0.15">
      <c r="A1525" s="2"/>
      <c r="B1525" s="2"/>
      <c r="C1525" s="2"/>
      <c r="D1525" s="2"/>
      <c r="E1525" s="2"/>
      <c r="F1525" s="2"/>
      <c r="G1525" s="2"/>
      <c r="H1525" s="2"/>
      <c r="I1525" s="2"/>
      <c r="J1525" s="2"/>
      <c r="K1525" s="2"/>
      <c r="L1525" s="2"/>
      <c r="M1525" s="2"/>
      <c r="N1525" s="2"/>
      <c r="O1525" s="2"/>
      <c r="P1525" s="2"/>
      <c r="Q1525" s="2"/>
      <c r="R1525" s="2"/>
      <c r="S1525" s="2"/>
      <c r="T1525" s="2"/>
      <c r="U1525" s="2"/>
      <c r="V1525" s="2"/>
      <c r="W1525" s="2"/>
    </row>
    <row r="1526" spans="1:23" ht="75" customHeight="1" x14ac:dyDescent="0.15">
      <c r="A1526" s="2"/>
      <c r="B1526" s="2"/>
      <c r="C1526" s="2"/>
      <c r="D1526" s="2"/>
      <c r="E1526" s="2"/>
      <c r="F1526" s="2"/>
      <c r="G1526" s="2"/>
      <c r="H1526" s="2"/>
      <c r="I1526" s="2"/>
      <c r="J1526" s="2"/>
      <c r="K1526" s="2"/>
      <c r="L1526" s="2"/>
      <c r="M1526" s="2"/>
      <c r="N1526" s="2"/>
      <c r="O1526" s="2"/>
      <c r="P1526" s="2"/>
      <c r="Q1526" s="2"/>
      <c r="R1526" s="2"/>
      <c r="S1526" s="2"/>
      <c r="T1526" s="2"/>
      <c r="U1526" s="2"/>
      <c r="V1526" s="2"/>
      <c r="W1526" s="2"/>
    </row>
    <row r="1527" spans="1:23" ht="75" customHeight="1" x14ac:dyDescent="0.15">
      <c r="A1527" s="2"/>
      <c r="B1527" s="2"/>
      <c r="C1527" s="2"/>
      <c r="D1527" s="2"/>
      <c r="E1527" s="2"/>
      <c r="F1527" s="2"/>
      <c r="G1527" s="2"/>
      <c r="H1527" s="2"/>
      <c r="I1527" s="2"/>
      <c r="J1527" s="2"/>
      <c r="K1527" s="2"/>
      <c r="L1527" s="2"/>
      <c r="M1527" s="2"/>
      <c r="N1527" s="2"/>
      <c r="O1527" s="2"/>
      <c r="P1527" s="2"/>
      <c r="Q1527" s="2"/>
      <c r="R1527" s="2"/>
      <c r="S1527" s="2"/>
      <c r="T1527" s="2"/>
      <c r="U1527" s="2"/>
      <c r="V1527" s="2"/>
      <c r="W1527" s="2"/>
    </row>
    <row r="1528" spans="1:23" ht="75" customHeight="1" x14ac:dyDescent="0.15">
      <c r="A1528" s="2"/>
      <c r="B1528" s="2"/>
      <c r="C1528" s="2"/>
      <c r="D1528" s="2"/>
      <c r="E1528" s="2"/>
      <c r="F1528" s="2"/>
      <c r="G1528" s="2"/>
      <c r="H1528" s="2"/>
      <c r="I1528" s="2"/>
      <c r="J1528" s="2"/>
      <c r="K1528" s="2"/>
      <c r="L1528" s="2"/>
      <c r="M1528" s="2"/>
      <c r="N1528" s="2"/>
      <c r="O1528" s="2"/>
      <c r="P1528" s="2"/>
      <c r="Q1528" s="2"/>
      <c r="R1528" s="2"/>
      <c r="S1528" s="2"/>
      <c r="T1528" s="2"/>
      <c r="U1528" s="2"/>
      <c r="V1528" s="2"/>
      <c r="W1528" s="2"/>
    </row>
    <row r="1529" spans="1:23" ht="75" customHeight="1" x14ac:dyDescent="0.15">
      <c r="A1529" s="2"/>
      <c r="B1529" s="2"/>
      <c r="C1529" s="2"/>
      <c r="D1529" s="2"/>
      <c r="E1529" s="2"/>
      <c r="F1529" s="2"/>
      <c r="G1529" s="2"/>
      <c r="H1529" s="2"/>
      <c r="I1529" s="2"/>
      <c r="J1529" s="2"/>
      <c r="K1529" s="2"/>
      <c r="L1529" s="2"/>
      <c r="M1529" s="2"/>
      <c r="N1529" s="2"/>
      <c r="O1529" s="2"/>
      <c r="P1529" s="2"/>
      <c r="Q1529" s="2"/>
      <c r="R1529" s="2"/>
      <c r="S1529" s="2"/>
      <c r="T1529" s="2"/>
      <c r="U1529" s="2"/>
      <c r="V1529" s="2"/>
      <c r="W1529" s="2"/>
    </row>
    <row r="1530" spans="1:23" ht="75" customHeight="1" x14ac:dyDescent="0.15">
      <c r="A1530" s="2"/>
      <c r="B1530" s="2"/>
      <c r="C1530" s="2"/>
      <c r="D1530" s="2"/>
      <c r="E1530" s="2"/>
      <c r="F1530" s="2"/>
      <c r="G1530" s="2"/>
      <c r="H1530" s="2"/>
      <c r="I1530" s="2"/>
      <c r="J1530" s="2"/>
      <c r="K1530" s="2"/>
      <c r="L1530" s="2"/>
      <c r="M1530" s="2"/>
      <c r="N1530" s="2"/>
      <c r="O1530" s="2"/>
      <c r="P1530" s="2"/>
      <c r="Q1530" s="2"/>
      <c r="R1530" s="2"/>
      <c r="S1530" s="2"/>
      <c r="T1530" s="2"/>
      <c r="U1530" s="2"/>
      <c r="V1530" s="2"/>
      <c r="W1530" s="2"/>
    </row>
    <row r="1531" spans="1:23" ht="75" customHeight="1" x14ac:dyDescent="0.15">
      <c r="A1531" s="2"/>
      <c r="B1531" s="2"/>
      <c r="C1531" s="2"/>
      <c r="D1531" s="2"/>
      <c r="E1531" s="2"/>
      <c r="F1531" s="2"/>
      <c r="G1531" s="2"/>
      <c r="H1531" s="2"/>
      <c r="I1531" s="2"/>
      <c r="J1531" s="2"/>
      <c r="K1531" s="2"/>
      <c r="L1531" s="2"/>
      <c r="M1531" s="2"/>
      <c r="N1531" s="2"/>
      <c r="O1531" s="2"/>
      <c r="P1531" s="2"/>
      <c r="Q1531" s="2"/>
      <c r="R1531" s="2"/>
      <c r="S1531" s="2"/>
      <c r="T1531" s="2"/>
      <c r="U1531" s="2"/>
      <c r="V1531" s="2"/>
      <c r="W1531" s="2"/>
    </row>
    <row r="1532" spans="1:23" ht="75" customHeight="1" x14ac:dyDescent="0.15">
      <c r="A1532" s="2"/>
      <c r="B1532" s="2"/>
      <c r="C1532" s="2"/>
      <c r="D1532" s="2"/>
      <c r="E1532" s="2"/>
      <c r="F1532" s="2"/>
      <c r="G1532" s="2"/>
      <c r="H1532" s="2"/>
      <c r="I1532" s="2"/>
      <c r="J1532" s="2"/>
      <c r="K1532" s="2"/>
      <c r="L1532" s="2"/>
      <c r="M1532" s="2"/>
      <c r="N1532" s="2"/>
      <c r="O1532" s="2"/>
      <c r="P1532" s="2"/>
      <c r="Q1532" s="2"/>
      <c r="R1532" s="2"/>
      <c r="S1532" s="2"/>
      <c r="T1532" s="2"/>
      <c r="U1532" s="2"/>
      <c r="V1532" s="2"/>
      <c r="W1532" s="2"/>
    </row>
    <row r="1533" spans="1:23" ht="75" customHeight="1" x14ac:dyDescent="0.15">
      <c r="A1533" s="2"/>
      <c r="B1533" s="2"/>
      <c r="C1533" s="2"/>
      <c r="D1533" s="2"/>
      <c r="E1533" s="2"/>
      <c r="F1533" s="2"/>
      <c r="G1533" s="2"/>
      <c r="H1533" s="2"/>
      <c r="I1533" s="2"/>
      <c r="J1533" s="2"/>
      <c r="K1533" s="2"/>
      <c r="L1533" s="2"/>
      <c r="M1533" s="2"/>
      <c r="N1533" s="2"/>
      <c r="O1533" s="2"/>
      <c r="P1533" s="2"/>
      <c r="Q1533" s="2"/>
      <c r="R1533" s="2"/>
      <c r="S1533" s="2"/>
      <c r="T1533" s="2"/>
      <c r="U1533" s="2"/>
      <c r="V1533" s="2"/>
      <c r="W1533" s="2"/>
    </row>
    <row r="1534" spans="1:23" ht="75" customHeight="1" x14ac:dyDescent="0.15">
      <c r="A1534" s="2"/>
      <c r="B1534" s="2"/>
      <c r="C1534" s="2"/>
      <c r="D1534" s="2"/>
      <c r="E1534" s="2"/>
      <c r="F1534" s="2"/>
      <c r="G1534" s="2"/>
      <c r="H1534" s="2"/>
      <c r="I1534" s="2"/>
      <c r="J1534" s="2"/>
      <c r="K1534" s="2"/>
      <c r="L1534" s="2"/>
      <c r="M1534" s="2"/>
      <c r="N1534" s="2"/>
      <c r="O1534" s="2"/>
      <c r="P1534" s="2"/>
      <c r="Q1534" s="2"/>
      <c r="R1534" s="2"/>
      <c r="S1534" s="2"/>
      <c r="T1534" s="2"/>
      <c r="U1534" s="2"/>
      <c r="V1534" s="2"/>
      <c r="W1534" s="2"/>
    </row>
    <row r="1535" spans="1:23" ht="75" customHeight="1" x14ac:dyDescent="0.15">
      <c r="A1535" s="2"/>
      <c r="B1535" s="2"/>
      <c r="C1535" s="2"/>
      <c r="D1535" s="2"/>
      <c r="E1535" s="2"/>
      <c r="F1535" s="2"/>
      <c r="G1535" s="2"/>
      <c r="H1535" s="2"/>
      <c r="I1535" s="2"/>
      <c r="J1535" s="2"/>
      <c r="K1535" s="2"/>
      <c r="L1535" s="2"/>
      <c r="M1535" s="2"/>
      <c r="N1535" s="2"/>
      <c r="O1535" s="2"/>
      <c r="P1535" s="2"/>
      <c r="Q1535" s="2"/>
      <c r="R1535" s="2"/>
      <c r="S1535" s="2"/>
      <c r="T1535" s="2"/>
      <c r="U1535" s="2"/>
      <c r="V1535" s="2"/>
      <c r="W1535" s="2"/>
    </row>
    <row r="1536" spans="1:23" ht="75" customHeight="1" x14ac:dyDescent="0.15">
      <c r="A1536" s="2"/>
      <c r="B1536" s="2"/>
      <c r="C1536" s="2"/>
      <c r="D1536" s="2"/>
      <c r="E1536" s="2"/>
      <c r="F1536" s="2"/>
      <c r="G1536" s="2"/>
      <c r="H1536" s="2"/>
      <c r="I1536" s="2"/>
      <c r="J1536" s="2"/>
      <c r="K1536" s="2"/>
      <c r="L1536" s="2"/>
      <c r="M1536" s="2"/>
      <c r="N1536" s="2"/>
      <c r="O1536" s="2"/>
      <c r="P1536" s="2"/>
      <c r="Q1536" s="2"/>
      <c r="R1536" s="2"/>
      <c r="S1536" s="2"/>
      <c r="T1536" s="2"/>
      <c r="U1536" s="2"/>
      <c r="V1536" s="2"/>
      <c r="W1536" s="2"/>
    </row>
    <row r="1537" spans="1:23" ht="75" customHeight="1" x14ac:dyDescent="0.15">
      <c r="A1537" s="2"/>
      <c r="B1537" s="2"/>
      <c r="C1537" s="2"/>
      <c r="D1537" s="2"/>
      <c r="E1537" s="2"/>
      <c r="F1537" s="2"/>
      <c r="G1537" s="2"/>
      <c r="H1537" s="2"/>
      <c r="I1537" s="2"/>
      <c r="J1537" s="2"/>
      <c r="K1537" s="2"/>
      <c r="L1537" s="2"/>
      <c r="M1537" s="2"/>
      <c r="N1537" s="2"/>
      <c r="O1537" s="2"/>
      <c r="P1537" s="2"/>
      <c r="Q1537" s="2"/>
      <c r="R1537" s="2"/>
      <c r="S1537" s="2"/>
      <c r="T1537" s="2"/>
      <c r="U1537" s="2"/>
      <c r="V1537" s="2"/>
      <c r="W1537" s="2"/>
    </row>
    <row r="1538" spans="1:23" ht="75" customHeight="1" x14ac:dyDescent="0.15">
      <c r="A1538" s="2"/>
      <c r="B1538" s="2"/>
      <c r="C1538" s="2"/>
      <c r="D1538" s="2"/>
      <c r="E1538" s="2"/>
      <c r="F1538" s="2"/>
      <c r="G1538" s="2"/>
      <c r="H1538" s="2"/>
      <c r="I1538" s="2"/>
      <c r="J1538" s="2"/>
      <c r="K1538" s="2"/>
      <c r="L1538" s="2"/>
      <c r="M1538" s="2"/>
      <c r="N1538" s="2"/>
      <c r="O1538" s="2"/>
      <c r="P1538" s="2"/>
      <c r="Q1538" s="2"/>
      <c r="R1538" s="2"/>
      <c r="S1538" s="2"/>
      <c r="T1538" s="2"/>
      <c r="U1538" s="2"/>
      <c r="V1538" s="2"/>
      <c r="W1538" s="2"/>
    </row>
    <row r="1539" spans="1:23" ht="75" customHeight="1" x14ac:dyDescent="0.15">
      <c r="A1539" s="2"/>
      <c r="B1539" s="2"/>
      <c r="C1539" s="2"/>
      <c r="D1539" s="2"/>
      <c r="E1539" s="2"/>
      <c r="F1539" s="2"/>
      <c r="G1539" s="2"/>
      <c r="H1539" s="2"/>
      <c r="I1539" s="2"/>
      <c r="J1539" s="2"/>
      <c r="K1539" s="2"/>
      <c r="L1539" s="2"/>
      <c r="M1539" s="2"/>
      <c r="N1539" s="2"/>
      <c r="O1539" s="2"/>
      <c r="P1539" s="2"/>
      <c r="Q1539" s="2"/>
      <c r="R1539" s="2"/>
      <c r="S1539" s="2"/>
      <c r="T1539" s="2"/>
      <c r="U1539" s="2"/>
      <c r="V1539" s="2"/>
      <c r="W1539" s="2"/>
    </row>
    <row r="1540" spans="1:23" ht="75" customHeight="1" x14ac:dyDescent="0.15">
      <c r="A1540" s="2"/>
      <c r="B1540" s="2"/>
      <c r="C1540" s="2"/>
      <c r="D1540" s="2"/>
      <c r="E1540" s="2"/>
      <c r="F1540" s="2"/>
      <c r="G1540" s="2"/>
      <c r="H1540" s="2"/>
      <c r="I1540" s="2"/>
      <c r="J1540" s="2"/>
      <c r="K1540" s="2"/>
      <c r="L1540" s="2"/>
      <c r="M1540" s="2"/>
      <c r="N1540" s="2"/>
      <c r="O1540" s="2"/>
      <c r="P1540" s="2"/>
      <c r="Q1540" s="2"/>
      <c r="R1540" s="2"/>
      <c r="S1540" s="2"/>
      <c r="T1540" s="2"/>
      <c r="U1540" s="2"/>
      <c r="V1540" s="2"/>
      <c r="W1540" s="2"/>
    </row>
    <row r="1541" spans="1:23" ht="75" customHeight="1" x14ac:dyDescent="0.15">
      <c r="A1541" s="2"/>
      <c r="B1541" s="2"/>
      <c r="C1541" s="2"/>
      <c r="D1541" s="2"/>
      <c r="E1541" s="2"/>
      <c r="F1541" s="2"/>
      <c r="G1541" s="2"/>
      <c r="H1541" s="2"/>
      <c r="I1541" s="2"/>
      <c r="J1541" s="2"/>
      <c r="K1541" s="2"/>
      <c r="L1541" s="2"/>
      <c r="M1541" s="2"/>
      <c r="N1541" s="2"/>
      <c r="O1541" s="2"/>
      <c r="P1541" s="2"/>
      <c r="Q1541" s="2"/>
      <c r="R1541" s="2"/>
      <c r="S1541" s="2"/>
      <c r="T1541" s="2"/>
      <c r="U1541" s="2"/>
      <c r="V1541" s="2"/>
      <c r="W1541" s="2"/>
    </row>
    <row r="1542" spans="1:23" ht="75" customHeight="1" x14ac:dyDescent="0.15">
      <c r="A1542" s="2"/>
      <c r="B1542" s="2"/>
      <c r="C1542" s="2"/>
      <c r="D1542" s="2"/>
      <c r="E1542" s="2"/>
      <c r="F1542" s="2"/>
      <c r="G1542" s="2"/>
      <c r="H1542" s="2"/>
      <c r="I1542" s="2"/>
      <c r="J1542" s="2"/>
      <c r="K1542" s="2"/>
      <c r="L1542" s="2"/>
      <c r="M1542" s="2"/>
      <c r="N1542" s="2"/>
      <c r="O1542" s="2"/>
      <c r="P1542" s="2"/>
      <c r="Q1542" s="2"/>
      <c r="R1542" s="2"/>
      <c r="S1542" s="2"/>
      <c r="T1542" s="2"/>
      <c r="U1542" s="2"/>
      <c r="V1542" s="2"/>
      <c r="W1542" s="2"/>
    </row>
    <row r="1543" spans="1:23" ht="75" customHeight="1" x14ac:dyDescent="0.15">
      <c r="A1543" s="2"/>
      <c r="B1543" s="2"/>
      <c r="C1543" s="2"/>
      <c r="D1543" s="2"/>
      <c r="E1543" s="2"/>
      <c r="F1543" s="2"/>
      <c r="G1543" s="2"/>
      <c r="H1543" s="2"/>
      <c r="I1543" s="2"/>
      <c r="J1543" s="2"/>
      <c r="K1543" s="2"/>
      <c r="L1543" s="2"/>
      <c r="M1543" s="2"/>
      <c r="N1543" s="2"/>
      <c r="O1543" s="2"/>
      <c r="P1543" s="2"/>
      <c r="Q1543" s="2"/>
      <c r="R1543" s="2"/>
      <c r="S1543" s="2"/>
      <c r="T1543" s="2"/>
      <c r="U1543" s="2"/>
      <c r="V1543" s="2"/>
      <c r="W1543" s="2"/>
    </row>
    <row r="1544" spans="1:23" ht="75" customHeight="1" x14ac:dyDescent="0.15">
      <c r="A1544" s="2"/>
      <c r="B1544" s="2"/>
      <c r="C1544" s="2"/>
      <c r="D1544" s="2"/>
      <c r="E1544" s="2"/>
      <c r="F1544" s="2"/>
      <c r="G1544" s="2"/>
      <c r="H1544" s="2"/>
      <c r="I1544" s="2"/>
      <c r="J1544" s="2"/>
      <c r="K1544" s="2"/>
      <c r="L1544" s="2"/>
      <c r="M1544" s="2"/>
      <c r="N1544" s="2"/>
      <c r="O1544" s="2"/>
      <c r="P1544" s="2"/>
      <c r="Q1544" s="2"/>
      <c r="R1544" s="2"/>
      <c r="S1544" s="2"/>
      <c r="T1544" s="2"/>
      <c r="U1544" s="2"/>
      <c r="V1544" s="2"/>
      <c r="W1544" s="2"/>
    </row>
    <row r="1545" spans="1:23" ht="75" customHeight="1" x14ac:dyDescent="0.15">
      <c r="A1545" s="2"/>
      <c r="B1545" s="2"/>
      <c r="C1545" s="2"/>
      <c r="D1545" s="2"/>
      <c r="E1545" s="2"/>
      <c r="F1545" s="2"/>
      <c r="G1545" s="2"/>
      <c r="H1545" s="2"/>
      <c r="I1545" s="2"/>
      <c r="J1545" s="2"/>
      <c r="K1545" s="2"/>
      <c r="L1545" s="2"/>
      <c r="M1545" s="2"/>
      <c r="N1545" s="2"/>
      <c r="O1545" s="2"/>
      <c r="P1545" s="2"/>
      <c r="Q1545" s="2"/>
      <c r="R1545" s="2"/>
      <c r="S1545" s="2"/>
      <c r="T1545" s="2"/>
      <c r="U1545" s="2"/>
      <c r="V1545" s="2"/>
      <c r="W1545" s="2"/>
    </row>
    <row r="1546" spans="1:23" ht="75" customHeight="1" x14ac:dyDescent="0.15">
      <c r="A1546" s="2"/>
      <c r="B1546" s="2"/>
      <c r="C1546" s="2"/>
      <c r="D1546" s="2"/>
      <c r="E1546" s="2"/>
      <c r="F1546" s="2"/>
      <c r="G1546" s="2"/>
      <c r="H1546" s="2"/>
      <c r="I1546" s="2"/>
      <c r="J1546" s="2"/>
      <c r="K1546" s="2"/>
      <c r="L1546" s="2"/>
      <c r="M1546" s="2"/>
      <c r="N1546" s="2"/>
      <c r="O1546" s="2"/>
      <c r="P1546" s="2"/>
      <c r="Q1546" s="2"/>
      <c r="R1546" s="2"/>
      <c r="S1546" s="2"/>
      <c r="T1546" s="2"/>
      <c r="U1546" s="2"/>
      <c r="V1546" s="2"/>
      <c r="W1546" s="2"/>
    </row>
    <row r="1547" spans="1:23" ht="75" customHeight="1" x14ac:dyDescent="0.15">
      <c r="A1547" s="2"/>
      <c r="B1547" s="2"/>
      <c r="C1547" s="2"/>
      <c r="D1547" s="2"/>
      <c r="E1547" s="2"/>
      <c r="F1547" s="2"/>
      <c r="G1547" s="2"/>
      <c r="H1547" s="2"/>
      <c r="I1547" s="2"/>
      <c r="J1547" s="2"/>
      <c r="K1547" s="2"/>
      <c r="L1547" s="2"/>
      <c r="M1547" s="2"/>
      <c r="N1547" s="2"/>
      <c r="O1547" s="2"/>
      <c r="P1547" s="2"/>
      <c r="Q1547" s="2"/>
      <c r="R1547" s="2"/>
      <c r="S1547" s="2"/>
      <c r="T1547" s="2"/>
      <c r="U1547" s="2"/>
      <c r="V1547" s="2"/>
      <c r="W1547" s="2"/>
    </row>
    <row r="1548" spans="1:23" ht="75" customHeight="1" x14ac:dyDescent="0.15">
      <c r="A1548" s="2"/>
      <c r="B1548" s="2"/>
      <c r="C1548" s="2"/>
      <c r="D1548" s="2"/>
      <c r="E1548" s="2"/>
      <c r="F1548" s="2"/>
      <c r="G1548" s="2"/>
      <c r="H1548" s="2"/>
      <c r="I1548" s="2"/>
      <c r="J1548" s="2"/>
      <c r="K1548" s="2"/>
      <c r="L1548" s="2"/>
      <c r="M1548" s="2"/>
      <c r="N1548" s="2"/>
      <c r="O1548" s="2"/>
      <c r="P1548" s="2"/>
      <c r="Q1548" s="2"/>
      <c r="R1548" s="2"/>
      <c r="S1548" s="2"/>
      <c r="T1548" s="2"/>
      <c r="U1548" s="2"/>
      <c r="V1548" s="2"/>
      <c r="W1548" s="2"/>
    </row>
    <row r="1549" spans="1:23" ht="75" customHeight="1" x14ac:dyDescent="0.15">
      <c r="A1549" s="2"/>
      <c r="B1549" s="2"/>
      <c r="C1549" s="2"/>
      <c r="D1549" s="2"/>
      <c r="E1549" s="2"/>
      <c r="F1549" s="2"/>
      <c r="G1549" s="2"/>
      <c r="H1549" s="2"/>
      <c r="I1549" s="2"/>
      <c r="J1549" s="2"/>
      <c r="K1549" s="2"/>
      <c r="L1549" s="2"/>
      <c r="M1549" s="2"/>
      <c r="N1549" s="2"/>
      <c r="O1549" s="2"/>
      <c r="P1549" s="2"/>
      <c r="Q1549" s="2"/>
      <c r="R1549" s="2"/>
      <c r="S1549" s="2"/>
      <c r="T1549" s="2"/>
      <c r="U1549" s="2"/>
      <c r="V1549" s="2"/>
      <c r="W1549" s="2"/>
    </row>
    <row r="1550" spans="1:23" ht="75" customHeight="1" x14ac:dyDescent="0.15">
      <c r="A1550" s="2"/>
      <c r="B1550" s="2"/>
      <c r="C1550" s="2"/>
      <c r="D1550" s="2"/>
      <c r="E1550" s="2"/>
      <c r="F1550" s="2"/>
      <c r="G1550" s="2"/>
      <c r="H1550" s="2"/>
      <c r="I1550" s="2"/>
      <c r="J1550" s="2"/>
      <c r="K1550" s="2"/>
      <c r="L1550" s="2"/>
      <c r="M1550" s="2"/>
      <c r="N1550" s="2"/>
      <c r="O1550" s="2"/>
      <c r="P1550" s="2"/>
      <c r="Q1550" s="2"/>
      <c r="R1550" s="2"/>
      <c r="S1550" s="2"/>
      <c r="T1550" s="2"/>
      <c r="U1550" s="2"/>
      <c r="V1550" s="2"/>
      <c r="W1550" s="2"/>
    </row>
    <row r="1551" spans="1:23" ht="75" customHeight="1" x14ac:dyDescent="0.15">
      <c r="A1551" s="2"/>
      <c r="B1551" s="2"/>
      <c r="C1551" s="2"/>
      <c r="D1551" s="2"/>
      <c r="E1551" s="2"/>
      <c r="F1551" s="2"/>
      <c r="G1551" s="2"/>
      <c r="H1551" s="2"/>
      <c r="I1551" s="2"/>
      <c r="J1551" s="2"/>
      <c r="K1551" s="2"/>
      <c r="L1551" s="2"/>
      <c r="M1551" s="2"/>
      <c r="N1551" s="2"/>
      <c r="O1551" s="2"/>
      <c r="P1551" s="2"/>
      <c r="Q1551" s="2"/>
      <c r="R1551" s="2"/>
      <c r="S1551" s="2"/>
      <c r="T1551" s="2"/>
      <c r="U1551" s="2"/>
      <c r="V1551" s="2"/>
      <c r="W1551" s="2"/>
    </row>
    <row r="1552" spans="1:23" ht="75" customHeight="1" x14ac:dyDescent="0.15">
      <c r="A1552" s="2"/>
      <c r="B1552" s="2"/>
      <c r="C1552" s="2"/>
      <c r="D1552" s="2"/>
      <c r="E1552" s="2"/>
      <c r="F1552" s="2"/>
      <c r="G1552" s="2"/>
      <c r="H1552" s="2"/>
      <c r="I1552" s="2"/>
      <c r="J1552" s="2"/>
      <c r="K1552" s="2"/>
      <c r="L1552" s="2"/>
      <c r="M1552" s="2"/>
      <c r="N1552" s="2"/>
      <c r="O1552" s="2"/>
      <c r="P1552" s="2"/>
      <c r="Q1552" s="2"/>
      <c r="R1552" s="2"/>
      <c r="S1552" s="2"/>
      <c r="T1552" s="2"/>
      <c r="U1552" s="2"/>
      <c r="V1552" s="2"/>
      <c r="W1552" s="2"/>
    </row>
    <row r="1553" spans="1:23" ht="75" customHeight="1" x14ac:dyDescent="0.15">
      <c r="A1553" s="2"/>
      <c r="B1553" s="2"/>
      <c r="C1553" s="2"/>
      <c r="D1553" s="2"/>
      <c r="E1553" s="2"/>
      <c r="F1553" s="2"/>
      <c r="G1553" s="2"/>
      <c r="H1553" s="2"/>
      <c r="I1553" s="2"/>
      <c r="J1553" s="2"/>
      <c r="K1553" s="2"/>
      <c r="L1553" s="2"/>
      <c r="M1553" s="2"/>
      <c r="N1553" s="2"/>
      <c r="O1553" s="2"/>
      <c r="P1553" s="2"/>
      <c r="Q1553" s="2"/>
      <c r="R1553" s="2"/>
      <c r="S1553" s="2"/>
      <c r="T1553" s="2"/>
      <c r="U1553" s="2"/>
      <c r="V1553" s="2"/>
      <c r="W1553" s="2"/>
    </row>
    <row r="1554" spans="1:23" ht="75" customHeight="1" x14ac:dyDescent="0.15">
      <c r="A1554" s="2"/>
      <c r="B1554" s="2"/>
      <c r="C1554" s="2"/>
      <c r="D1554" s="2"/>
      <c r="E1554" s="2"/>
      <c r="F1554" s="2"/>
      <c r="G1554" s="2"/>
      <c r="H1554" s="2"/>
      <c r="I1554" s="2"/>
      <c r="J1554" s="2"/>
      <c r="K1554" s="2"/>
      <c r="L1554" s="2"/>
      <c r="M1554" s="2"/>
      <c r="N1554" s="2"/>
      <c r="O1554" s="2"/>
      <c r="P1554" s="2"/>
      <c r="Q1554" s="2"/>
      <c r="R1554" s="2"/>
      <c r="S1554" s="2"/>
      <c r="T1554" s="2"/>
      <c r="U1554" s="2"/>
      <c r="V1554" s="2"/>
      <c r="W1554" s="2"/>
    </row>
    <row r="1555" spans="1:23" ht="75" customHeight="1" x14ac:dyDescent="0.15">
      <c r="A1555" s="2"/>
      <c r="B1555" s="2"/>
      <c r="C1555" s="2"/>
      <c r="D1555" s="2"/>
      <c r="E1555" s="2"/>
      <c r="F1555" s="2"/>
      <c r="G1555" s="2"/>
      <c r="H1555" s="2"/>
      <c r="I1555" s="2"/>
      <c r="J1555" s="2"/>
      <c r="K1555" s="2"/>
      <c r="L1555" s="2"/>
      <c r="M1555" s="2"/>
      <c r="N1555" s="2"/>
      <c r="O1555" s="2"/>
      <c r="P1555" s="2"/>
      <c r="Q1555" s="2"/>
      <c r="R1555" s="2"/>
      <c r="S1555" s="2"/>
      <c r="T1555" s="2"/>
      <c r="U1555" s="2"/>
      <c r="V1555" s="2"/>
      <c r="W1555" s="2"/>
    </row>
    <row r="1556" spans="1:23" ht="75" customHeight="1" x14ac:dyDescent="0.15">
      <c r="A1556" s="2"/>
      <c r="B1556" s="2"/>
      <c r="C1556" s="2"/>
      <c r="D1556" s="2"/>
      <c r="E1556" s="2"/>
      <c r="F1556" s="2"/>
      <c r="G1556" s="2"/>
      <c r="H1556" s="2"/>
      <c r="I1556" s="2"/>
      <c r="J1556" s="2"/>
      <c r="K1556" s="2"/>
      <c r="L1556" s="2"/>
      <c r="M1556" s="2"/>
      <c r="N1556" s="2"/>
      <c r="O1556" s="2"/>
      <c r="P1556" s="2"/>
      <c r="Q1556" s="2"/>
      <c r="R1556" s="2"/>
      <c r="S1556" s="2"/>
      <c r="T1556" s="2"/>
      <c r="U1556" s="2"/>
      <c r="V1556" s="2"/>
      <c r="W1556" s="2"/>
    </row>
    <row r="1557" spans="1:23" ht="75" customHeight="1" x14ac:dyDescent="0.15">
      <c r="A1557" s="2"/>
      <c r="B1557" s="2"/>
      <c r="C1557" s="2"/>
      <c r="D1557" s="2"/>
      <c r="E1557" s="2"/>
      <c r="F1557" s="2"/>
      <c r="G1557" s="2"/>
      <c r="H1557" s="2"/>
      <c r="I1557" s="2"/>
      <c r="J1557" s="2"/>
      <c r="K1557" s="2"/>
      <c r="L1557" s="2"/>
      <c r="M1557" s="2"/>
      <c r="N1557" s="2"/>
      <c r="O1557" s="2"/>
      <c r="P1557" s="2"/>
      <c r="Q1557" s="2"/>
      <c r="R1557" s="2"/>
      <c r="S1557" s="2"/>
      <c r="T1557" s="2"/>
      <c r="U1557" s="2"/>
      <c r="V1557" s="2"/>
      <c r="W1557" s="2"/>
    </row>
    <row r="1558" spans="1:23" ht="75" customHeight="1" x14ac:dyDescent="0.15">
      <c r="A1558" s="2"/>
      <c r="B1558" s="2"/>
      <c r="C1558" s="2"/>
      <c r="D1558" s="2"/>
      <c r="E1558" s="2"/>
      <c r="F1558" s="2"/>
      <c r="G1558" s="2"/>
      <c r="H1558" s="2"/>
      <c r="I1558" s="2"/>
      <c r="J1558" s="2"/>
      <c r="K1558" s="2"/>
      <c r="L1558" s="2"/>
      <c r="M1558" s="2"/>
      <c r="N1558" s="2"/>
      <c r="O1558" s="2"/>
      <c r="P1558" s="2"/>
      <c r="Q1558" s="2"/>
      <c r="R1558" s="2"/>
      <c r="S1558" s="2"/>
      <c r="T1558" s="2"/>
      <c r="U1558" s="2"/>
      <c r="V1558" s="2"/>
      <c r="W1558" s="2"/>
    </row>
    <row r="1559" spans="1:23" ht="75" customHeight="1" x14ac:dyDescent="0.15">
      <c r="A1559" s="2"/>
      <c r="B1559" s="2"/>
      <c r="C1559" s="2"/>
      <c r="D1559" s="2"/>
      <c r="E1559" s="2"/>
      <c r="F1559" s="2"/>
      <c r="G1559" s="2"/>
      <c r="H1559" s="2"/>
      <c r="I1559" s="2"/>
      <c r="J1559" s="2"/>
      <c r="K1559" s="2"/>
      <c r="L1559" s="2"/>
      <c r="M1559" s="2"/>
      <c r="N1559" s="2"/>
      <c r="O1559" s="2"/>
      <c r="P1559" s="2"/>
      <c r="Q1559" s="2"/>
      <c r="R1559" s="2"/>
      <c r="S1559" s="2"/>
      <c r="T1559" s="2"/>
      <c r="U1559" s="2"/>
      <c r="V1559" s="2"/>
      <c r="W1559" s="2"/>
    </row>
    <row r="1560" spans="1:23" ht="75" customHeight="1" x14ac:dyDescent="0.15">
      <c r="A1560" s="2"/>
      <c r="B1560" s="2"/>
      <c r="C1560" s="2"/>
      <c r="D1560" s="2"/>
      <c r="E1560" s="2"/>
      <c r="F1560" s="2"/>
      <c r="G1560" s="2"/>
      <c r="H1560" s="2"/>
      <c r="I1560" s="2"/>
      <c r="J1560" s="2"/>
      <c r="K1560" s="2"/>
      <c r="L1560" s="2"/>
      <c r="M1560" s="2"/>
      <c r="N1560" s="2"/>
      <c r="O1560" s="2"/>
      <c r="P1560" s="2"/>
      <c r="Q1560" s="2"/>
      <c r="R1560" s="2"/>
      <c r="S1560" s="2"/>
      <c r="T1560" s="2"/>
      <c r="U1560" s="2"/>
      <c r="V1560" s="2"/>
      <c r="W1560" s="2"/>
    </row>
    <row r="1561" spans="1:23" ht="75" customHeight="1" x14ac:dyDescent="0.15">
      <c r="A1561" s="2"/>
      <c r="B1561" s="2"/>
      <c r="C1561" s="2"/>
      <c r="D1561" s="2"/>
      <c r="E1561" s="2"/>
      <c r="F1561" s="2"/>
      <c r="G1561" s="2"/>
      <c r="H1561" s="2"/>
      <c r="I1561" s="2"/>
      <c r="J1561" s="2"/>
      <c r="K1561" s="2"/>
      <c r="L1561" s="2"/>
      <c r="M1561" s="2"/>
      <c r="N1561" s="2"/>
      <c r="O1561" s="2"/>
      <c r="P1561" s="2"/>
      <c r="Q1561" s="2"/>
      <c r="R1561" s="2"/>
      <c r="S1561" s="2"/>
      <c r="T1561" s="2"/>
      <c r="U1561" s="2"/>
      <c r="V1561" s="2"/>
      <c r="W1561" s="2"/>
    </row>
    <row r="1562" spans="1:23" ht="75" customHeight="1" x14ac:dyDescent="0.15">
      <c r="A1562" s="2"/>
      <c r="B1562" s="2"/>
      <c r="C1562" s="2"/>
      <c r="D1562" s="2"/>
      <c r="E1562" s="2"/>
      <c r="F1562" s="2"/>
      <c r="G1562" s="2"/>
      <c r="H1562" s="2"/>
      <c r="I1562" s="2"/>
      <c r="J1562" s="2"/>
      <c r="K1562" s="2"/>
      <c r="L1562" s="2"/>
      <c r="M1562" s="2"/>
      <c r="N1562" s="2"/>
      <c r="O1562" s="2"/>
      <c r="P1562" s="2"/>
      <c r="Q1562" s="2"/>
      <c r="R1562" s="2"/>
      <c r="S1562" s="2"/>
      <c r="T1562" s="2"/>
      <c r="U1562" s="2"/>
      <c r="V1562" s="2"/>
      <c r="W1562" s="2"/>
    </row>
    <row r="1563" spans="1:23" ht="75" customHeight="1" x14ac:dyDescent="0.15">
      <c r="A1563" s="2"/>
      <c r="B1563" s="2"/>
      <c r="C1563" s="2"/>
      <c r="D1563" s="2"/>
      <c r="E1563" s="2"/>
      <c r="F1563" s="2"/>
      <c r="G1563" s="2"/>
      <c r="H1563" s="2"/>
      <c r="I1563" s="2"/>
      <c r="J1563" s="2"/>
      <c r="K1563" s="2"/>
      <c r="L1563" s="2"/>
      <c r="M1563" s="2"/>
      <c r="N1563" s="2"/>
      <c r="O1563" s="2"/>
      <c r="P1563" s="2"/>
      <c r="Q1563" s="2"/>
      <c r="R1563" s="2"/>
      <c r="S1563" s="2"/>
      <c r="T1563" s="2"/>
      <c r="U1563" s="2"/>
      <c r="V1563" s="2"/>
      <c r="W1563" s="2"/>
    </row>
    <row r="1564" spans="1:23" ht="75" customHeight="1" x14ac:dyDescent="0.15">
      <c r="A1564" s="2"/>
      <c r="B1564" s="2"/>
      <c r="C1564" s="2"/>
      <c r="D1564" s="2"/>
      <c r="E1564" s="2"/>
      <c r="F1564" s="2"/>
      <c r="G1564" s="2"/>
      <c r="H1564" s="2"/>
      <c r="I1564" s="2"/>
      <c r="J1564" s="2"/>
      <c r="K1564" s="2"/>
      <c r="L1564" s="2"/>
      <c r="M1564" s="2"/>
      <c r="N1564" s="2"/>
      <c r="O1564" s="2"/>
      <c r="P1564" s="2"/>
      <c r="Q1564" s="2"/>
      <c r="R1564" s="2"/>
      <c r="S1564" s="2"/>
      <c r="T1564" s="2"/>
      <c r="U1564" s="2"/>
      <c r="V1564" s="2"/>
      <c r="W1564" s="2"/>
    </row>
    <row r="1565" spans="1:23" ht="75" customHeight="1" x14ac:dyDescent="0.15">
      <c r="A1565" s="2"/>
      <c r="B1565" s="2"/>
      <c r="C1565" s="2"/>
      <c r="D1565" s="2"/>
      <c r="E1565" s="2"/>
      <c r="F1565" s="2"/>
      <c r="G1565" s="2"/>
      <c r="H1565" s="2"/>
      <c r="I1565" s="2"/>
      <c r="J1565" s="2"/>
      <c r="K1565" s="2"/>
      <c r="L1565" s="2"/>
      <c r="M1565" s="2"/>
      <c r="N1565" s="2"/>
      <c r="O1565" s="2"/>
      <c r="P1565" s="2"/>
      <c r="Q1565" s="2"/>
      <c r="R1565" s="2"/>
      <c r="S1565" s="2"/>
      <c r="T1565" s="2"/>
      <c r="U1565" s="2"/>
      <c r="V1565" s="2"/>
      <c r="W1565" s="2"/>
    </row>
    <row r="1566" spans="1:23" ht="75" customHeight="1" x14ac:dyDescent="0.15">
      <c r="A1566" s="2"/>
      <c r="B1566" s="2"/>
      <c r="C1566" s="2"/>
      <c r="D1566" s="2"/>
      <c r="E1566" s="2"/>
      <c r="F1566" s="2"/>
      <c r="G1566" s="2"/>
      <c r="H1566" s="2"/>
      <c r="I1566" s="2"/>
      <c r="J1566" s="2"/>
      <c r="K1566" s="2"/>
      <c r="L1566" s="2"/>
      <c r="M1566" s="2"/>
      <c r="N1566" s="2"/>
      <c r="O1566" s="2"/>
      <c r="P1566" s="2"/>
      <c r="Q1566" s="2"/>
      <c r="R1566" s="2"/>
      <c r="S1566" s="2"/>
      <c r="T1566" s="2"/>
      <c r="U1566" s="2"/>
      <c r="V1566" s="2"/>
      <c r="W1566" s="2"/>
    </row>
    <row r="1567" spans="1:23" ht="75" customHeight="1" x14ac:dyDescent="0.15">
      <c r="A1567" s="2"/>
      <c r="B1567" s="2"/>
      <c r="C1567" s="2"/>
      <c r="D1567" s="2"/>
      <c r="E1567" s="2"/>
      <c r="F1567" s="2"/>
      <c r="G1567" s="2"/>
      <c r="H1567" s="2"/>
      <c r="I1567" s="2"/>
      <c r="J1567" s="2"/>
      <c r="K1567" s="2"/>
      <c r="L1567" s="2"/>
      <c r="M1567" s="2"/>
      <c r="N1567" s="2"/>
      <c r="O1567" s="2"/>
      <c r="P1567" s="2"/>
      <c r="Q1567" s="2"/>
      <c r="R1567" s="2"/>
      <c r="S1567" s="2"/>
      <c r="T1567" s="2"/>
      <c r="U1567" s="2"/>
      <c r="V1567" s="2"/>
      <c r="W1567" s="2"/>
    </row>
    <row r="1568" spans="1:23" ht="75" customHeight="1" x14ac:dyDescent="0.15">
      <c r="A1568" s="2"/>
      <c r="B1568" s="2"/>
      <c r="C1568" s="2"/>
      <c r="D1568" s="2"/>
      <c r="E1568" s="2"/>
      <c r="F1568" s="2"/>
      <c r="G1568" s="2"/>
      <c r="H1568" s="2"/>
      <c r="I1568" s="2"/>
      <c r="J1568" s="2"/>
      <c r="K1568" s="2"/>
      <c r="L1568" s="2"/>
      <c r="M1568" s="2"/>
      <c r="N1568" s="2"/>
      <c r="O1568" s="2"/>
      <c r="P1568" s="2"/>
      <c r="Q1568" s="2"/>
      <c r="R1568" s="2"/>
      <c r="S1568" s="2"/>
      <c r="T1568" s="2"/>
      <c r="U1568" s="2"/>
      <c r="V1568" s="2"/>
      <c r="W1568" s="2"/>
    </row>
    <row r="1569" spans="1:23" ht="75" customHeight="1" x14ac:dyDescent="0.15">
      <c r="A1569" s="2"/>
      <c r="B1569" s="2"/>
      <c r="C1569" s="2"/>
      <c r="D1569" s="2"/>
      <c r="E1569" s="2"/>
      <c r="F1569" s="2"/>
      <c r="G1569" s="2"/>
      <c r="H1569" s="2"/>
      <c r="I1569" s="2"/>
      <c r="J1569" s="2"/>
      <c r="K1569" s="2"/>
      <c r="L1569" s="2"/>
      <c r="M1569" s="2"/>
      <c r="N1569" s="2"/>
      <c r="O1569" s="2"/>
      <c r="P1569" s="2"/>
      <c r="Q1569" s="2"/>
      <c r="R1569" s="2"/>
      <c r="S1569" s="2"/>
      <c r="T1569" s="2"/>
      <c r="U1569" s="2"/>
      <c r="V1569" s="2"/>
      <c r="W1569" s="2"/>
    </row>
    <row r="1570" spans="1:23" ht="75" customHeight="1" x14ac:dyDescent="0.15">
      <c r="A1570" s="2"/>
      <c r="B1570" s="2"/>
      <c r="C1570" s="2"/>
      <c r="D1570" s="2"/>
      <c r="E1570" s="2"/>
      <c r="F1570" s="2"/>
      <c r="G1570" s="2"/>
      <c r="H1570" s="2"/>
      <c r="I1570" s="2"/>
      <c r="J1570" s="2"/>
      <c r="K1570" s="2"/>
      <c r="L1570" s="2"/>
      <c r="M1570" s="2"/>
      <c r="N1570" s="2"/>
      <c r="O1570" s="2"/>
      <c r="P1570" s="2"/>
      <c r="Q1570" s="2"/>
      <c r="R1570" s="2"/>
      <c r="S1570" s="2"/>
      <c r="T1570" s="2"/>
      <c r="U1570" s="2"/>
      <c r="V1570" s="2"/>
      <c r="W1570" s="2"/>
    </row>
    <row r="1571" spans="1:23" ht="75" customHeight="1" x14ac:dyDescent="0.15">
      <c r="A1571" s="2"/>
      <c r="B1571" s="2"/>
      <c r="C1571" s="2"/>
      <c r="D1571" s="2"/>
      <c r="E1571" s="2"/>
      <c r="F1571" s="2"/>
      <c r="G1571" s="2"/>
      <c r="H1571" s="2"/>
      <c r="I1571" s="2"/>
      <c r="J1571" s="2"/>
      <c r="K1571" s="2"/>
      <c r="L1571" s="2"/>
      <c r="M1571" s="2"/>
      <c r="N1571" s="2"/>
      <c r="O1571" s="2"/>
      <c r="P1571" s="2"/>
      <c r="Q1571" s="2"/>
      <c r="R1571" s="2"/>
      <c r="S1571" s="2"/>
      <c r="T1571" s="2"/>
      <c r="U1571" s="2"/>
      <c r="V1571" s="2"/>
      <c r="W1571" s="2"/>
    </row>
    <row r="1572" spans="1:23" ht="75" customHeight="1" x14ac:dyDescent="0.15">
      <c r="A1572" s="2"/>
      <c r="B1572" s="2"/>
      <c r="C1572" s="2"/>
      <c r="D1572" s="2"/>
      <c r="E1572" s="2"/>
      <c r="F1572" s="2"/>
      <c r="G1572" s="2"/>
      <c r="H1572" s="2"/>
      <c r="I1572" s="2"/>
      <c r="J1572" s="2"/>
      <c r="K1572" s="2"/>
      <c r="L1572" s="2"/>
      <c r="M1572" s="2"/>
      <c r="N1572" s="2"/>
      <c r="O1572" s="2"/>
      <c r="P1572" s="2"/>
      <c r="Q1572" s="2"/>
      <c r="R1572" s="2"/>
      <c r="S1572" s="2"/>
      <c r="T1572" s="2"/>
      <c r="U1572" s="2"/>
      <c r="V1572" s="2"/>
      <c r="W1572" s="2"/>
    </row>
    <row r="1573" spans="1:23" ht="75" customHeight="1" x14ac:dyDescent="0.15">
      <c r="A1573" s="2"/>
      <c r="B1573" s="2"/>
      <c r="C1573" s="2"/>
      <c r="D1573" s="2"/>
      <c r="E1573" s="2"/>
      <c r="F1573" s="2"/>
      <c r="G1573" s="2"/>
      <c r="H1573" s="2"/>
      <c r="I1573" s="2"/>
      <c r="J1573" s="2"/>
      <c r="K1573" s="2"/>
      <c r="L1573" s="2"/>
      <c r="M1573" s="2"/>
      <c r="N1573" s="2"/>
      <c r="O1573" s="2"/>
      <c r="P1573" s="2"/>
      <c r="Q1573" s="2"/>
      <c r="R1573" s="2"/>
      <c r="S1573" s="2"/>
      <c r="T1573" s="2"/>
      <c r="U1573" s="2"/>
      <c r="V1573" s="2"/>
      <c r="W1573" s="2"/>
    </row>
    <row r="1574" spans="1:23" ht="75" customHeight="1" x14ac:dyDescent="0.15">
      <c r="A1574" s="2"/>
      <c r="B1574" s="2"/>
      <c r="C1574" s="2"/>
      <c r="D1574" s="2"/>
      <c r="E1574" s="2"/>
      <c r="F1574" s="2"/>
      <c r="G1574" s="2"/>
      <c r="H1574" s="2"/>
      <c r="I1574" s="2"/>
      <c r="J1574" s="2"/>
      <c r="K1574" s="2"/>
      <c r="L1574" s="2"/>
      <c r="M1574" s="2"/>
      <c r="N1574" s="2"/>
      <c r="O1574" s="2"/>
      <c r="P1574" s="2"/>
      <c r="Q1574" s="2"/>
      <c r="R1574" s="2"/>
      <c r="S1574" s="2"/>
      <c r="T1574" s="2"/>
      <c r="U1574" s="2"/>
      <c r="V1574" s="2"/>
      <c r="W1574" s="2"/>
    </row>
    <row r="1575" spans="1:23" ht="75" customHeight="1" x14ac:dyDescent="0.15">
      <c r="A1575" s="2"/>
      <c r="B1575" s="2"/>
      <c r="C1575" s="2"/>
      <c r="D1575" s="2"/>
      <c r="E1575" s="2"/>
      <c r="F1575" s="2"/>
      <c r="G1575" s="2"/>
      <c r="H1575" s="2"/>
      <c r="I1575" s="2"/>
      <c r="J1575" s="2"/>
      <c r="K1575" s="2"/>
      <c r="L1575" s="2"/>
      <c r="M1575" s="2"/>
      <c r="N1575" s="2"/>
      <c r="O1575" s="2"/>
      <c r="P1575" s="2"/>
      <c r="Q1575" s="2"/>
      <c r="R1575" s="2"/>
      <c r="S1575" s="2"/>
      <c r="T1575" s="2"/>
      <c r="U1575" s="2"/>
      <c r="V1575" s="2"/>
      <c r="W1575" s="2"/>
    </row>
    <row r="1576" spans="1:23" ht="75" customHeight="1" x14ac:dyDescent="0.15">
      <c r="A1576" s="2"/>
      <c r="B1576" s="2"/>
      <c r="C1576" s="2"/>
      <c r="D1576" s="2"/>
      <c r="E1576" s="2"/>
      <c r="F1576" s="2"/>
      <c r="G1576" s="2"/>
      <c r="H1576" s="2"/>
      <c r="I1576" s="2"/>
      <c r="J1576" s="2"/>
      <c r="K1576" s="2"/>
      <c r="L1576" s="2"/>
      <c r="M1576" s="2"/>
      <c r="N1576" s="2"/>
      <c r="O1576" s="2"/>
      <c r="P1576" s="2"/>
      <c r="Q1576" s="2"/>
      <c r="R1576" s="2"/>
      <c r="S1576" s="2"/>
      <c r="T1576" s="2"/>
      <c r="U1576" s="2"/>
      <c r="V1576" s="2"/>
      <c r="W1576" s="2"/>
    </row>
    <row r="1577" spans="1:23" ht="75" customHeight="1" x14ac:dyDescent="0.15">
      <c r="A1577" s="2"/>
      <c r="B1577" s="2"/>
      <c r="C1577" s="2"/>
      <c r="D1577" s="2"/>
      <c r="E1577" s="2"/>
      <c r="F1577" s="2"/>
      <c r="G1577" s="2"/>
      <c r="H1577" s="2"/>
      <c r="I1577" s="2"/>
      <c r="J1577" s="2"/>
      <c r="K1577" s="2"/>
      <c r="L1577" s="2"/>
      <c r="M1577" s="2"/>
      <c r="N1577" s="2"/>
      <c r="O1577" s="2"/>
      <c r="P1577" s="2"/>
      <c r="Q1577" s="2"/>
      <c r="R1577" s="2"/>
      <c r="S1577" s="2"/>
      <c r="T1577" s="2"/>
      <c r="U1577" s="2"/>
      <c r="V1577" s="2"/>
      <c r="W1577" s="2"/>
    </row>
    <row r="1578" spans="1:23" ht="75" customHeight="1" x14ac:dyDescent="0.15">
      <c r="A1578" s="2"/>
      <c r="B1578" s="2"/>
      <c r="C1578" s="2"/>
      <c r="D1578" s="2"/>
      <c r="E1578" s="2"/>
      <c r="F1578" s="2"/>
      <c r="G1578" s="2"/>
      <c r="H1578" s="2"/>
      <c r="I1578" s="2"/>
      <c r="J1578" s="2"/>
      <c r="K1578" s="2"/>
      <c r="L1578" s="2"/>
      <c r="M1578" s="2"/>
      <c r="N1578" s="2"/>
      <c r="O1578" s="2"/>
      <c r="P1578" s="2"/>
      <c r="Q1578" s="2"/>
      <c r="R1578" s="2"/>
      <c r="S1578" s="2"/>
      <c r="T1578" s="2"/>
      <c r="U1578" s="2"/>
      <c r="V1578" s="2"/>
      <c r="W1578" s="2"/>
    </row>
    <row r="1579" spans="1:23" ht="75" customHeight="1" x14ac:dyDescent="0.15">
      <c r="A1579" s="2"/>
      <c r="B1579" s="2"/>
      <c r="C1579" s="2"/>
      <c r="D1579" s="2"/>
      <c r="E1579" s="2"/>
      <c r="F1579" s="2"/>
      <c r="G1579" s="2"/>
      <c r="H1579" s="2"/>
      <c r="I1579" s="2"/>
      <c r="J1579" s="2"/>
      <c r="K1579" s="2"/>
      <c r="L1579" s="2"/>
      <c r="M1579" s="2"/>
      <c r="N1579" s="2"/>
      <c r="O1579" s="2"/>
      <c r="P1579" s="2"/>
      <c r="Q1579" s="2"/>
      <c r="R1579" s="2"/>
      <c r="S1579" s="2"/>
      <c r="T1579" s="2"/>
      <c r="U1579" s="2"/>
      <c r="V1579" s="2"/>
      <c r="W1579" s="2"/>
    </row>
    <row r="1580" spans="1:23" ht="75" customHeight="1" x14ac:dyDescent="0.15">
      <c r="A1580" s="2"/>
      <c r="B1580" s="2"/>
      <c r="C1580" s="2"/>
      <c r="D1580" s="2"/>
      <c r="E1580" s="2"/>
      <c r="F1580" s="2"/>
      <c r="G1580" s="2"/>
      <c r="H1580" s="2"/>
      <c r="I1580" s="2"/>
      <c r="J1580" s="2"/>
      <c r="K1580" s="2"/>
      <c r="L1580" s="2"/>
      <c r="M1580" s="2"/>
      <c r="N1580" s="2"/>
      <c r="O1580" s="2"/>
      <c r="P1580" s="2"/>
      <c r="Q1580" s="2"/>
      <c r="R1580" s="2"/>
      <c r="S1580" s="2"/>
      <c r="T1580" s="2"/>
      <c r="U1580" s="2"/>
      <c r="V1580" s="2"/>
      <c r="W1580" s="2"/>
    </row>
    <row r="1581" spans="1:23" ht="75" customHeight="1" x14ac:dyDescent="0.15">
      <c r="A1581" s="2"/>
      <c r="B1581" s="2"/>
      <c r="C1581" s="2"/>
      <c r="D1581" s="2"/>
      <c r="E1581" s="2"/>
      <c r="F1581" s="2"/>
      <c r="G1581" s="2"/>
      <c r="H1581" s="2"/>
      <c r="I1581" s="2"/>
      <c r="J1581" s="2"/>
      <c r="K1581" s="2"/>
      <c r="L1581" s="2"/>
      <c r="M1581" s="2"/>
      <c r="N1581" s="2"/>
      <c r="O1581" s="2"/>
      <c r="P1581" s="2"/>
      <c r="Q1581" s="2"/>
      <c r="R1581" s="2"/>
      <c r="S1581" s="2"/>
      <c r="T1581" s="2"/>
      <c r="U1581" s="2"/>
      <c r="V1581" s="2"/>
      <c r="W1581" s="2"/>
    </row>
    <row r="1582" spans="1:23" ht="75" customHeight="1" x14ac:dyDescent="0.15">
      <c r="A1582" s="2"/>
      <c r="B1582" s="2"/>
      <c r="C1582" s="2"/>
      <c r="D1582" s="2"/>
      <c r="E1582" s="2"/>
      <c r="F1582" s="2"/>
      <c r="G1582" s="2"/>
      <c r="H1582" s="2"/>
      <c r="I1582" s="2"/>
      <c r="J1582" s="2"/>
      <c r="K1582" s="2"/>
      <c r="L1582" s="2"/>
      <c r="M1582" s="2"/>
      <c r="N1582" s="2"/>
      <c r="O1582" s="2"/>
      <c r="P1582" s="2"/>
      <c r="Q1582" s="2"/>
      <c r="R1582" s="2"/>
      <c r="S1582" s="2"/>
      <c r="T1582" s="2"/>
      <c r="U1582" s="2"/>
      <c r="V1582" s="2"/>
      <c r="W1582" s="2"/>
    </row>
    <row r="1583" spans="1:23" ht="75" customHeight="1" x14ac:dyDescent="0.15">
      <c r="A1583" s="2"/>
      <c r="B1583" s="2"/>
      <c r="C1583" s="2"/>
      <c r="D1583" s="2"/>
      <c r="E1583" s="2"/>
      <c r="F1583" s="2"/>
      <c r="G1583" s="2"/>
      <c r="H1583" s="2"/>
      <c r="I1583" s="2"/>
      <c r="J1583" s="2"/>
      <c r="K1583" s="2"/>
      <c r="L1583" s="2"/>
      <c r="M1583" s="2"/>
      <c r="N1583" s="2"/>
      <c r="O1583" s="2"/>
      <c r="P1583" s="2"/>
      <c r="Q1583" s="2"/>
      <c r="R1583" s="2"/>
      <c r="S1583" s="2"/>
      <c r="T1583" s="2"/>
      <c r="U1583" s="2"/>
      <c r="V1583" s="2"/>
      <c r="W1583" s="2"/>
    </row>
    <row r="1584" spans="1:23" ht="75" customHeight="1" x14ac:dyDescent="0.15">
      <c r="A1584" s="2"/>
      <c r="B1584" s="2"/>
      <c r="C1584" s="2"/>
      <c r="D1584" s="2"/>
      <c r="E1584" s="2"/>
      <c r="F1584" s="2"/>
      <c r="G1584" s="2"/>
      <c r="H1584" s="2"/>
      <c r="I1584" s="2"/>
      <c r="J1584" s="2"/>
      <c r="K1584" s="2"/>
      <c r="L1584" s="2"/>
      <c r="M1584" s="2"/>
      <c r="N1584" s="2"/>
      <c r="O1584" s="2"/>
      <c r="P1584" s="2"/>
      <c r="Q1584" s="2"/>
      <c r="R1584" s="2"/>
      <c r="S1584" s="2"/>
      <c r="T1584" s="2"/>
      <c r="U1584" s="2"/>
      <c r="V1584" s="2"/>
      <c r="W1584" s="2"/>
    </row>
    <row r="1585" spans="1:23" ht="75" customHeight="1" x14ac:dyDescent="0.15">
      <c r="A1585" s="2"/>
      <c r="B1585" s="2"/>
      <c r="C1585" s="2"/>
      <c r="D1585" s="2"/>
      <c r="E1585" s="2"/>
      <c r="F1585" s="2"/>
      <c r="G1585" s="2"/>
      <c r="H1585" s="2"/>
      <c r="I1585" s="2"/>
      <c r="J1585" s="2"/>
      <c r="K1585" s="2"/>
      <c r="L1585" s="2"/>
      <c r="M1585" s="2"/>
      <c r="N1585" s="2"/>
      <c r="O1585" s="2"/>
      <c r="P1585" s="2"/>
      <c r="Q1585" s="2"/>
      <c r="R1585" s="2"/>
      <c r="S1585" s="2"/>
      <c r="T1585" s="2"/>
      <c r="U1585" s="2"/>
      <c r="V1585" s="2"/>
      <c r="W1585" s="2"/>
    </row>
    <row r="1586" spans="1:23" ht="75" customHeight="1" x14ac:dyDescent="0.15">
      <c r="A1586" s="2"/>
      <c r="B1586" s="2"/>
      <c r="C1586" s="2"/>
      <c r="D1586" s="2"/>
      <c r="E1586" s="2"/>
      <c r="F1586" s="2"/>
      <c r="G1586" s="2"/>
      <c r="H1586" s="2"/>
      <c r="I1586" s="2"/>
      <c r="J1586" s="2"/>
      <c r="K1586" s="2"/>
      <c r="L1586" s="2"/>
      <c r="M1586" s="2"/>
      <c r="N1586" s="2"/>
      <c r="O1586" s="2"/>
      <c r="P1586" s="2"/>
      <c r="Q1586" s="2"/>
      <c r="R1586" s="2"/>
      <c r="S1586" s="2"/>
      <c r="T1586" s="2"/>
      <c r="U1586" s="2"/>
      <c r="V1586" s="2"/>
      <c r="W1586" s="2"/>
    </row>
    <row r="1587" spans="1:23" ht="75" customHeight="1" x14ac:dyDescent="0.15">
      <c r="A1587" s="2"/>
      <c r="B1587" s="2"/>
      <c r="C1587" s="2"/>
      <c r="D1587" s="2"/>
      <c r="E1587" s="2"/>
      <c r="F1587" s="2"/>
      <c r="G1587" s="2"/>
      <c r="H1587" s="2"/>
      <c r="I1587" s="2"/>
      <c r="J1587" s="2"/>
      <c r="K1587" s="2"/>
      <c r="L1587" s="2"/>
      <c r="M1587" s="2"/>
      <c r="N1587" s="2"/>
      <c r="O1587" s="2"/>
      <c r="P1587" s="2"/>
      <c r="Q1587" s="2"/>
      <c r="R1587" s="2"/>
      <c r="S1587" s="2"/>
      <c r="T1587" s="2"/>
      <c r="U1587" s="2"/>
      <c r="V1587" s="2"/>
      <c r="W1587" s="2"/>
    </row>
    <row r="1588" spans="1:23" ht="75" customHeight="1" x14ac:dyDescent="0.15">
      <c r="A1588" s="2"/>
      <c r="B1588" s="2"/>
      <c r="C1588" s="2"/>
      <c r="D1588" s="2"/>
      <c r="E1588" s="2"/>
      <c r="F1588" s="2"/>
      <c r="G1588" s="2"/>
      <c r="H1588" s="2"/>
      <c r="I1588" s="2"/>
      <c r="J1588" s="2"/>
      <c r="K1588" s="2"/>
      <c r="L1588" s="2"/>
      <c r="M1588" s="2"/>
      <c r="N1588" s="2"/>
      <c r="O1588" s="2"/>
      <c r="P1588" s="2"/>
      <c r="Q1588" s="2"/>
      <c r="R1588" s="2"/>
      <c r="S1588" s="2"/>
      <c r="T1588" s="2"/>
      <c r="U1588" s="2"/>
      <c r="V1588" s="2"/>
      <c r="W1588" s="2"/>
    </row>
    <row r="1589" spans="1:23" ht="75" customHeight="1" x14ac:dyDescent="0.15">
      <c r="A1589" s="2"/>
      <c r="B1589" s="2"/>
      <c r="C1589" s="2"/>
      <c r="D1589" s="2"/>
      <c r="E1589" s="2"/>
      <c r="F1589" s="2"/>
      <c r="G1589" s="2"/>
      <c r="H1589" s="2"/>
      <c r="I1589" s="2"/>
      <c r="J1589" s="2"/>
      <c r="K1589" s="2"/>
      <c r="L1589" s="2"/>
      <c r="M1589" s="2"/>
      <c r="N1589" s="2"/>
      <c r="O1589" s="2"/>
      <c r="P1589" s="2"/>
      <c r="Q1589" s="2"/>
      <c r="R1589" s="2"/>
      <c r="S1589" s="2"/>
      <c r="T1589" s="2"/>
      <c r="U1589" s="2"/>
      <c r="V1589" s="2"/>
      <c r="W1589" s="2"/>
    </row>
    <row r="1590" spans="1:23" ht="75" customHeight="1" x14ac:dyDescent="0.15">
      <c r="A1590" s="2"/>
      <c r="B1590" s="2"/>
      <c r="C1590" s="2"/>
      <c r="D1590" s="2"/>
      <c r="E1590" s="2"/>
      <c r="F1590" s="2"/>
      <c r="G1590" s="2"/>
      <c r="H1590" s="2"/>
      <c r="I1590" s="2"/>
      <c r="J1590" s="2"/>
      <c r="K1590" s="2"/>
      <c r="L1590" s="2"/>
      <c r="M1590" s="2"/>
      <c r="N1590" s="2"/>
      <c r="O1590" s="2"/>
      <c r="P1590" s="2"/>
      <c r="Q1590" s="2"/>
      <c r="R1590" s="2"/>
      <c r="S1590" s="2"/>
      <c r="T1590" s="2"/>
      <c r="U1590" s="2"/>
      <c r="V1590" s="2"/>
      <c r="W1590" s="2"/>
    </row>
    <row r="1591" spans="1:23" ht="75" customHeight="1" x14ac:dyDescent="0.15">
      <c r="A1591" s="2"/>
      <c r="B1591" s="2"/>
      <c r="C1591" s="2"/>
      <c r="D1591" s="2"/>
      <c r="E1591" s="2"/>
      <c r="F1591" s="2"/>
      <c r="G1591" s="2"/>
      <c r="H1591" s="2"/>
      <c r="I1591" s="2"/>
      <c r="J1591" s="2"/>
      <c r="K1591" s="2"/>
      <c r="L1591" s="2"/>
      <c r="M1591" s="2"/>
      <c r="N1591" s="2"/>
      <c r="O1591" s="2"/>
      <c r="P1591" s="2"/>
      <c r="Q1591" s="2"/>
      <c r="R1591" s="2"/>
      <c r="S1591" s="2"/>
      <c r="T1591" s="2"/>
      <c r="U1591" s="2"/>
      <c r="V1591" s="2"/>
      <c r="W1591" s="2"/>
    </row>
    <row r="1592" spans="1:23" ht="75" customHeight="1" x14ac:dyDescent="0.15">
      <c r="A1592" s="2"/>
      <c r="B1592" s="2"/>
      <c r="C1592" s="2"/>
      <c r="D1592" s="2"/>
      <c r="E1592" s="2"/>
      <c r="F1592" s="2"/>
      <c r="G1592" s="2"/>
      <c r="H1592" s="2"/>
      <c r="I1592" s="2"/>
      <c r="J1592" s="2"/>
      <c r="K1592" s="2"/>
      <c r="L1592" s="2"/>
      <c r="M1592" s="2"/>
      <c r="N1592" s="2"/>
      <c r="O1592" s="2"/>
      <c r="P1592" s="2"/>
      <c r="Q1592" s="2"/>
      <c r="R1592" s="2"/>
      <c r="S1592" s="2"/>
      <c r="T1592" s="2"/>
      <c r="U1592" s="2"/>
      <c r="V1592" s="2"/>
      <c r="W1592" s="2"/>
    </row>
    <row r="1593" spans="1:23" ht="75" customHeight="1" x14ac:dyDescent="0.15">
      <c r="A1593" s="2"/>
      <c r="B1593" s="2"/>
      <c r="C1593" s="2"/>
      <c r="D1593" s="2"/>
      <c r="E1593" s="2"/>
      <c r="F1593" s="2"/>
      <c r="G1593" s="2"/>
      <c r="H1593" s="2"/>
      <c r="I1593" s="2"/>
      <c r="J1593" s="2"/>
      <c r="K1593" s="2"/>
      <c r="L1593" s="2"/>
      <c r="M1593" s="2"/>
      <c r="N1593" s="2"/>
      <c r="O1593" s="2"/>
      <c r="P1593" s="2"/>
      <c r="Q1593" s="2"/>
      <c r="R1593" s="2"/>
      <c r="S1593" s="2"/>
      <c r="T1593" s="2"/>
      <c r="U1593" s="2"/>
      <c r="V1593" s="2"/>
      <c r="W1593" s="2"/>
    </row>
    <row r="1594" spans="1:23" ht="75" customHeight="1" x14ac:dyDescent="0.15">
      <c r="A1594" s="2"/>
      <c r="B1594" s="2"/>
      <c r="C1594" s="2"/>
      <c r="D1594" s="2"/>
      <c r="E1594" s="2"/>
      <c r="F1594" s="2"/>
      <c r="G1594" s="2"/>
      <c r="H1594" s="2"/>
      <c r="I1594" s="2"/>
      <c r="J1594" s="2"/>
      <c r="K1594" s="2"/>
      <c r="L1594" s="2"/>
      <c r="M1594" s="2"/>
      <c r="N1594" s="2"/>
      <c r="O1594" s="2"/>
      <c r="P1594" s="2"/>
      <c r="Q1594" s="2"/>
      <c r="R1594" s="2"/>
      <c r="S1594" s="2"/>
      <c r="T1594" s="2"/>
      <c r="U1594" s="2"/>
      <c r="V1594" s="2"/>
      <c r="W1594" s="2"/>
    </row>
    <row r="1595" spans="1:23" ht="75" customHeight="1" x14ac:dyDescent="0.15">
      <c r="A1595" s="2"/>
      <c r="B1595" s="2"/>
      <c r="C1595" s="2"/>
      <c r="D1595" s="2"/>
      <c r="E1595" s="2"/>
      <c r="F1595" s="2"/>
      <c r="G1595" s="2"/>
      <c r="H1595" s="2"/>
      <c r="I1595" s="2"/>
      <c r="J1595" s="2"/>
      <c r="K1595" s="2"/>
      <c r="L1595" s="2"/>
      <c r="M1595" s="2"/>
      <c r="N1595" s="2"/>
      <c r="O1595" s="2"/>
      <c r="P1595" s="2"/>
      <c r="Q1595" s="2"/>
      <c r="R1595" s="2"/>
      <c r="S1595" s="2"/>
      <c r="T1595" s="2"/>
      <c r="U1595" s="2"/>
      <c r="V1595" s="2"/>
      <c r="W1595" s="2"/>
    </row>
    <row r="1596" spans="1:23" ht="75" customHeight="1" x14ac:dyDescent="0.15">
      <c r="A1596" s="2"/>
      <c r="B1596" s="2"/>
      <c r="C1596" s="2"/>
      <c r="D1596" s="2"/>
      <c r="E1596" s="2"/>
      <c r="F1596" s="2"/>
      <c r="G1596" s="2"/>
      <c r="H1596" s="2"/>
      <c r="I1596" s="2"/>
      <c r="J1596" s="2"/>
      <c r="K1596" s="2"/>
      <c r="L1596" s="2"/>
      <c r="M1596" s="2"/>
      <c r="N1596" s="2"/>
      <c r="O1596" s="2"/>
      <c r="P1596" s="2"/>
      <c r="Q1596" s="2"/>
      <c r="R1596" s="2"/>
      <c r="S1596" s="2"/>
      <c r="T1596" s="2"/>
      <c r="U1596" s="2"/>
      <c r="V1596" s="2"/>
      <c r="W1596" s="2"/>
    </row>
    <row r="1597" spans="1:23" ht="75" customHeight="1" x14ac:dyDescent="0.15">
      <c r="A1597" s="2"/>
      <c r="B1597" s="2"/>
      <c r="C1597" s="2"/>
      <c r="D1597" s="2"/>
      <c r="E1597" s="2"/>
      <c r="F1597" s="2"/>
      <c r="G1597" s="2"/>
      <c r="H1597" s="2"/>
      <c r="I1597" s="2"/>
      <c r="J1597" s="2"/>
      <c r="K1597" s="2"/>
      <c r="L1597" s="2"/>
      <c r="M1597" s="2"/>
      <c r="N1597" s="2"/>
      <c r="O1597" s="2"/>
      <c r="P1597" s="2"/>
      <c r="Q1597" s="2"/>
      <c r="R1597" s="2"/>
      <c r="S1597" s="2"/>
      <c r="T1597" s="2"/>
      <c r="U1597" s="2"/>
      <c r="V1597" s="2"/>
      <c r="W1597" s="2"/>
    </row>
    <row r="1598" spans="1:23" ht="75" customHeight="1" x14ac:dyDescent="0.15">
      <c r="A1598" s="2"/>
      <c r="B1598" s="2"/>
      <c r="C1598" s="2"/>
      <c r="D1598" s="2"/>
      <c r="E1598" s="2"/>
      <c r="F1598" s="2"/>
      <c r="G1598" s="2"/>
      <c r="H1598" s="2"/>
      <c r="I1598" s="2"/>
      <c r="J1598" s="2"/>
      <c r="K1598" s="2"/>
      <c r="L1598" s="2"/>
      <c r="M1598" s="2"/>
      <c r="N1598" s="2"/>
      <c r="O1598" s="2"/>
      <c r="P1598" s="2"/>
      <c r="Q1598" s="2"/>
      <c r="R1598" s="2"/>
      <c r="S1598" s="2"/>
      <c r="T1598" s="2"/>
      <c r="U1598" s="2"/>
      <c r="V1598" s="2"/>
      <c r="W1598" s="2"/>
    </row>
    <row r="1599" spans="1:23" ht="75" customHeight="1" x14ac:dyDescent="0.15">
      <c r="A1599" s="2"/>
      <c r="B1599" s="2"/>
      <c r="C1599" s="2"/>
      <c r="D1599" s="2"/>
      <c r="E1599" s="2"/>
      <c r="F1599" s="2"/>
      <c r="G1599" s="2"/>
      <c r="H1599" s="2"/>
      <c r="I1599" s="2"/>
      <c r="J1599" s="2"/>
      <c r="K1599" s="2"/>
      <c r="L1599" s="2"/>
      <c r="M1599" s="2"/>
      <c r="N1599" s="2"/>
      <c r="O1599" s="2"/>
      <c r="P1599" s="2"/>
      <c r="Q1599" s="2"/>
      <c r="R1599" s="2"/>
      <c r="S1599" s="2"/>
      <c r="T1599" s="2"/>
      <c r="U1599" s="2"/>
      <c r="V1599" s="2"/>
      <c r="W1599" s="2"/>
    </row>
    <row r="1600" spans="1:23" ht="75" customHeight="1" x14ac:dyDescent="0.15">
      <c r="A1600" s="2"/>
      <c r="B1600" s="2"/>
      <c r="C1600" s="2"/>
      <c r="D1600" s="2"/>
      <c r="E1600" s="2"/>
      <c r="F1600" s="2"/>
      <c r="G1600" s="2"/>
      <c r="H1600" s="2"/>
      <c r="I1600" s="2"/>
      <c r="J1600" s="2"/>
      <c r="K1600" s="2"/>
      <c r="L1600" s="2"/>
      <c r="M1600" s="2"/>
      <c r="N1600" s="2"/>
      <c r="O1600" s="2"/>
      <c r="P1600" s="2"/>
      <c r="Q1600" s="2"/>
      <c r="R1600" s="2"/>
      <c r="S1600" s="2"/>
      <c r="T1600" s="2"/>
      <c r="U1600" s="2"/>
      <c r="V1600" s="2"/>
      <c r="W1600" s="2"/>
    </row>
    <row r="1601" spans="1:23" ht="75" customHeight="1" x14ac:dyDescent="0.15">
      <c r="A1601" s="2"/>
      <c r="B1601" s="2"/>
      <c r="C1601" s="2"/>
      <c r="D1601" s="2"/>
      <c r="E1601" s="2"/>
      <c r="F1601" s="2"/>
      <c r="G1601" s="2"/>
      <c r="H1601" s="2"/>
      <c r="I1601" s="2"/>
      <c r="J1601" s="2"/>
      <c r="K1601" s="2"/>
      <c r="L1601" s="2"/>
      <c r="M1601" s="2"/>
      <c r="N1601" s="2"/>
      <c r="O1601" s="2"/>
      <c r="P1601" s="2"/>
      <c r="Q1601" s="2"/>
      <c r="R1601" s="2"/>
      <c r="S1601" s="2"/>
      <c r="T1601" s="2"/>
      <c r="U1601" s="2"/>
      <c r="V1601" s="2"/>
      <c r="W1601" s="2"/>
    </row>
    <row r="1602" spans="1:23" ht="75" customHeight="1" x14ac:dyDescent="0.15">
      <c r="A1602" s="2"/>
      <c r="B1602" s="2"/>
      <c r="C1602" s="2"/>
      <c r="D1602" s="2"/>
      <c r="E1602" s="2"/>
      <c r="F1602" s="2"/>
      <c r="G1602" s="2"/>
      <c r="H1602" s="2"/>
      <c r="I1602" s="2"/>
      <c r="J1602" s="2"/>
      <c r="K1602" s="2"/>
      <c r="L1602" s="2"/>
      <c r="M1602" s="2"/>
      <c r="N1602" s="2"/>
      <c r="O1602" s="2"/>
      <c r="P1602" s="2"/>
      <c r="Q1602" s="2"/>
      <c r="R1602" s="2"/>
      <c r="S1602" s="2"/>
      <c r="T1602" s="2"/>
      <c r="U1602" s="2"/>
      <c r="V1602" s="2"/>
      <c r="W1602" s="2"/>
    </row>
    <row r="1603" spans="1:23" ht="75" customHeight="1" x14ac:dyDescent="0.15">
      <c r="A1603" s="2"/>
      <c r="B1603" s="2"/>
      <c r="C1603" s="2"/>
      <c r="D1603" s="2"/>
      <c r="E1603" s="2"/>
      <c r="F1603" s="2"/>
      <c r="G1603" s="2"/>
      <c r="H1603" s="2"/>
      <c r="I1603" s="2"/>
      <c r="J1603" s="2"/>
      <c r="K1603" s="2"/>
      <c r="L1603" s="2"/>
      <c r="M1603" s="2"/>
      <c r="N1603" s="2"/>
      <c r="O1603" s="2"/>
      <c r="P1603" s="2"/>
      <c r="Q1603" s="2"/>
      <c r="R1603" s="2"/>
      <c r="S1603" s="2"/>
      <c r="T1603" s="2"/>
      <c r="U1603" s="2"/>
      <c r="V1603" s="2"/>
      <c r="W1603" s="2"/>
    </row>
    <row r="1604" spans="1:23" ht="75" customHeight="1" x14ac:dyDescent="0.15">
      <c r="A1604" s="2"/>
      <c r="B1604" s="2"/>
      <c r="C1604" s="2"/>
      <c r="D1604" s="2"/>
      <c r="E1604" s="2"/>
      <c r="F1604" s="2"/>
      <c r="G1604" s="2"/>
      <c r="H1604" s="2"/>
      <c r="I1604" s="2"/>
      <c r="J1604" s="2"/>
      <c r="K1604" s="2"/>
      <c r="L1604" s="2"/>
      <c r="M1604" s="2"/>
      <c r="N1604" s="2"/>
      <c r="O1604" s="2"/>
      <c r="P1604" s="2"/>
      <c r="Q1604" s="2"/>
      <c r="R1604" s="2"/>
      <c r="S1604" s="2"/>
      <c r="T1604" s="2"/>
      <c r="U1604" s="2"/>
      <c r="V1604" s="2"/>
      <c r="W1604" s="2"/>
    </row>
    <row r="1605" spans="1:23" ht="75" customHeight="1" x14ac:dyDescent="0.15">
      <c r="A1605" s="2"/>
      <c r="B1605" s="2"/>
      <c r="C1605" s="2"/>
      <c r="D1605" s="2"/>
      <c r="E1605" s="2"/>
      <c r="F1605" s="2"/>
      <c r="G1605" s="2"/>
      <c r="H1605" s="2"/>
      <c r="I1605" s="2"/>
      <c r="J1605" s="2"/>
      <c r="K1605" s="2"/>
      <c r="L1605" s="2"/>
      <c r="M1605" s="2"/>
      <c r="N1605" s="2"/>
      <c r="O1605" s="2"/>
      <c r="P1605" s="2"/>
      <c r="Q1605" s="2"/>
      <c r="R1605" s="2"/>
      <c r="S1605" s="2"/>
      <c r="T1605" s="2"/>
      <c r="U1605" s="2"/>
      <c r="V1605" s="2"/>
      <c r="W1605" s="2"/>
    </row>
    <row r="1606" spans="1:23" ht="75" customHeight="1" x14ac:dyDescent="0.15">
      <c r="A1606" s="2"/>
      <c r="B1606" s="2"/>
      <c r="C1606" s="2"/>
      <c r="D1606" s="2"/>
      <c r="E1606" s="2"/>
      <c r="F1606" s="2"/>
      <c r="G1606" s="2"/>
      <c r="H1606" s="2"/>
      <c r="I1606" s="2"/>
      <c r="J1606" s="2"/>
      <c r="K1606" s="2"/>
      <c r="L1606" s="2"/>
      <c r="M1606" s="2"/>
      <c r="N1606" s="2"/>
      <c r="O1606" s="2"/>
      <c r="P1606" s="2"/>
      <c r="Q1606" s="2"/>
      <c r="R1606" s="2"/>
      <c r="S1606" s="2"/>
      <c r="T1606" s="2"/>
      <c r="U1606" s="2"/>
      <c r="V1606" s="2"/>
      <c r="W1606" s="2"/>
    </row>
    <row r="1607" spans="1:23" ht="75" customHeight="1" x14ac:dyDescent="0.15">
      <c r="A1607" s="2"/>
      <c r="B1607" s="2"/>
      <c r="C1607" s="2"/>
      <c r="D1607" s="2"/>
      <c r="E1607" s="2"/>
      <c r="F1607" s="2"/>
      <c r="G1607" s="2"/>
      <c r="H1607" s="2"/>
      <c r="I1607" s="2"/>
      <c r="J1607" s="2"/>
      <c r="K1607" s="2"/>
      <c r="L1607" s="2"/>
      <c r="M1607" s="2"/>
      <c r="N1607" s="2"/>
      <c r="O1607" s="2"/>
      <c r="P1607" s="2"/>
      <c r="Q1607" s="2"/>
      <c r="R1607" s="2"/>
      <c r="S1607" s="2"/>
      <c r="T1607" s="2"/>
      <c r="U1607" s="2"/>
      <c r="V1607" s="2"/>
      <c r="W1607" s="2"/>
    </row>
    <row r="1608" spans="1:23" ht="75" customHeight="1" x14ac:dyDescent="0.15">
      <c r="A1608" s="2"/>
      <c r="B1608" s="2"/>
      <c r="C1608" s="2"/>
      <c r="D1608" s="2"/>
      <c r="E1608" s="2"/>
      <c r="F1608" s="2"/>
      <c r="G1608" s="2"/>
      <c r="H1608" s="2"/>
      <c r="I1608" s="2"/>
      <c r="J1608" s="2"/>
      <c r="K1608" s="2"/>
      <c r="L1608" s="2"/>
      <c r="M1608" s="2"/>
      <c r="N1608" s="2"/>
      <c r="O1608" s="2"/>
      <c r="P1608" s="2"/>
      <c r="Q1608" s="2"/>
      <c r="R1608" s="2"/>
      <c r="S1608" s="2"/>
      <c r="T1608" s="2"/>
      <c r="U1608" s="2"/>
      <c r="V1608" s="2"/>
      <c r="W1608" s="2"/>
    </row>
    <row r="1609" spans="1:23" ht="75" customHeight="1" x14ac:dyDescent="0.15">
      <c r="A1609" s="2"/>
      <c r="B1609" s="2"/>
      <c r="C1609" s="2"/>
      <c r="D1609" s="2"/>
      <c r="E1609" s="2"/>
      <c r="F1609" s="2"/>
      <c r="G1609" s="2"/>
      <c r="H1609" s="2"/>
      <c r="I1609" s="2"/>
      <c r="J1609" s="2"/>
      <c r="K1609" s="2"/>
      <c r="L1609" s="2"/>
      <c r="M1609" s="2"/>
      <c r="N1609" s="2"/>
      <c r="O1609" s="2"/>
      <c r="P1609" s="2"/>
      <c r="Q1609" s="2"/>
      <c r="R1609" s="2"/>
      <c r="S1609" s="2"/>
      <c r="T1609" s="2"/>
      <c r="U1609" s="2"/>
      <c r="V1609" s="2"/>
      <c r="W1609" s="2"/>
    </row>
    <row r="1610" spans="1:23" ht="75" customHeight="1" x14ac:dyDescent="0.15">
      <c r="A1610" s="2"/>
      <c r="B1610" s="2"/>
      <c r="C1610" s="2"/>
      <c r="D1610" s="2"/>
      <c r="E1610" s="2"/>
      <c r="F1610" s="2"/>
      <c r="G1610" s="2"/>
      <c r="H1610" s="2"/>
      <c r="I1610" s="2"/>
      <c r="J1610" s="2"/>
      <c r="K1610" s="2"/>
      <c r="L1610" s="2"/>
      <c r="M1610" s="2"/>
      <c r="N1610" s="2"/>
      <c r="O1610" s="2"/>
      <c r="P1610" s="2"/>
      <c r="Q1610" s="2"/>
      <c r="R1610" s="2"/>
      <c r="S1610" s="2"/>
      <c r="T1610" s="2"/>
      <c r="U1610" s="2"/>
      <c r="V1610" s="2"/>
      <c r="W1610" s="2"/>
    </row>
    <row r="1611" spans="1:23" ht="75" customHeight="1" x14ac:dyDescent="0.15">
      <c r="A1611" s="2"/>
      <c r="B1611" s="2"/>
      <c r="C1611" s="2"/>
      <c r="D1611" s="2"/>
      <c r="E1611" s="2"/>
      <c r="F1611" s="2"/>
      <c r="G1611" s="2"/>
      <c r="H1611" s="2"/>
      <c r="I1611" s="2"/>
      <c r="J1611" s="2"/>
      <c r="K1611" s="2"/>
      <c r="L1611" s="2"/>
      <c r="M1611" s="2"/>
      <c r="N1611" s="2"/>
      <c r="O1611" s="2"/>
      <c r="P1611" s="2"/>
      <c r="Q1611" s="2"/>
      <c r="R1611" s="2"/>
      <c r="S1611" s="2"/>
      <c r="T1611" s="2"/>
      <c r="U1611" s="2"/>
      <c r="V1611" s="2"/>
      <c r="W1611" s="2"/>
    </row>
    <row r="1612" spans="1:23" ht="75" customHeight="1" x14ac:dyDescent="0.15">
      <c r="A1612" s="2"/>
      <c r="B1612" s="2"/>
      <c r="C1612" s="2"/>
      <c r="D1612" s="2"/>
      <c r="E1612" s="2"/>
      <c r="F1612" s="2"/>
      <c r="G1612" s="2"/>
      <c r="H1612" s="2"/>
      <c r="I1612" s="2"/>
      <c r="J1612" s="2"/>
      <c r="K1612" s="2"/>
      <c r="L1612" s="2"/>
      <c r="M1612" s="2"/>
      <c r="N1612" s="2"/>
      <c r="O1612" s="2"/>
      <c r="P1612" s="2"/>
      <c r="Q1612" s="2"/>
      <c r="R1612" s="2"/>
      <c r="S1612" s="2"/>
      <c r="T1612" s="2"/>
      <c r="U1612" s="2"/>
      <c r="V1612" s="2"/>
      <c r="W1612" s="2"/>
    </row>
    <row r="1613" spans="1:23" ht="75" customHeight="1" x14ac:dyDescent="0.15">
      <c r="A1613" s="2"/>
      <c r="B1613" s="2"/>
      <c r="C1613" s="2"/>
      <c r="D1613" s="2"/>
      <c r="E1613" s="2"/>
      <c r="F1613" s="2"/>
      <c r="G1613" s="2"/>
      <c r="H1613" s="2"/>
      <c r="I1613" s="2"/>
      <c r="J1613" s="2"/>
      <c r="K1613" s="2"/>
      <c r="L1613" s="2"/>
      <c r="M1613" s="2"/>
      <c r="N1613" s="2"/>
      <c r="O1613" s="2"/>
      <c r="P1613" s="2"/>
      <c r="Q1613" s="2"/>
      <c r="R1613" s="2"/>
      <c r="S1613" s="2"/>
      <c r="T1613" s="2"/>
      <c r="U1613" s="2"/>
      <c r="V1613" s="2"/>
      <c r="W1613" s="2"/>
    </row>
    <row r="1614" spans="1:23" ht="75" customHeight="1" x14ac:dyDescent="0.15">
      <c r="A1614" s="2"/>
      <c r="B1614" s="2"/>
      <c r="C1614" s="2"/>
      <c r="D1614" s="2"/>
      <c r="E1614" s="2"/>
      <c r="F1614" s="2"/>
      <c r="G1614" s="2"/>
      <c r="H1614" s="2"/>
      <c r="I1614" s="2"/>
      <c r="J1614" s="2"/>
      <c r="K1614" s="2"/>
      <c r="L1614" s="2"/>
      <c r="M1614" s="2"/>
      <c r="N1614" s="2"/>
      <c r="O1614" s="2"/>
      <c r="P1614" s="2"/>
      <c r="Q1614" s="2"/>
      <c r="R1614" s="2"/>
      <c r="S1614" s="2"/>
      <c r="T1614" s="2"/>
      <c r="U1614" s="2"/>
      <c r="V1614" s="2"/>
      <c r="W1614" s="2"/>
    </row>
    <row r="1615" spans="1:23" ht="75" customHeight="1" x14ac:dyDescent="0.15">
      <c r="A1615" s="2"/>
      <c r="B1615" s="2"/>
      <c r="C1615" s="2"/>
      <c r="D1615" s="2"/>
      <c r="E1615" s="2"/>
      <c r="F1615" s="2"/>
      <c r="G1615" s="2"/>
      <c r="H1615" s="2"/>
      <c r="I1615" s="2"/>
      <c r="J1615" s="2"/>
      <c r="K1615" s="2"/>
      <c r="L1615" s="2"/>
      <c r="M1615" s="2"/>
      <c r="N1615" s="2"/>
      <c r="O1615" s="2"/>
      <c r="P1615" s="2"/>
      <c r="Q1615" s="2"/>
      <c r="R1615" s="2"/>
      <c r="S1615" s="2"/>
      <c r="T1615" s="2"/>
      <c r="U1615" s="2"/>
      <c r="V1615" s="2"/>
      <c r="W1615" s="2"/>
    </row>
    <row r="1616" spans="1:23" ht="75" customHeight="1" x14ac:dyDescent="0.15">
      <c r="A1616" s="2"/>
      <c r="B1616" s="2"/>
      <c r="C1616" s="2"/>
      <c r="D1616" s="2"/>
      <c r="E1616" s="2"/>
      <c r="F1616" s="2"/>
      <c r="G1616" s="2"/>
      <c r="H1616" s="2"/>
      <c r="I1616" s="2"/>
      <c r="J1616" s="2"/>
      <c r="K1616" s="2"/>
      <c r="L1616" s="2"/>
      <c r="M1616" s="2"/>
      <c r="N1616" s="2"/>
      <c r="O1616" s="2"/>
      <c r="P1616" s="2"/>
      <c r="Q1616" s="2"/>
      <c r="R1616" s="2"/>
      <c r="S1616" s="2"/>
      <c r="T1616" s="2"/>
      <c r="U1616" s="2"/>
      <c r="V1616" s="2"/>
      <c r="W1616" s="2"/>
    </row>
    <row r="1617" spans="1:23" ht="75" customHeight="1" x14ac:dyDescent="0.15">
      <c r="A1617" s="2"/>
      <c r="B1617" s="2"/>
      <c r="C1617" s="2"/>
      <c r="D1617" s="2"/>
      <c r="E1617" s="2"/>
      <c r="F1617" s="2"/>
      <c r="G1617" s="2"/>
      <c r="H1617" s="2"/>
      <c r="I1617" s="2"/>
      <c r="J1617" s="2"/>
      <c r="K1617" s="2"/>
      <c r="L1617" s="2"/>
      <c r="M1617" s="2"/>
      <c r="N1617" s="2"/>
      <c r="O1617" s="2"/>
      <c r="P1617" s="2"/>
      <c r="Q1617" s="2"/>
      <c r="R1617" s="2"/>
      <c r="S1617" s="2"/>
      <c r="T1617" s="2"/>
      <c r="U1617" s="2"/>
      <c r="V1617" s="2"/>
      <c r="W1617" s="2"/>
    </row>
    <row r="1618" spans="1:23" ht="75" customHeight="1" x14ac:dyDescent="0.15">
      <c r="A1618" s="2"/>
      <c r="B1618" s="2"/>
      <c r="C1618" s="2"/>
      <c r="D1618" s="2"/>
      <c r="E1618" s="2"/>
      <c r="F1618" s="2"/>
      <c r="G1618" s="2"/>
      <c r="H1618" s="2"/>
      <c r="I1618" s="2"/>
      <c r="J1618" s="2"/>
      <c r="K1618" s="2"/>
      <c r="L1618" s="2"/>
      <c r="M1618" s="2"/>
      <c r="N1618" s="2"/>
      <c r="O1618" s="2"/>
      <c r="P1618" s="2"/>
      <c r="Q1618" s="2"/>
      <c r="R1618" s="2"/>
      <c r="S1618" s="2"/>
      <c r="T1618" s="2"/>
      <c r="U1618" s="2"/>
      <c r="V1618" s="2"/>
      <c r="W1618" s="2"/>
    </row>
    <row r="1619" spans="1:23" ht="75" customHeight="1" x14ac:dyDescent="0.15">
      <c r="A1619" s="2"/>
      <c r="B1619" s="2"/>
      <c r="C1619" s="2"/>
      <c r="D1619" s="2"/>
      <c r="E1619" s="2"/>
      <c r="F1619" s="2"/>
      <c r="G1619" s="2"/>
      <c r="H1619" s="2"/>
      <c r="I1619" s="2"/>
      <c r="J1619" s="2"/>
      <c r="K1619" s="2"/>
      <c r="L1619" s="2"/>
      <c r="M1619" s="2"/>
      <c r="N1619" s="2"/>
      <c r="O1619" s="2"/>
      <c r="P1619" s="2"/>
      <c r="Q1619" s="2"/>
      <c r="R1619" s="2"/>
      <c r="S1619" s="2"/>
      <c r="T1619" s="2"/>
      <c r="U1619" s="2"/>
      <c r="V1619" s="2"/>
      <c r="W1619" s="2"/>
    </row>
    <row r="1620" spans="1:23" ht="75" customHeight="1" x14ac:dyDescent="0.15">
      <c r="A1620" s="2"/>
      <c r="B1620" s="2"/>
      <c r="C1620" s="2"/>
      <c r="D1620" s="2"/>
      <c r="E1620" s="2"/>
      <c r="F1620" s="2"/>
      <c r="G1620" s="2"/>
      <c r="H1620" s="2"/>
      <c r="I1620" s="2"/>
      <c r="J1620" s="2"/>
      <c r="K1620" s="2"/>
      <c r="L1620" s="2"/>
      <c r="M1620" s="2"/>
      <c r="N1620" s="2"/>
      <c r="O1620" s="2"/>
      <c r="P1620" s="2"/>
      <c r="Q1620" s="2"/>
      <c r="R1620" s="2"/>
      <c r="S1620" s="2"/>
      <c r="T1620" s="2"/>
      <c r="U1620" s="2"/>
      <c r="V1620" s="2"/>
      <c r="W1620" s="2"/>
    </row>
    <row r="1621" spans="1:23" ht="75" customHeight="1" x14ac:dyDescent="0.15">
      <c r="A1621" s="2"/>
      <c r="B1621" s="2"/>
      <c r="C1621" s="2"/>
      <c r="D1621" s="2"/>
      <c r="E1621" s="2"/>
      <c r="F1621" s="2"/>
      <c r="G1621" s="2"/>
      <c r="H1621" s="2"/>
      <c r="I1621" s="2"/>
      <c r="J1621" s="2"/>
      <c r="K1621" s="2"/>
      <c r="L1621" s="2"/>
      <c r="M1621" s="2"/>
      <c r="N1621" s="2"/>
      <c r="O1621" s="2"/>
      <c r="P1621" s="2"/>
      <c r="Q1621" s="2"/>
      <c r="R1621" s="2"/>
      <c r="S1621" s="2"/>
      <c r="T1621" s="2"/>
      <c r="U1621" s="2"/>
      <c r="V1621" s="2"/>
      <c r="W1621" s="2"/>
    </row>
    <row r="1622" spans="1:23" ht="75" customHeight="1" x14ac:dyDescent="0.15">
      <c r="A1622" s="2"/>
      <c r="B1622" s="2"/>
      <c r="C1622" s="2"/>
      <c r="D1622" s="2"/>
      <c r="E1622" s="2"/>
      <c r="F1622" s="2"/>
      <c r="G1622" s="2"/>
      <c r="H1622" s="2"/>
      <c r="I1622" s="2"/>
      <c r="J1622" s="2"/>
      <c r="K1622" s="2"/>
      <c r="L1622" s="2"/>
      <c r="M1622" s="2"/>
      <c r="N1622" s="2"/>
      <c r="O1622" s="2"/>
      <c r="P1622" s="2"/>
      <c r="Q1622" s="2"/>
      <c r="R1622" s="2"/>
      <c r="S1622" s="2"/>
      <c r="T1622" s="2"/>
      <c r="U1622" s="2"/>
      <c r="V1622" s="2"/>
      <c r="W1622" s="2"/>
    </row>
    <row r="1623" spans="1:23" ht="75" customHeight="1" x14ac:dyDescent="0.15">
      <c r="A1623" s="2"/>
      <c r="B1623" s="2"/>
      <c r="C1623" s="2"/>
      <c r="D1623" s="2"/>
      <c r="E1623" s="2"/>
      <c r="F1623" s="2"/>
      <c r="G1623" s="2"/>
      <c r="H1623" s="2"/>
      <c r="I1623" s="2"/>
      <c r="J1623" s="2"/>
      <c r="K1623" s="2"/>
      <c r="L1623" s="2"/>
      <c r="M1623" s="2"/>
      <c r="N1623" s="2"/>
      <c r="O1623" s="2"/>
      <c r="P1623" s="2"/>
      <c r="Q1623" s="2"/>
      <c r="R1623" s="2"/>
      <c r="S1623" s="2"/>
      <c r="T1623" s="2"/>
      <c r="U1623" s="2"/>
      <c r="V1623" s="2"/>
      <c r="W1623" s="2"/>
    </row>
    <row r="1624" spans="1:23" ht="75" customHeight="1" x14ac:dyDescent="0.15">
      <c r="A1624" s="2"/>
      <c r="B1624" s="2"/>
      <c r="C1624" s="2"/>
      <c r="D1624" s="2"/>
      <c r="E1624" s="2"/>
      <c r="F1624" s="2"/>
      <c r="G1624" s="2"/>
      <c r="H1624" s="2"/>
      <c r="I1624" s="2"/>
      <c r="J1624" s="2"/>
      <c r="K1624" s="2"/>
      <c r="L1624" s="2"/>
      <c r="M1624" s="2"/>
      <c r="N1624" s="2"/>
      <c r="O1624" s="2"/>
      <c r="P1624" s="2"/>
      <c r="Q1624" s="2"/>
      <c r="R1624" s="2"/>
      <c r="S1624" s="2"/>
      <c r="T1624" s="2"/>
      <c r="U1624" s="2"/>
      <c r="V1624" s="2"/>
      <c r="W1624" s="2"/>
    </row>
    <row r="1625" spans="1:23" ht="75" customHeight="1" x14ac:dyDescent="0.15">
      <c r="A1625" s="2"/>
      <c r="B1625" s="2"/>
      <c r="C1625" s="2"/>
      <c r="D1625" s="2"/>
      <c r="E1625" s="2"/>
      <c r="F1625" s="2"/>
      <c r="G1625" s="2"/>
      <c r="H1625" s="2"/>
      <c r="I1625" s="2"/>
      <c r="J1625" s="2"/>
      <c r="K1625" s="2"/>
      <c r="L1625" s="2"/>
      <c r="M1625" s="2"/>
      <c r="N1625" s="2"/>
      <c r="O1625" s="2"/>
      <c r="P1625" s="2"/>
      <c r="Q1625" s="2"/>
      <c r="R1625" s="2"/>
      <c r="S1625" s="2"/>
      <c r="T1625" s="2"/>
      <c r="U1625" s="2"/>
      <c r="V1625" s="2"/>
      <c r="W1625" s="2"/>
    </row>
    <row r="1626" spans="1:23" ht="75" customHeight="1" x14ac:dyDescent="0.15">
      <c r="A1626" s="2"/>
      <c r="B1626" s="2"/>
      <c r="C1626" s="2"/>
      <c r="D1626" s="2"/>
      <c r="E1626" s="2"/>
      <c r="F1626" s="2"/>
      <c r="G1626" s="2"/>
      <c r="H1626" s="2"/>
      <c r="I1626" s="2"/>
      <c r="J1626" s="2"/>
      <c r="K1626" s="2"/>
      <c r="L1626" s="2"/>
      <c r="M1626" s="2"/>
      <c r="N1626" s="2"/>
      <c r="O1626" s="2"/>
      <c r="P1626" s="2"/>
      <c r="Q1626" s="2"/>
      <c r="R1626" s="2"/>
      <c r="S1626" s="2"/>
      <c r="T1626" s="2"/>
      <c r="U1626" s="2"/>
      <c r="V1626" s="2"/>
      <c r="W1626" s="2"/>
    </row>
    <row r="1627" spans="1:23" ht="75" customHeight="1" x14ac:dyDescent="0.15">
      <c r="A1627" s="2"/>
      <c r="B1627" s="2"/>
      <c r="C1627" s="2"/>
      <c r="D1627" s="2"/>
      <c r="E1627" s="2"/>
      <c r="F1627" s="2"/>
      <c r="G1627" s="2"/>
      <c r="H1627" s="2"/>
      <c r="I1627" s="2"/>
      <c r="J1627" s="2"/>
      <c r="K1627" s="2"/>
      <c r="L1627" s="2"/>
      <c r="M1627" s="2"/>
      <c r="N1627" s="2"/>
      <c r="O1627" s="2"/>
      <c r="P1627" s="2"/>
      <c r="Q1627" s="2"/>
      <c r="R1627" s="2"/>
      <c r="S1627" s="2"/>
      <c r="T1627" s="2"/>
      <c r="U1627" s="2"/>
      <c r="V1627" s="2"/>
      <c r="W1627" s="2"/>
    </row>
    <row r="1628" spans="1:23" ht="75" customHeight="1" x14ac:dyDescent="0.15">
      <c r="A1628" s="2"/>
      <c r="B1628" s="2"/>
      <c r="C1628" s="2"/>
      <c r="D1628" s="2"/>
      <c r="E1628" s="2"/>
      <c r="F1628" s="2"/>
      <c r="G1628" s="2"/>
      <c r="H1628" s="2"/>
      <c r="I1628" s="2"/>
      <c r="J1628" s="2"/>
      <c r="K1628" s="2"/>
      <c r="L1628" s="2"/>
      <c r="M1628" s="2"/>
      <c r="N1628" s="2"/>
      <c r="O1628" s="2"/>
      <c r="P1628" s="2"/>
      <c r="Q1628" s="2"/>
      <c r="R1628" s="2"/>
      <c r="S1628" s="2"/>
      <c r="T1628" s="2"/>
      <c r="U1628" s="2"/>
      <c r="V1628" s="2"/>
      <c r="W1628" s="2"/>
    </row>
    <row r="1629" spans="1:23" ht="75" customHeight="1" x14ac:dyDescent="0.15">
      <c r="A1629" s="2"/>
      <c r="B1629" s="2"/>
      <c r="C1629" s="2"/>
      <c r="D1629" s="2"/>
      <c r="E1629" s="2"/>
      <c r="F1629" s="2"/>
      <c r="G1629" s="2"/>
      <c r="H1629" s="2"/>
      <c r="I1629" s="2"/>
      <c r="J1629" s="2"/>
      <c r="K1629" s="2"/>
      <c r="L1629" s="2"/>
      <c r="M1629" s="2"/>
      <c r="N1629" s="2"/>
      <c r="O1629" s="2"/>
      <c r="P1629" s="2"/>
      <c r="Q1629" s="2"/>
      <c r="R1629" s="2"/>
      <c r="S1629" s="2"/>
      <c r="T1629" s="2"/>
      <c r="U1629" s="2"/>
      <c r="V1629" s="2"/>
      <c r="W1629" s="2"/>
    </row>
    <row r="1630" spans="1:23" ht="75" customHeight="1" x14ac:dyDescent="0.15">
      <c r="A1630" s="2"/>
      <c r="B1630" s="2"/>
      <c r="C1630" s="2"/>
      <c r="D1630" s="2"/>
      <c r="E1630" s="2"/>
      <c r="F1630" s="2"/>
      <c r="G1630" s="2"/>
      <c r="H1630" s="2"/>
      <c r="I1630" s="2"/>
      <c r="J1630" s="2"/>
      <c r="K1630" s="2"/>
      <c r="L1630" s="2"/>
      <c r="M1630" s="2"/>
      <c r="N1630" s="2"/>
      <c r="O1630" s="2"/>
      <c r="P1630" s="2"/>
      <c r="Q1630" s="2"/>
      <c r="R1630" s="2"/>
      <c r="S1630" s="2"/>
      <c r="T1630" s="2"/>
      <c r="U1630" s="2"/>
      <c r="V1630" s="2"/>
      <c r="W1630" s="2"/>
    </row>
    <row r="1631" spans="1:23" ht="75" customHeight="1" x14ac:dyDescent="0.15">
      <c r="A1631" s="2"/>
      <c r="B1631" s="2"/>
      <c r="C1631" s="2"/>
      <c r="D1631" s="2"/>
      <c r="E1631" s="2"/>
      <c r="F1631" s="2"/>
      <c r="G1631" s="2"/>
      <c r="H1631" s="2"/>
      <c r="I1631" s="2"/>
      <c r="J1631" s="2"/>
      <c r="K1631" s="2"/>
      <c r="L1631" s="2"/>
      <c r="M1631" s="2"/>
      <c r="N1631" s="2"/>
      <c r="O1631" s="2"/>
      <c r="P1631" s="2"/>
      <c r="Q1631" s="2"/>
      <c r="R1631" s="2"/>
      <c r="S1631" s="2"/>
      <c r="T1631" s="2"/>
      <c r="U1631" s="2"/>
      <c r="V1631" s="2"/>
      <c r="W1631" s="2"/>
    </row>
    <row r="1632" spans="1:23" ht="75" customHeight="1" x14ac:dyDescent="0.15">
      <c r="A1632" s="2"/>
      <c r="B1632" s="2"/>
      <c r="C1632" s="2"/>
      <c r="D1632" s="2"/>
      <c r="E1632" s="2"/>
      <c r="F1632" s="2"/>
      <c r="G1632" s="2"/>
      <c r="H1632" s="2"/>
      <c r="I1632" s="2"/>
      <c r="J1632" s="2"/>
      <c r="K1632" s="2"/>
      <c r="L1632" s="2"/>
      <c r="M1632" s="2"/>
      <c r="N1632" s="2"/>
      <c r="O1632" s="2"/>
      <c r="P1632" s="2"/>
      <c r="Q1632" s="2"/>
      <c r="R1632" s="2"/>
      <c r="S1632" s="2"/>
      <c r="T1632" s="2"/>
      <c r="U1632" s="2"/>
      <c r="V1632" s="2"/>
      <c r="W1632" s="2"/>
    </row>
    <row r="1633" spans="1:23" ht="75" customHeight="1" x14ac:dyDescent="0.15">
      <c r="A1633" s="2"/>
      <c r="B1633" s="2"/>
      <c r="C1633" s="2"/>
      <c r="D1633" s="2"/>
      <c r="E1633" s="2"/>
      <c r="F1633" s="2"/>
      <c r="G1633" s="2"/>
      <c r="H1633" s="2"/>
      <c r="I1633" s="2"/>
      <c r="J1633" s="2"/>
      <c r="K1633" s="2"/>
      <c r="L1633" s="2"/>
      <c r="M1633" s="2"/>
      <c r="N1633" s="2"/>
      <c r="O1633" s="2"/>
      <c r="P1633" s="2"/>
      <c r="Q1633" s="2"/>
      <c r="R1633" s="2"/>
      <c r="S1633" s="2"/>
      <c r="T1633" s="2"/>
      <c r="U1633" s="2"/>
      <c r="V1633" s="2"/>
      <c r="W1633" s="2"/>
    </row>
    <row r="1634" spans="1:23" ht="75" customHeight="1" x14ac:dyDescent="0.15">
      <c r="A1634" s="2"/>
      <c r="B1634" s="2"/>
      <c r="C1634" s="2"/>
      <c r="D1634" s="2"/>
      <c r="E1634" s="2"/>
      <c r="F1634" s="2"/>
      <c r="G1634" s="2"/>
      <c r="H1634" s="2"/>
      <c r="I1634" s="2"/>
      <c r="J1634" s="2"/>
      <c r="K1634" s="2"/>
      <c r="L1634" s="2"/>
      <c r="M1634" s="2"/>
      <c r="N1634" s="2"/>
      <c r="O1634" s="2"/>
      <c r="P1634" s="2"/>
      <c r="Q1634" s="2"/>
      <c r="R1634" s="2"/>
      <c r="S1634" s="2"/>
      <c r="T1634" s="2"/>
      <c r="U1634" s="2"/>
      <c r="V1634" s="2"/>
      <c r="W1634" s="2"/>
    </row>
    <row r="1635" spans="1:23" ht="75" customHeight="1" x14ac:dyDescent="0.15">
      <c r="A1635" s="2"/>
      <c r="B1635" s="2"/>
      <c r="C1635" s="2"/>
      <c r="D1635" s="2"/>
      <c r="E1635" s="2"/>
      <c r="F1635" s="2"/>
      <c r="G1635" s="2"/>
      <c r="H1635" s="2"/>
      <c r="I1635" s="2"/>
      <c r="J1635" s="2"/>
      <c r="K1635" s="2"/>
      <c r="L1635" s="2"/>
      <c r="M1635" s="2"/>
      <c r="N1635" s="2"/>
      <c r="O1635" s="2"/>
      <c r="P1635" s="2"/>
      <c r="Q1635" s="2"/>
      <c r="R1635" s="2"/>
      <c r="S1635" s="2"/>
      <c r="T1635" s="2"/>
      <c r="U1635" s="2"/>
      <c r="V1635" s="2"/>
      <c r="W1635" s="2"/>
    </row>
    <row r="1636" spans="1:23" ht="75" customHeight="1" x14ac:dyDescent="0.15">
      <c r="A1636" s="2"/>
      <c r="B1636" s="2"/>
      <c r="C1636" s="2"/>
      <c r="D1636" s="2"/>
      <c r="E1636" s="2"/>
      <c r="F1636" s="2"/>
      <c r="G1636" s="2"/>
      <c r="H1636" s="2"/>
      <c r="I1636" s="2"/>
      <c r="J1636" s="2"/>
      <c r="K1636" s="2"/>
      <c r="L1636" s="2"/>
      <c r="M1636" s="2"/>
      <c r="N1636" s="2"/>
      <c r="O1636" s="2"/>
      <c r="P1636" s="2"/>
      <c r="Q1636" s="2"/>
      <c r="R1636" s="2"/>
      <c r="S1636" s="2"/>
      <c r="T1636" s="2"/>
      <c r="U1636" s="2"/>
      <c r="V1636" s="2"/>
      <c r="W1636" s="2"/>
    </row>
    <row r="1637" spans="1:23" ht="75" customHeight="1" x14ac:dyDescent="0.15">
      <c r="A1637" s="2"/>
      <c r="B1637" s="2"/>
      <c r="C1637" s="2"/>
      <c r="D1637" s="2"/>
      <c r="E1637" s="2"/>
      <c r="F1637" s="2"/>
      <c r="G1637" s="2"/>
      <c r="H1637" s="2"/>
      <c r="I1637" s="2"/>
      <c r="J1637" s="2"/>
      <c r="K1637" s="2"/>
      <c r="L1637" s="2"/>
      <c r="M1637" s="2"/>
      <c r="N1637" s="2"/>
      <c r="O1637" s="2"/>
      <c r="P1637" s="2"/>
      <c r="Q1637" s="2"/>
      <c r="R1637" s="2"/>
      <c r="S1637" s="2"/>
      <c r="T1637" s="2"/>
      <c r="U1637" s="2"/>
      <c r="V1637" s="2"/>
      <c r="W1637" s="2"/>
    </row>
    <row r="1638" spans="1:23" ht="75" customHeight="1" x14ac:dyDescent="0.15">
      <c r="A1638" s="2"/>
      <c r="B1638" s="2"/>
      <c r="C1638" s="2"/>
      <c r="D1638" s="2"/>
      <c r="E1638" s="2"/>
      <c r="F1638" s="2"/>
      <c r="G1638" s="2"/>
      <c r="H1638" s="2"/>
      <c r="I1638" s="2"/>
      <c r="J1638" s="2"/>
      <c r="K1638" s="2"/>
      <c r="L1638" s="2"/>
      <c r="M1638" s="2"/>
      <c r="N1638" s="2"/>
      <c r="O1638" s="2"/>
      <c r="P1638" s="2"/>
      <c r="Q1638" s="2"/>
      <c r="R1638" s="2"/>
      <c r="S1638" s="2"/>
      <c r="T1638" s="2"/>
      <c r="U1638" s="2"/>
      <c r="V1638" s="2"/>
      <c r="W1638" s="2"/>
    </row>
    <row r="1639" spans="1:23" ht="75" customHeight="1" x14ac:dyDescent="0.15">
      <c r="A1639" s="2"/>
      <c r="B1639" s="2"/>
      <c r="C1639" s="2"/>
      <c r="D1639" s="2"/>
      <c r="E1639" s="2"/>
      <c r="F1639" s="2"/>
      <c r="G1639" s="2"/>
      <c r="H1639" s="2"/>
      <c r="I1639" s="2"/>
      <c r="J1639" s="2"/>
      <c r="K1639" s="2"/>
      <c r="L1639" s="2"/>
      <c r="M1639" s="2"/>
      <c r="N1639" s="2"/>
      <c r="O1639" s="2"/>
      <c r="P1639" s="2"/>
      <c r="Q1639" s="2"/>
      <c r="R1639" s="2"/>
      <c r="S1639" s="2"/>
      <c r="T1639" s="2"/>
      <c r="U1639" s="2"/>
      <c r="V1639" s="2"/>
      <c r="W1639" s="2"/>
    </row>
    <row r="1640" spans="1:23" ht="75" customHeight="1" x14ac:dyDescent="0.15">
      <c r="A1640" s="2"/>
      <c r="B1640" s="2"/>
      <c r="C1640" s="2"/>
      <c r="D1640" s="2"/>
      <c r="E1640" s="2"/>
      <c r="F1640" s="2"/>
      <c r="G1640" s="2"/>
      <c r="H1640" s="2"/>
      <c r="I1640" s="2"/>
      <c r="J1640" s="2"/>
      <c r="K1640" s="2"/>
      <c r="L1640" s="2"/>
      <c r="M1640" s="2"/>
      <c r="N1640" s="2"/>
      <c r="O1640" s="2"/>
      <c r="P1640" s="2"/>
      <c r="Q1640" s="2"/>
      <c r="R1640" s="2"/>
      <c r="S1640" s="2"/>
      <c r="T1640" s="2"/>
      <c r="U1640" s="2"/>
      <c r="V1640" s="2"/>
      <c r="W1640" s="2"/>
    </row>
    <row r="1641" spans="1:23" ht="75" customHeight="1" x14ac:dyDescent="0.15">
      <c r="A1641" s="2"/>
      <c r="B1641" s="2"/>
      <c r="C1641" s="2"/>
      <c r="D1641" s="2"/>
      <c r="E1641" s="2"/>
      <c r="F1641" s="2"/>
      <c r="G1641" s="2"/>
      <c r="H1641" s="2"/>
      <c r="I1641" s="2"/>
      <c r="J1641" s="2"/>
      <c r="K1641" s="2"/>
      <c r="L1641" s="2"/>
      <c r="M1641" s="2"/>
      <c r="N1641" s="2"/>
      <c r="O1641" s="2"/>
      <c r="P1641" s="2"/>
      <c r="Q1641" s="2"/>
      <c r="R1641" s="2"/>
      <c r="S1641" s="2"/>
      <c r="T1641" s="2"/>
      <c r="U1641" s="2"/>
      <c r="V1641" s="2"/>
      <c r="W1641" s="2"/>
    </row>
    <row r="1642" spans="1:23" ht="75" customHeight="1" x14ac:dyDescent="0.15">
      <c r="A1642" s="2"/>
      <c r="B1642" s="2"/>
      <c r="C1642" s="2"/>
      <c r="D1642" s="2"/>
      <c r="E1642" s="2"/>
      <c r="F1642" s="2"/>
      <c r="G1642" s="2"/>
      <c r="H1642" s="2"/>
      <c r="I1642" s="2"/>
      <c r="J1642" s="2"/>
      <c r="K1642" s="2"/>
      <c r="L1642" s="2"/>
      <c r="M1642" s="2"/>
      <c r="N1642" s="2"/>
      <c r="O1642" s="2"/>
      <c r="P1642" s="2"/>
      <c r="Q1642" s="2"/>
      <c r="R1642" s="2"/>
      <c r="S1642" s="2"/>
      <c r="T1642" s="2"/>
      <c r="U1642" s="2"/>
      <c r="V1642" s="2"/>
      <c r="W1642" s="2"/>
    </row>
    <row r="1643" spans="1:23" ht="75" customHeight="1" x14ac:dyDescent="0.15">
      <c r="A1643" s="2"/>
      <c r="B1643" s="2"/>
      <c r="C1643" s="2"/>
      <c r="D1643" s="2"/>
      <c r="E1643" s="2"/>
      <c r="F1643" s="2"/>
      <c r="G1643" s="2"/>
      <c r="H1643" s="2"/>
      <c r="I1643" s="2"/>
      <c r="J1643" s="2"/>
      <c r="K1643" s="2"/>
      <c r="L1643" s="2"/>
      <c r="M1643" s="2"/>
      <c r="N1643" s="2"/>
      <c r="O1643" s="2"/>
      <c r="P1643" s="2"/>
      <c r="Q1643" s="2"/>
      <c r="R1643" s="2"/>
      <c r="S1643" s="2"/>
      <c r="T1643" s="2"/>
      <c r="U1643" s="2"/>
      <c r="V1643" s="2"/>
      <c r="W1643" s="2"/>
    </row>
    <row r="1644" spans="1:23" ht="75" customHeight="1" x14ac:dyDescent="0.15">
      <c r="A1644" s="2"/>
      <c r="B1644" s="2"/>
      <c r="C1644" s="2"/>
      <c r="D1644" s="2"/>
      <c r="E1644" s="2"/>
      <c r="F1644" s="2"/>
      <c r="G1644" s="2"/>
      <c r="H1644" s="2"/>
      <c r="I1644" s="2"/>
      <c r="J1644" s="2"/>
      <c r="K1644" s="2"/>
      <c r="L1644" s="2"/>
      <c r="M1644" s="2"/>
      <c r="N1644" s="2"/>
      <c r="O1644" s="2"/>
      <c r="P1644" s="2"/>
      <c r="Q1644" s="2"/>
      <c r="R1644" s="2"/>
      <c r="S1644" s="2"/>
      <c r="T1644" s="2"/>
      <c r="U1644" s="2"/>
      <c r="V1644" s="2"/>
      <c r="W1644" s="2"/>
    </row>
    <row r="1645" spans="1:23" ht="75" customHeight="1" x14ac:dyDescent="0.15">
      <c r="A1645" s="2"/>
      <c r="B1645" s="2"/>
      <c r="C1645" s="2"/>
      <c r="D1645" s="2"/>
      <c r="E1645" s="2"/>
      <c r="F1645" s="2"/>
      <c r="G1645" s="2"/>
      <c r="H1645" s="2"/>
      <c r="I1645" s="2"/>
      <c r="J1645" s="2"/>
      <c r="K1645" s="2"/>
      <c r="L1645" s="2"/>
      <c r="M1645" s="2"/>
      <c r="N1645" s="2"/>
      <c r="O1645" s="2"/>
      <c r="P1645" s="2"/>
      <c r="Q1645" s="2"/>
      <c r="R1645" s="2"/>
      <c r="S1645" s="2"/>
      <c r="T1645" s="2"/>
      <c r="U1645" s="2"/>
      <c r="V1645" s="2"/>
      <c r="W1645" s="2"/>
    </row>
    <row r="1646" spans="1:23" ht="75" customHeight="1" x14ac:dyDescent="0.15">
      <c r="A1646" s="2"/>
      <c r="B1646" s="2"/>
      <c r="C1646" s="2"/>
      <c r="D1646" s="2"/>
      <c r="E1646" s="2"/>
      <c r="F1646" s="2"/>
      <c r="G1646" s="2"/>
      <c r="H1646" s="2"/>
      <c r="I1646" s="2"/>
      <c r="J1646" s="2"/>
      <c r="K1646" s="2"/>
      <c r="L1646" s="2"/>
      <c r="M1646" s="2"/>
      <c r="N1646" s="2"/>
      <c r="O1646" s="2"/>
      <c r="P1646" s="2"/>
      <c r="Q1646" s="2"/>
      <c r="R1646" s="2"/>
      <c r="S1646" s="2"/>
      <c r="T1646" s="2"/>
      <c r="U1646" s="2"/>
      <c r="V1646" s="2"/>
      <c r="W1646" s="2"/>
    </row>
    <row r="1647" spans="1:23" ht="75" customHeight="1" x14ac:dyDescent="0.15">
      <c r="A1647" s="2"/>
      <c r="B1647" s="2"/>
      <c r="C1647" s="2"/>
      <c r="D1647" s="2"/>
      <c r="E1647" s="2"/>
      <c r="F1647" s="2"/>
      <c r="G1647" s="2"/>
      <c r="H1647" s="2"/>
      <c r="I1647" s="2"/>
      <c r="J1647" s="2"/>
      <c r="K1647" s="2"/>
      <c r="L1647" s="2"/>
      <c r="M1647" s="2"/>
      <c r="N1647" s="2"/>
      <c r="O1647" s="2"/>
      <c r="P1647" s="2"/>
      <c r="Q1647" s="2"/>
      <c r="R1647" s="2"/>
      <c r="S1647" s="2"/>
      <c r="T1647" s="2"/>
      <c r="U1647" s="2"/>
      <c r="V1647" s="2"/>
      <c r="W1647" s="2"/>
    </row>
    <row r="1648" spans="1:23" ht="75" customHeight="1" x14ac:dyDescent="0.15">
      <c r="A1648" s="2"/>
      <c r="B1648" s="2"/>
      <c r="C1648" s="2"/>
      <c r="D1648" s="2"/>
      <c r="E1648" s="2"/>
      <c r="F1648" s="2"/>
      <c r="G1648" s="2"/>
      <c r="H1648" s="2"/>
      <c r="I1648" s="2"/>
      <c r="J1648" s="2"/>
      <c r="K1648" s="2"/>
      <c r="L1648" s="2"/>
      <c r="M1648" s="2"/>
      <c r="N1648" s="2"/>
      <c r="O1648" s="2"/>
      <c r="P1648" s="2"/>
      <c r="Q1648" s="2"/>
      <c r="R1648" s="2"/>
      <c r="S1648" s="2"/>
      <c r="T1648" s="2"/>
      <c r="U1648" s="2"/>
      <c r="V1648" s="2"/>
      <c r="W1648" s="2"/>
    </row>
    <row r="1649" spans="1:23" ht="75" customHeight="1" x14ac:dyDescent="0.15">
      <c r="A1649" s="2"/>
      <c r="B1649" s="2"/>
      <c r="C1649" s="2"/>
      <c r="D1649" s="2"/>
      <c r="E1649" s="2"/>
      <c r="F1649" s="2"/>
      <c r="G1649" s="2"/>
      <c r="H1649" s="2"/>
      <c r="I1649" s="2"/>
      <c r="J1649" s="2"/>
      <c r="K1649" s="2"/>
      <c r="L1649" s="2"/>
      <c r="M1649" s="2"/>
      <c r="N1649" s="2"/>
      <c r="O1649" s="2"/>
      <c r="P1649" s="2"/>
      <c r="Q1649" s="2"/>
      <c r="R1649" s="2"/>
      <c r="S1649" s="2"/>
      <c r="T1649" s="2"/>
      <c r="U1649" s="2"/>
      <c r="V1649" s="2"/>
      <c r="W1649" s="2"/>
    </row>
    <row r="1650" spans="1:23" ht="75" customHeight="1" x14ac:dyDescent="0.15">
      <c r="A1650" s="2"/>
      <c r="B1650" s="2"/>
      <c r="C1650" s="2"/>
      <c r="D1650" s="2"/>
      <c r="E1650" s="2"/>
      <c r="F1650" s="2"/>
      <c r="G1650" s="2"/>
      <c r="H1650" s="2"/>
      <c r="I1650" s="2"/>
      <c r="J1650" s="2"/>
      <c r="K1650" s="2"/>
      <c r="L1650" s="2"/>
      <c r="M1650" s="2"/>
      <c r="N1650" s="2"/>
      <c r="O1650" s="2"/>
      <c r="P1650" s="2"/>
      <c r="Q1650" s="2"/>
      <c r="R1650" s="2"/>
      <c r="S1650" s="2"/>
      <c r="T1650" s="2"/>
      <c r="U1650" s="2"/>
      <c r="V1650" s="2"/>
      <c r="W1650" s="2"/>
    </row>
    <row r="1651" spans="1:23" ht="75" customHeight="1" x14ac:dyDescent="0.15">
      <c r="A1651" s="2"/>
      <c r="B1651" s="2"/>
      <c r="C1651" s="2"/>
      <c r="D1651" s="2"/>
      <c r="E1651" s="2"/>
      <c r="F1651" s="2"/>
      <c r="G1651" s="2"/>
      <c r="H1651" s="2"/>
      <c r="I1651" s="2"/>
      <c r="J1651" s="2"/>
      <c r="K1651" s="2"/>
      <c r="L1651" s="2"/>
      <c r="M1651" s="2"/>
      <c r="N1651" s="2"/>
      <c r="O1651" s="2"/>
      <c r="P1651" s="2"/>
      <c r="Q1651" s="2"/>
      <c r="R1651" s="2"/>
      <c r="S1651" s="2"/>
      <c r="T1651" s="2"/>
      <c r="U1651" s="2"/>
      <c r="V1651" s="2"/>
      <c r="W1651" s="2"/>
    </row>
    <row r="1652" spans="1:23" ht="75" customHeight="1" x14ac:dyDescent="0.15">
      <c r="A1652" s="2"/>
      <c r="B1652" s="2"/>
      <c r="C1652" s="2"/>
      <c r="D1652" s="2"/>
      <c r="E1652" s="2"/>
      <c r="F1652" s="2"/>
      <c r="G1652" s="2"/>
      <c r="H1652" s="2"/>
      <c r="I1652" s="2"/>
      <c r="J1652" s="2"/>
      <c r="K1652" s="2"/>
      <c r="L1652" s="2"/>
      <c r="M1652" s="2"/>
      <c r="N1652" s="2"/>
      <c r="O1652" s="2"/>
      <c r="P1652" s="2"/>
      <c r="Q1652" s="2"/>
      <c r="R1652" s="2"/>
      <c r="S1652" s="2"/>
      <c r="T1652" s="2"/>
      <c r="U1652" s="2"/>
      <c r="V1652" s="2"/>
      <c r="W1652" s="2"/>
    </row>
    <row r="1653" spans="1:23" ht="75" customHeight="1" x14ac:dyDescent="0.15">
      <c r="A1653" s="2"/>
      <c r="B1653" s="2"/>
      <c r="C1653" s="2"/>
      <c r="D1653" s="2"/>
      <c r="E1653" s="2"/>
      <c r="F1653" s="2"/>
      <c r="G1653" s="2"/>
      <c r="H1653" s="2"/>
      <c r="I1653" s="2"/>
      <c r="J1653" s="2"/>
      <c r="K1653" s="2"/>
      <c r="L1653" s="2"/>
      <c r="M1653" s="2"/>
      <c r="N1653" s="2"/>
      <c r="O1653" s="2"/>
      <c r="P1653" s="2"/>
      <c r="Q1653" s="2"/>
      <c r="R1653" s="2"/>
      <c r="S1653" s="2"/>
      <c r="T1653" s="2"/>
      <c r="U1653" s="2"/>
      <c r="V1653" s="2"/>
      <c r="W1653" s="2"/>
    </row>
    <row r="1654" spans="1:23" ht="75" customHeight="1" x14ac:dyDescent="0.15">
      <c r="A1654" s="2"/>
      <c r="B1654" s="2"/>
      <c r="C1654" s="2"/>
      <c r="D1654" s="2"/>
      <c r="E1654" s="2"/>
      <c r="F1654" s="2"/>
      <c r="G1654" s="2"/>
      <c r="H1654" s="2"/>
      <c r="I1654" s="2"/>
      <c r="J1654" s="2"/>
      <c r="K1654" s="2"/>
      <c r="L1654" s="2"/>
      <c r="M1654" s="2"/>
      <c r="N1654" s="2"/>
      <c r="O1654" s="2"/>
      <c r="P1654" s="2"/>
      <c r="Q1654" s="2"/>
      <c r="R1654" s="2"/>
      <c r="S1654" s="2"/>
      <c r="T1654" s="2"/>
      <c r="U1654" s="2"/>
      <c r="V1654" s="2"/>
      <c r="W1654" s="2"/>
    </row>
    <row r="1655" spans="1:23" ht="75" customHeight="1" x14ac:dyDescent="0.15">
      <c r="A1655" s="2"/>
      <c r="B1655" s="2"/>
      <c r="C1655" s="2"/>
      <c r="D1655" s="2"/>
      <c r="E1655" s="2"/>
      <c r="F1655" s="2"/>
      <c r="G1655" s="2"/>
      <c r="H1655" s="2"/>
      <c r="I1655" s="2"/>
      <c r="J1655" s="2"/>
      <c r="K1655" s="2"/>
      <c r="L1655" s="2"/>
      <c r="M1655" s="2"/>
      <c r="N1655" s="2"/>
      <c r="O1655" s="2"/>
      <c r="P1655" s="2"/>
      <c r="Q1655" s="2"/>
      <c r="R1655" s="2"/>
      <c r="S1655" s="2"/>
      <c r="T1655" s="2"/>
      <c r="U1655" s="2"/>
      <c r="V1655" s="2"/>
      <c r="W1655" s="2"/>
    </row>
    <row r="1656" spans="1:23" ht="75" customHeight="1" x14ac:dyDescent="0.15">
      <c r="A1656" s="2"/>
      <c r="B1656" s="2"/>
      <c r="C1656" s="2"/>
      <c r="D1656" s="2"/>
      <c r="E1656" s="2"/>
      <c r="F1656" s="2"/>
      <c r="G1656" s="2"/>
      <c r="H1656" s="2"/>
      <c r="I1656" s="2"/>
      <c r="J1656" s="2"/>
      <c r="K1656" s="2"/>
      <c r="L1656" s="2"/>
      <c r="M1656" s="2"/>
      <c r="N1656" s="2"/>
      <c r="O1656" s="2"/>
      <c r="P1656" s="2"/>
      <c r="Q1656" s="2"/>
      <c r="R1656" s="2"/>
      <c r="S1656" s="2"/>
      <c r="T1656" s="2"/>
      <c r="U1656" s="2"/>
      <c r="V1656" s="2"/>
      <c r="W1656" s="2"/>
    </row>
    <row r="1657" spans="1:23" ht="75" customHeight="1" x14ac:dyDescent="0.15">
      <c r="A1657" s="2"/>
      <c r="B1657" s="2"/>
      <c r="C1657" s="2"/>
      <c r="D1657" s="2"/>
      <c r="E1657" s="2"/>
      <c r="F1657" s="2"/>
      <c r="G1657" s="2"/>
      <c r="H1657" s="2"/>
      <c r="I1657" s="2"/>
      <c r="J1657" s="2"/>
      <c r="K1657" s="2"/>
      <c r="L1657" s="2"/>
      <c r="M1657" s="2"/>
      <c r="N1657" s="2"/>
      <c r="O1657" s="2"/>
      <c r="P1657" s="2"/>
      <c r="Q1657" s="2"/>
      <c r="R1657" s="2"/>
      <c r="S1657" s="2"/>
      <c r="T1657" s="2"/>
      <c r="U1657" s="2"/>
      <c r="V1657" s="2"/>
      <c r="W1657" s="2"/>
    </row>
    <row r="1658" spans="1:23" ht="75" customHeight="1" x14ac:dyDescent="0.15">
      <c r="A1658" s="2"/>
      <c r="B1658" s="2"/>
      <c r="C1658" s="2"/>
      <c r="D1658" s="2"/>
      <c r="E1658" s="2"/>
      <c r="F1658" s="2"/>
      <c r="G1658" s="2"/>
      <c r="H1658" s="2"/>
      <c r="I1658" s="2"/>
      <c r="J1658" s="2"/>
      <c r="K1658" s="2"/>
      <c r="L1658" s="2"/>
      <c r="M1658" s="2"/>
      <c r="N1658" s="2"/>
      <c r="O1658" s="2"/>
      <c r="P1658" s="2"/>
      <c r="Q1658" s="2"/>
      <c r="R1658" s="2"/>
      <c r="S1658" s="2"/>
      <c r="T1658" s="2"/>
      <c r="U1658" s="2"/>
      <c r="V1658" s="2"/>
      <c r="W1658" s="2"/>
    </row>
    <row r="1659" spans="1:23" ht="75" customHeight="1" x14ac:dyDescent="0.15">
      <c r="A1659" s="2"/>
      <c r="B1659" s="2"/>
      <c r="C1659" s="2"/>
      <c r="D1659" s="2"/>
      <c r="E1659" s="2"/>
      <c r="F1659" s="2"/>
      <c r="G1659" s="2"/>
      <c r="H1659" s="2"/>
      <c r="I1659" s="2"/>
      <c r="J1659" s="2"/>
      <c r="K1659" s="2"/>
      <c r="L1659" s="2"/>
      <c r="M1659" s="2"/>
      <c r="N1659" s="2"/>
      <c r="O1659" s="2"/>
      <c r="P1659" s="2"/>
      <c r="Q1659" s="2"/>
      <c r="R1659" s="2"/>
      <c r="S1659" s="2"/>
      <c r="T1659" s="2"/>
      <c r="U1659" s="2"/>
      <c r="V1659" s="2"/>
      <c r="W1659" s="2"/>
    </row>
    <row r="1660" spans="1:23" ht="75" customHeight="1" x14ac:dyDescent="0.15">
      <c r="A1660" s="2"/>
      <c r="B1660" s="2"/>
      <c r="C1660" s="2"/>
      <c r="D1660" s="2"/>
      <c r="E1660" s="2"/>
      <c r="F1660" s="2"/>
      <c r="G1660" s="2"/>
      <c r="H1660" s="2"/>
      <c r="I1660" s="2"/>
      <c r="J1660" s="2"/>
      <c r="K1660" s="2"/>
      <c r="L1660" s="2"/>
      <c r="M1660" s="2"/>
      <c r="N1660" s="2"/>
      <c r="O1660" s="2"/>
      <c r="P1660" s="2"/>
      <c r="Q1660" s="2"/>
      <c r="R1660" s="2"/>
      <c r="S1660" s="2"/>
      <c r="T1660" s="2"/>
      <c r="U1660" s="2"/>
      <c r="V1660" s="2"/>
      <c r="W1660" s="2"/>
    </row>
    <row r="1661" spans="1:23" ht="75" customHeight="1" x14ac:dyDescent="0.15">
      <c r="A1661" s="2"/>
      <c r="B1661" s="2"/>
      <c r="C1661" s="2"/>
      <c r="D1661" s="2"/>
      <c r="E1661" s="2"/>
      <c r="F1661" s="2"/>
      <c r="G1661" s="2"/>
      <c r="H1661" s="2"/>
      <c r="I1661" s="2"/>
      <c r="J1661" s="2"/>
      <c r="K1661" s="2"/>
      <c r="L1661" s="2"/>
      <c r="M1661" s="2"/>
      <c r="N1661" s="2"/>
      <c r="O1661" s="2"/>
      <c r="P1661" s="2"/>
      <c r="Q1661" s="2"/>
      <c r="R1661" s="2"/>
      <c r="S1661" s="2"/>
      <c r="T1661" s="2"/>
      <c r="U1661" s="2"/>
      <c r="V1661" s="2"/>
      <c r="W1661" s="2"/>
    </row>
    <row r="1662" spans="1:23" ht="75" customHeight="1" x14ac:dyDescent="0.15">
      <c r="A1662" s="2"/>
      <c r="B1662" s="2"/>
      <c r="C1662" s="2"/>
      <c r="D1662" s="2"/>
      <c r="E1662" s="2"/>
      <c r="F1662" s="2"/>
      <c r="G1662" s="2"/>
      <c r="H1662" s="2"/>
      <c r="I1662" s="2"/>
      <c r="J1662" s="2"/>
      <c r="K1662" s="2"/>
      <c r="L1662" s="2"/>
      <c r="M1662" s="2"/>
      <c r="N1662" s="2"/>
      <c r="O1662" s="2"/>
      <c r="P1662" s="2"/>
      <c r="Q1662" s="2"/>
      <c r="R1662" s="2"/>
      <c r="S1662" s="2"/>
      <c r="T1662" s="2"/>
      <c r="U1662" s="2"/>
      <c r="V1662" s="2"/>
      <c r="W1662" s="2"/>
    </row>
    <row r="1663" spans="1:23" ht="75" customHeight="1" x14ac:dyDescent="0.15">
      <c r="A1663" s="2"/>
      <c r="B1663" s="2"/>
      <c r="C1663" s="2"/>
      <c r="D1663" s="2"/>
      <c r="E1663" s="2"/>
      <c r="F1663" s="2"/>
      <c r="G1663" s="2"/>
      <c r="H1663" s="2"/>
      <c r="I1663" s="2"/>
      <c r="J1663" s="2"/>
      <c r="K1663" s="2"/>
      <c r="L1663" s="2"/>
      <c r="M1663" s="2"/>
      <c r="N1663" s="2"/>
      <c r="O1663" s="2"/>
      <c r="P1663" s="2"/>
      <c r="Q1663" s="2"/>
      <c r="R1663" s="2"/>
      <c r="S1663" s="2"/>
      <c r="T1663" s="2"/>
      <c r="U1663" s="2"/>
      <c r="V1663" s="2"/>
      <c r="W1663" s="2"/>
    </row>
    <row r="1664" spans="1:23" ht="75" customHeight="1" x14ac:dyDescent="0.15">
      <c r="A1664" s="2"/>
      <c r="B1664" s="2"/>
      <c r="C1664" s="2"/>
      <c r="D1664" s="2"/>
      <c r="E1664" s="2"/>
      <c r="F1664" s="2"/>
      <c r="G1664" s="2"/>
      <c r="H1664" s="2"/>
      <c r="I1664" s="2"/>
      <c r="J1664" s="2"/>
      <c r="K1664" s="2"/>
      <c r="L1664" s="2"/>
      <c r="M1664" s="2"/>
      <c r="N1664" s="2"/>
      <c r="O1664" s="2"/>
      <c r="P1664" s="2"/>
      <c r="Q1664" s="2"/>
      <c r="R1664" s="2"/>
      <c r="S1664" s="2"/>
      <c r="T1664" s="2"/>
      <c r="U1664" s="2"/>
      <c r="V1664" s="2"/>
      <c r="W1664" s="2"/>
    </row>
    <row r="1665" spans="1:23" ht="75" customHeight="1" x14ac:dyDescent="0.15">
      <c r="A1665" s="2"/>
      <c r="B1665" s="2"/>
      <c r="C1665" s="2"/>
      <c r="D1665" s="2"/>
      <c r="E1665" s="2"/>
      <c r="F1665" s="2"/>
      <c r="G1665" s="2"/>
      <c r="H1665" s="2"/>
      <c r="I1665" s="2"/>
      <c r="J1665" s="2"/>
      <c r="K1665" s="2"/>
      <c r="L1665" s="2"/>
      <c r="M1665" s="2"/>
      <c r="N1665" s="2"/>
      <c r="O1665" s="2"/>
      <c r="P1665" s="2"/>
      <c r="Q1665" s="2"/>
      <c r="R1665" s="2"/>
      <c r="S1665" s="2"/>
      <c r="T1665" s="2"/>
      <c r="U1665" s="2"/>
      <c r="V1665" s="2"/>
      <c r="W1665" s="2"/>
    </row>
    <row r="1666" spans="1:23" ht="75" customHeight="1" x14ac:dyDescent="0.15">
      <c r="A1666" s="2"/>
      <c r="B1666" s="2"/>
      <c r="C1666" s="2"/>
      <c r="D1666" s="2"/>
      <c r="E1666" s="2"/>
      <c r="F1666" s="2"/>
      <c r="G1666" s="2"/>
      <c r="H1666" s="2"/>
      <c r="I1666" s="2"/>
      <c r="J1666" s="2"/>
      <c r="K1666" s="2"/>
      <c r="L1666" s="2"/>
      <c r="M1666" s="2"/>
      <c r="N1666" s="2"/>
      <c r="O1666" s="2"/>
      <c r="P1666" s="2"/>
      <c r="Q1666" s="2"/>
      <c r="R1666" s="2"/>
      <c r="S1666" s="2"/>
      <c r="T1666" s="2"/>
      <c r="U1666" s="2"/>
      <c r="V1666" s="2"/>
      <c r="W1666" s="2"/>
    </row>
    <row r="1667" spans="1:23" ht="75" customHeight="1" x14ac:dyDescent="0.15">
      <c r="A1667" s="2"/>
      <c r="B1667" s="2"/>
      <c r="C1667" s="2"/>
      <c r="D1667" s="2"/>
      <c r="E1667" s="2"/>
      <c r="F1667" s="2"/>
      <c r="G1667" s="2"/>
      <c r="H1667" s="2"/>
      <c r="I1667" s="2"/>
      <c r="J1667" s="2"/>
      <c r="K1667" s="2"/>
      <c r="L1667" s="2"/>
      <c r="M1667" s="2"/>
      <c r="N1667" s="2"/>
      <c r="O1667" s="2"/>
      <c r="P1667" s="2"/>
      <c r="Q1667" s="2"/>
      <c r="R1667" s="2"/>
      <c r="S1667" s="2"/>
      <c r="T1667" s="2"/>
      <c r="U1667" s="2"/>
      <c r="V1667" s="2"/>
      <c r="W1667" s="2"/>
    </row>
    <row r="1668" spans="1:23" ht="75" customHeight="1" x14ac:dyDescent="0.15">
      <c r="A1668" s="2"/>
      <c r="B1668" s="2"/>
      <c r="C1668" s="2"/>
      <c r="D1668" s="2"/>
      <c r="E1668" s="2"/>
      <c r="F1668" s="2"/>
      <c r="G1668" s="2"/>
      <c r="H1668" s="2"/>
      <c r="I1668" s="2"/>
      <c r="J1668" s="2"/>
      <c r="K1668" s="2"/>
      <c r="L1668" s="2"/>
      <c r="M1668" s="2"/>
      <c r="N1668" s="2"/>
      <c r="O1668" s="2"/>
      <c r="P1668" s="2"/>
      <c r="Q1668" s="2"/>
      <c r="R1668" s="2"/>
      <c r="S1668" s="2"/>
      <c r="T1668" s="2"/>
      <c r="U1668" s="2"/>
      <c r="V1668" s="2"/>
      <c r="W1668" s="2"/>
    </row>
    <row r="1669" spans="1:23" ht="75" customHeight="1" x14ac:dyDescent="0.15">
      <c r="A1669" s="2"/>
      <c r="B1669" s="2"/>
      <c r="C1669" s="2"/>
      <c r="D1669" s="2"/>
      <c r="E1669" s="2"/>
      <c r="F1669" s="2"/>
      <c r="G1669" s="2"/>
      <c r="H1669" s="2"/>
      <c r="I1669" s="2"/>
      <c r="J1669" s="2"/>
      <c r="K1669" s="2"/>
      <c r="L1669" s="2"/>
      <c r="M1669" s="2"/>
      <c r="N1669" s="2"/>
      <c r="O1669" s="2"/>
      <c r="P1669" s="2"/>
      <c r="Q1669" s="2"/>
      <c r="R1669" s="2"/>
      <c r="S1669" s="2"/>
      <c r="T1669" s="2"/>
      <c r="U1669" s="2"/>
      <c r="V1669" s="2"/>
      <c r="W1669" s="2"/>
    </row>
    <row r="1670" spans="1:23" ht="75" customHeight="1" x14ac:dyDescent="0.15">
      <c r="A1670" s="2"/>
      <c r="B1670" s="2"/>
      <c r="C1670" s="2"/>
      <c r="D1670" s="2"/>
      <c r="E1670" s="2"/>
      <c r="F1670" s="2"/>
      <c r="G1670" s="2"/>
      <c r="H1670" s="2"/>
      <c r="I1670" s="2"/>
      <c r="J1670" s="2"/>
      <c r="K1670" s="2"/>
      <c r="L1670" s="2"/>
      <c r="M1670" s="2"/>
      <c r="N1670" s="2"/>
      <c r="O1670" s="2"/>
      <c r="P1670" s="2"/>
      <c r="Q1670" s="2"/>
      <c r="R1670" s="2"/>
      <c r="S1670" s="2"/>
      <c r="T1670" s="2"/>
      <c r="U1670" s="2"/>
      <c r="V1670" s="2"/>
      <c r="W1670" s="2"/>
    </row>
    <row r="1671" spans="1:23" ht="75" customHeight="1" x14ac:dyDescent="0.15">
      <c r="A1671" s="2"/>
      <c r="B1671" s="2"/>
      <c r="C1671" s="2"/>
      <c r="D1671" s="2"/>
      <c r="E1671" s="2"/>
      <c r="F1671" s="2"/>
      <c r="G1671" s="2"/>
      <c r="H1671" s="2"/>
      <c r="I1671" s="2"/>
      <c r="J1671" s="2"/>
      <c r="K1671" s="2"/>
      <c r="L1671" s="2"/>
      <c r="M1671" s="2"/>
      <c r="N1671" s="2"/>
      <c r="O1671" s="2"/>
      <c r="P1671" s="2"/>
      <c r="Q1671" s="2"/>
      <c r="R1671" s="2"/>
      <c r="S1671" s="2"/>
      <c r="T1671" s="2"/>
      <c r="U1671" s="2"/>
      <c r="V1671" s="2"/>
      <c r="W1671" s="2"/>
    </row>
    <row r="1672" spans="1:23" ht="75" customHeight="1" x14ac:dyDescent="0.15">
      <c r="A1672" s="2"/>
      <c r="B1672" s="2"/>
      <c r="C1672" s="2"/>
      <c r="D1672" s="2"/>
      <c r="E1672" s="2"/>
      <c r="F1672" s="2"/>
      <c r="G1672" s="2"/>
      <c r="H1672" s="2"/>
      <c r="I1672" s="2"/>
      <c r="J1672" s="2"/>
      <c r="K1672" s="2"/>
      <c r="L1672" s="2"/>
      <c r="M1672" s="2"/>
      <c r="N1672" s="2"/>
      <c r="O1672" s="2"/>
      <c r="P1672" s="2"/>
      <c r="Q1672" s="2"/>
      <c r="R1672" s="2"/>
      <c r="S1672" s="2"/>
      <c r="T1672" s="2"/>
      <c r="U1672" s="2"/>
      <c r="V1672" s="2"/>
      <c r="W1672" s="2"/>
    </row>
    <row r="1673" spans="1:23" ht="75" customHeight="1" x14ac:dyDescent="0.15">
      <c r="A1673" s="2"/>
      <c r="B1673" s="2"/>
      <c r="C1673" s="2"/>
      <c r="D1673" s="2"/>
      <c r="E1673" s="2"/>
      <c r="F1673" s="2"/>
      <c r="G1673" s="2"/>
      <c r="H1673" s="2"/>
      <c r="I1673" s="2"/>
      <c r="J1673" s="2"/>
      <c r="K1673" s="2"/>
      <c r="L1673" s="2"/>
      <c r="M1673" s="2"/>
      <c r="N1673" s="2"/>
      <c r="O1673" s="2"/>
      <c r="P1673" s="2"/>
      <c r="Q1673" s="2"/>
      <c r="R1673" s="2"/>
      <c r="S1673" s="2"/>
      <c r="T1673" s="2"/>
      <c r="U1673" s="2"/>
      <c r="V1673" s="2"/>
      <c r="W1673" s="2"/>
    </row>
    <row r="1674" spans="1:23" ht="75" customHeight="1" x14ac:dyDescent="0.15">
      <c r="A1674" s="2"/>
      <c r="B1674" s="2"/>
      <c r="C1674" s="2"/>
      <c r="D1674" s="2"/>
      <c r="E1674" s="2"/>
      <c r="F1674" s="2"/>
      <c r="G1674" s="2"/>
      <c r="H1674" s="2"/>
      <c r="I1674" s="2"/>
      <c r="J1674" s="2"/>
      <c r="K1674" s="2"/>
      <c r="L1674" s="2"/>
      <c r="M1674" s="2"/>
      <c r="N1674" s="2"/>
      <c r="O1674" s="2"/>
      <c r="P1674" s="2"/>
      <c r="Q1674" s="2"/>
      <c r="R1674" s="2"/>
      <c r="S1674" s="2"/>
      <c r="T1674" s="2"/>
      <c r="U1674" s="2"/>
      <c r="V1674" s="2"/>
      <c r="W1674" s="2"/>
    </row>
    <row r="1675" spans="1:23" ht="75" customHeight="1" x14ac:dyDescent="0.15">
      <c r="A1675" s="2"/>
      <c r="B1675" s="2"/>
      <c r="C1675" s="2"/>
      <c r="D1675" s="2"/>
      <c r="E1675" s="2"/>
      <c r="F1675" s="2"/>
      <c r="G1675" s="2"/>
      <c r="H1675" s="2"/>
      <c r="I1675" s="2"/>
      <c r="J1675" s="2"/>
      <c r="K1675" s="2"/>
      <c r="L1675" s="2"/>
      <c r="M1675" s="2"/>
      <c r="N1675" s="2"/>
      <c r="O1675" s="2"/>
      <c r="P1675" s="2"/>
      <c r="Q1675" s="2"/>
      <c r="R1675" s="2"/>
      <c r="S1675" s="2"/>
      <c r="T1675" s="2"/>
      <c r="U1675" s="2"/>
      <c r="V1675" s="2"/>
      <c r="W1675" s="2"/>
    </row>
    <row r="1676" spans="1:23" ht="75" customHeight="1" x14ac:dyDescent="0.15">
      <c r="A1676" s="2"/>
      <c r="B1676" s="2"/>
      <c r="C1676" s="2"/>
      <c r="D1676" s="2"/>
      <c r="E1676" s="2"/>
      <c r="F1676" s="2"/>
      <c r="G1676" s="2"/>
      <c r="H1676" s="2"/>
      <c r="I1676" s="2"/>
      <c r="J1676" s="2"/>
      <c r="K1676" s="2"/>
      <c r="L1676" s="2"/>
      <c r="M1676" s="2"/>
      <c r="N1676" s="2"/>
      <c r="O1676" s="2"/>
      <c r="P1676" s="2"/>
      <c r="Q1676" s="2"/>
      <c r="R1676" s="2"/>
      <c r="S1676" s="2"/>
      <c r="T1676" s="2"/>
      <c r="U1676" s="2"/>
      <c r="V1676" s="2"/>
      <c r="W1676" s="2"/>
    </row>
    <row r="1677" spans="1:23" ht="75" customHeight="1" x14ac:dyDescent="0.15">
      <c r="A1677" s="2"/>
      <c r="B1677" s="2"/>
      <c r="C1677" s="2"/>
      <c r="D1677" s="2"/>
      <c r="E1677" s="2"/>
      <c r="F1677" s="2"/>
      <c r="G1677" s="2"/>
      <c r="H1677" s="2"/>
      <c r="I1677" s="2"/>
      <c r="J1677" s="2"/>
      <c r="K1677" s="2"/>
      <c r="L1677" s="2"/>
      <c r="M1677" s="2"/>
      <c r="N1677" s="2"/>
      <c r="O1677" s="2"/>
      <c r="P1677" s="2"/>
      <c r="Q1677" s="2"/>
      <c r="R1677" s="2"/>
      <c r="S1677" s="2"/>
      <c r="T1677" s="2"/>
      <c r="U1677" s="2"/>
      <c r="V1677" s="2"/>
      <c r="W1677" s="2"/>
    </row>
    <row r="1678" spans="1:23" ht="75" customHeight="1" x14ac:dyDescent="0.15">
      <c r="A1678" s="2"/>
      <c r="B1678" s="2"/>
      <c r="C1678" s="2"/>
      <c r="D1678" s="2"/>
      <c r="E1678" s="2"/>
      <c r="F1678" s="2"/>
      <c r="G1678" s="2"/>
      <c r="H1678" s="2"/>
      <c r="I1678" s="2"/>
      <c r="J1678" s="2"/>
      <c r="K1678" s="2"/>
      <c r="L1678" s="2"/>
      <c r="M1678" s="2"/>
      <c r="N1678" s="2"/>
      <c r="O1678" s="2"/>
      <c r="P1678" s="2"/>
      <c r="Q1678" s="2"/>
      <c r="R1678" s="2"/>
      <c r="S1678" s="2"/>
      <c r="T1678" s="2"/>
      <c r="U1678" s="2"/>
      <c r="V1678" s="2"/>
      <c r="W1678" s="2"/>
    </row>
    <row r="1679" spans="1:23" ht="75" customHeight="1" x14ac:dyDescent="0.15">
      <c r="A1679" s="2"/>
      <c r="B1679" s="2"/>
      <c r="C1679" s="2"/>
      <c r="D1679" s="2"/>
      <c r="E1679" s="2"/>
      <c r="F1679" s="2"/>
      <c r="G1679" s="2"/>
      <c r="H1679" s="2"/>
      <c r="I1679" s="2"/>
      <c r="J1679" s="2"/>
      <c r="K1679" s="2"/>
      <c r="L1679" s="2"/>
      <c r="M1679" s="2"/>
      <c r="N1679" s="2"/>
      <c r="O1679" s="2"/>
      <c r="P1679" s="2"/>
      <c r="Q1679" s="2"/>
      <c r="R1679" s="2"/>
      <c r="S1679" s="2"/>
      <c r="T1679" s="2"/>
      <c r="U1679" s="2"/>
      <c r="V1679" s="2"/>
      <c r="W1679" s="2"/>
    </row>
    <row r="1680" spans="1:23" ht="75" customHeight="1" x14ac:dyDescent="0.15">
      <c r="A1680" s="2"/>
      <c r="B1680" s="2"/>
      <c r="C1680" s="2"/>
      <c r="D1680" s="2"/>
      <c r="E1680" s="2"/>
      <c r="F1680" s="2"/>
      <c r="G1680" s="2"/>
      <c r="H1680" s="2"/>
      <c r="I1680" s="2"/>
      <c r="J1680" s="2"/>
      <c r="K1680" s="2"/>
      <c r="L1680" s="2"/>
      <c r="M1680" s="2"/>
      <c r="N1680" s="2"/>
      <c r="O1680" s="2"/>
      <c r="P1680" s="2"/>
      <c r="Q1680" s="2"/>
      <c r="R1680" s="2"/>
      <c r="S1680" s="2"/>
      <c r="T1680" s="2"/>
      <c r="U1680" s="2"/>
      <c r="V1680" s="2"/>
      <c r="W1680" s="2"/>
    </row>
    <row r="1681" spans="1:23" ht="75" customHeight="1" x14ac:dyDescent="0.15">
      <c r="A1681" s="2"/>
      <c r="B1681" s="2"/>
      <c r="C1681" s="2"/>
      <c r="D1681" s="2"/>
      <c r="E1681" s="2"/>
      <c r="F1681" s="2"/>
      <c r="G1681" s="2"/>
      <c r="H1681" s="2"/>
      <c r="I1681" s="2"/>
      <c r="J1681" s="2"/>
      <c r="K1681" s="2"/>
      <c r="L1681" s="2"/>
      <c r="M1681" s="2"/>
      <c r="N1681" s="2"/>
      <c r="O1681" s="2"/>
      <c r="P1681" s="2"/>
      <c r="Q1681" s="2"/>
      <c r="R1681" s="2"/>
      <c r="S1681" s="2"/>
      <c r="T1681" s="2"/>
      <c r="U1681" s="2"/>
      <c r="V1681" s="2"/>
      <c r="W1681" s="2"/>
    </row>
    <row r="1682" spans="1:23" ht="75" customHeight="1" x14ac:dyDescent="0.15">
      <c r="A1682" s="2"/>
      <c r="B1682" s="2"/>
      <c r="C1682" s="2"/>
      <c r="D1682" s="2"/>
      <c r="E1682" s="2"/>
      <c r="F1682" s="2"/>
      <c r="G1682" s="2"/>
      <c r="H1682" s="2"/>
      <c r="I1682" s="2"/>
      <c r="J1682" s="2"/>
      <c r="K1682" s="2"/>
      <c r="L1682" s="2"/>
      <c r="M1682" s="2"/>
      <c r="N1682" s="2"/>
      <c r="O1682" s="2"/>
      <c r="P1682" s="2"/>
      <c r="Q1682" s="2"/>
      <c r="R1682" s="2"/>
      <c r="S1682" s="2"/>
      <c r="T1682" s="2"/>
      <c r="U1682" s="2"/>
      <c r="V1682" s="2"/>
      <c r="W1682" s="2"/>
    </row>
    <row r="1683" spans="1:23" ht="75" customHeight="1" x14ac:dyDescent="0.15">
      <c r="A1683" s="2"/>
      <c r="B1683" s="2"/>
      <c r="C1683" s="2"/>
      <c r="D1683" s="2"/>
      <c r="E1683" s="2"/>
      <c r="F1683" s="2"/>
      <c r="G1683" s="2"/>
      <c r="H1683" s="2"/>
      <c r="I1683" s="2"/>
      <c r="J1683" s="2"/>
      <c r="K1683" s="2"/>
      <c r="L1683" s="2"/>
      <c r="M1683" s="2"/>
      <c r="N1683" s="2"/>
      <c r="O1683" s="2"/>
      <c r="P1683" s="2"/>
      <c r="Q1683" s="2"/>
      <c r="R1683" s="2"/>
      <c r="S1683" s="2"/>
      <c r="T1683" s="2"/>
      <c r="U1683" s="2"/>
      <c r="V1683" s="2"/>
      <c r="W1683" s="2"/>
    </row>
    <row r="1684" spans="1:23" ht="75" customHeight="1" x14ac:dyDescent="0.15">
      <c r="A1684" s="2"/>
      <c r="B1684" s="2"/>
      <c r="C1684" s="2"/>
      <c r="D1684" s="2"/>
      <c r="E1684" s="2"/>
      <c r="F1684" s="2"/>
      <c r="G1684" s="2"/>
      <c r="H1684" s="2"/>
      <c r="I1684" s="2"/>
      <c r="J1684" s="2"/>
      <c r="K1684" s="2"/>
      <c r="L1684" s="2"/>
      <c r="M1684" s="2"/>
      <c r="N1684" s="2"/>
      <c r="O1684" s="2"/>
      <c r="P1684" s="2"/>
      <c r="Q1684" s="2"/>
      <c r="R1684" s="2"/>
      <c r="S1684" s="2"/>
      <c r="T1684" s="2"/>
      <c r="U1684" s="2"/>
      <c r="V1684" s="2"/>
      <c r="W1684" s="2"/>
    </row>
    <row r="1685" spans="1:23" ht="75" customHeight="1" x14ac:dyDescent="0.15">
      <c r="A1685" s="2"/>
      <c r="B1685" s="2"/>
      <c r="C1685" s="2"/>
      <c r="D1685" s="2"/>
      <c r="E1685" s="2"/>
      <c r="F1685" s="2"/>
      <c r="G1685" s="2"/>
      <c r="H1685" s="2"/>
      <c r="I1685" s="2"/>
      <c r="J1685" s="2"/>
      <c r="K1685" s="2"/>
      <c r="L1685" s="2"/>
      <c r="M1685" s="2"/>
      <c r="N1685" s="2"/>
      <c r="O1685" s="2"/>
      <c r="P1685" s="2"/>
      <c r="Q1685" s="2"/>
      <c r="R1685" s="2"/>
      <c r="S1685" s="2"/>
      <c r="T1685" s="2"/>
      <c r="U1685" s="2"/>
      <c r="V1685" s="2"/>
      <c r="W1685" s="2"/>
    </row>
    <row r="1686" spans="1:23" ht="75" customHeight="1" x14ac:dyDescent="0.15">
      <c r="A1686" s="2"/>
      <c r="B1686" s="2"/>
      <c r="C1686" s="2"/>
      <c r="D1686" s="2"/>
      <c r="E1686" s="2"/>
      <c r="F1686" s="2"/>
      <c r="G1686" s="2"/>
      <c r="H1686" s="2"/>
      <c r="I1686" s="2"/>
      <c r="J1686" s="2"/>
      <c r="K1686" s="2"/>
      <c r="L1686" s="2"/>
      <c r="M1686" s="2"/>
      <c r="N1686" s="2"/>
      <c r="O1686" s="2"/>
      <c r="P1686" s="2"/>
      <c r="Q1686" s="2"/>
      <c r="R1686" s="2"/>
      <c r="S1686" s="2"/>
      <c r="T1686" s="2"/>
      <c r="U1686" s="2"/>
      <c r="V1686" s="2"/>
      <c r="W1686" s="2"/>
    </row>
    <row r="1687" spans="1:23" ht="75" customHeight="1" x14ac:dyDescent="0.15">
      <c r="A1687" s="2"/>
      <c r="B1687" s="2"/>
      <c r="C1687" s="2"/>
      <c r="D1687" s="2"/>
      <c r="E1687" s="2"/>
      <c r="F1687" s="2"/>
      <c r="G1687" s="2"/>
      <c r="H1687" s="2"/>
      <c r="I1687" s="2"/>
      <c r="J1687" s="2"/>
      <c r="K1687" s="2"/>
      <c r="L1687" s="2"/>
      <c r="M1687" s="2"/>
      <c r="N1687" s="2"/>
      <c r="O1687" s="2"/>
      <c r="P1687" s="2"/>
      <c r="Q1687" s="2"/>
      <c r="R1687" s="2"/>
      <c r="S1687" s="2"/>
      <c r="T1687" s="2"/>
      <c r="U1687" s="2"/>
      <c r="V1687" s="2"/>
      <c r="W1687" s="2"/>
    </row>
    <row r="1688" spans="1:23" ht="75" customHeight="1" x14ac:dyDescent="0.15">
      <c r="A1688" s="2"/>
      <c r="B1688" s="2"/>
      <c r="C1688" s="2"/>
      <c r="D1688" s="2"/>
      <c r="E1688" s="2"/>
      <c r="F1688" s="2"/>
      <c r="G1688" s="2"/>
      <c r="H1688" s="2"/>
      <c r="I1688" s="2"/>
      <c r="J1688" s="2"/>
      <c r="K1688" s="2"/>
      <c r="L1688" s="2"/>
      <c r="M1688" s="2"/>
      <c r="N1688" s="2"/>
      <c r="O1688" s="2"/>
      <c r="P1688" s="2"/>
      <c r="Q1688" s="2"/>
      <c r="R1688" s="2"/>
      <c r="S1688" s="2"/>
      <c r="T1688" s="2"/>
      <c r="U1688" s="2"/>
      <c r="V1688" s="2"/>
      <c r="W1688" s="2"/>
    </row>
    <row r="1689" spans="1:23" ht="75" customHeight="1" x14ac:dyDescent="0.15">
      <c r="A1689" s="2"/>
      <c r="B1689" s="2"/>
      <c r="C1689" s="2"/>
      <c r="D1689" s="2"/>
      <c r="E1689" s="2"/>
      <c r="F1689" s="2"/>
      <c r="G1689" s="2"/>
      <c r="H1689" s="2"/>
      <c r="I1689" s="2"/>
      <c r="J1689" s="2"/>
      <c r="K1689" s="2"/>
      <c r="L1689" s="2"/>
      <c r="M1689" s="2"/>
      <c r="N1689" s="2"/>
      <c r="O1689" s="2"/>
      <c r="P1689" s="2"/>
      <c r="Q1689" s="2"/>
      <c r="R1689" s="2"/>
      <c r="S1689" s="2"/>
      <c r="T1689" s="2"/>
      <c r="U1689" s="2"/>
      <c r="V1689" s="2"/>
      <c r="W1689" s="2"/>
    </row>
    <row r="1690" spans="1:23" ht="75" customHeight="1" x14ac:dyDescent="0.15">
      <c r="A1690" s="2"/>
      <c r="B1690" s="2"/>
      <c r="C1690" s="2"/>
      <c r="D1690" s="2"/>
      <c r="E1690" s="2"/>
      <c r="F1690" s="2"/>
      <c r="G1690" s="2"/>
      <c r="H1690" s="2"/>
      <c r="I1690" s="2"/>
      <c r="J1690" s="2"/>
      <c r="K1690" s="2"/>
      <c r="L1690" s="2"/>
      <c r="M1690" s="2"/>
      <c r="N1690" s="2"/>
      <c r="O1690" s="2"/>
      <c r="P1690" s="2"/>
      <c r="Q1690" s="2"/>
      <c r="R1690" s="2"/>
      <c r="S1690" s="2"/>
      <c r="T1690" s="2"/>
      <c r="U1690" s="2"/>
      <c r="V1690" s="2"/>
      <c r="W1690" s="2"/>
    </row>
    <row r="1691" spans="1:23" ht="75" customHeight="1" x14ac:dyDescent="0.15">
      <c r="A1691" s="2"/>
      <c r="B1691" s="2"/>
      <c r="C1691" s="2"/>
      <c r="D1691" s="2"/>
      <c r="E1691" s="2"/>
      <c r="F1691" s="2"/>
      <c r="G1691" s="2"/>
      <c r="H1691" s="2"/>
      <c r="I1691" s="2"/>
      <c r="J1691" s="2"/>
      <c r="K1691" s="2"/>
      <c r="L1691" s="2"/>
      <c r="M1691" s="2"/>
      <c r="N1691" s="2"/>
      <c r="O1691" s="2"/>
      <c r="P1691" s="2"/>
      <c r="Q1691" s="2"/>
      <c r="R1691" s="2"/>
      <c r="S1691" s="2"/>
      <c r="T1691" s="2"/>
      <c r="U1691" s="2"/>
      <c r="V1691" s="2"/>
      <c r="W1691" s="2"/>
    </row>
    <row r="1692" spans="1:23" ht="75" customHeight="1" x14ac:dyDescent="0.15">
      <c r="A1692" s="2"/>
      <c r="B1692" s="2"/>
      <c r="C1692" s="2"/>
      <c r="D1692" s="2"/>
      <c r="E1692" s="2"/>
      <c r="F1692" s="2"/>
      <c r="G1692" s="2"/>
      <c r="H1692" s="2"/>
      <c r="I1692" s="2"/>
      <c r="J1692" s="2"/>
      <c r="K1692" s="2"/>
      <c r="L1692" s="2"/>
      <c r="M1692" s="2"/>
      <c r="N1692" s="2"/>
      <c r="O1692" s="2"/>
      <c r="P1692" s="2"/>
      <c r="Q1692" s="2"/>
      <c r="R1692" s="2"/>
      <c r="S1692" s="2"/>
      <c r="T1692" s="2"/>
      <c r="U1692" s="2"/>
      <c r="V1692" s="2"/>
      <c r="W1692" s="2"/>
    </row>
    <row r="1693" spans="1:23" ht="75" customHeight="1" x14ac:dyDescent="0.15">
      <c r="A1693" s="2"/>
      <c r="B1693" s="2"/>
      <c r="C1693" s="2"/>
      <c r="D1693" s="2"/>
      <c r="E1693" s="2"/>
      <c r="F1693" s="2"/>
      <c r="G1693" s="2"/>
      <c r="H1693" s="2"/>
      <c r="I1693" s="2"/>
      <c r="J1693" s="2"/>
      <c r="K1693" s="2"/>
      <c r="L1693" s="2"/>
      <c r="M1693" s="2"/>
      <c r="N1693" s="2"/>
      <c r="O1693" s="2"/>
      <c r="P1693" s="2"/>
      <c r="Q1693" s="2"/>
      <c r="R1693" s="2"/>
      <c r="S1693" s="2"/>
      <c r="T1693" s="2"/>
      <c r="U1693" s="2"/>
      <c r="V1693" s="2"/>
      <c r="W1693" s="2"/>
    </row>
    <row r="1694" spans="1:23" ht="75" customHeight="1" x14ac:dyDescent="0.15">
      <c r="A1694" s="2"/>
      <c r="B1694" s="2"/>
      <c r="C1694" s="2"/>
      <c r="D1694" s="2"/>
      <c r="E1694" s="2"/>
      <c r="F1694" s="2"/>
      <c r="G1694" s="2"/>
      <c r="H1694" s="2"/>
      <c r="I1694" s="2"/>
      <c r="J1694" s="2"/>
      <c r="K1694" s="2"/>
      <c r="L1694" s="2"/>
      <c r="M1694" s="2"/>
      <c r="N1694" s="2"/>
      <c r="O1694" s="2"/>
      <c r="P1694" s="2"/>
      <c r="Q1694" s="2"/>
      <c r="R1694" s="2"/>
      <c r="S1694" s="2"/>
      <c r="T1694" s="2"/>
      <c r="U1694" s="2"/>
      <c r="V1694" s="2"/>
      <c r="W1694" s="2"/>
    </row>
    <row r="1695" spans="1:23" ht="75" customHeight="1" x14ac:dyDescent="0.15">
      <c r="A1695" s="2"/>
      <c r="B1695" s="2"/>
      <c r="C1695" s="2"/>
      <c r="D1695" s="2"/>
      <c r="E1695" s="2"/>
      <c r="F1695" s="2"/>
      <c r="G1695" s="2"/>
      <c r="H1695" s="2"/>
      <c r="I1695" s="2"/>
      <c r="J1695" s="2"/>
      <c r="K1695" s="2"/>
      <c r="L1695" s="2"/>
      <c r="M1695" s="2"/>
      <c r="N1695" s="2"/>
      <c r="O1695" s="2"/>
      <c r="P1695" s="2"/>
      <c r="Q1695" s="2"/>
      <c r="R1695" s="2"/>
      <c r="S1695" s="2"/>
      <c r="T1695" s="2"/>
      <c r="U1695" s="2"/>
      <c r="V1695" s="2"/>
      <c r="W1695" s="2"/>
    </row>
    <row r="1696" spans="1:23" ht="75" customHeight="1" x14ac:dyDescent="0.15">
      <c r="A1696" s="2"/>
      <c r="B1696" s="2"/>
      <c r="C1696" s="2"/>
      <c r="D1696" s="2"/>
      <c r="E1696" s="2"/>
      <c r="F1696" s="2"/>
      <c r="G1696" s="2"/>
      <c r="H1696" s="2"/>
      <c r="I1696" s="2"/>
      <c r="J1696" s="2"/>
      <c r="K1696" s="2"/>
      <c r="L1696" s="2"/>
      <c r="M1696" s="2"/>
      <c r="N1696" s="2"/>
      <c r="O1696" s="2"/>
      <c r="P1696" s="2"/>
      <c r="Q1696" s="2"/>
      <c r="R1696" s="2"/>
      <c r="S1696" s="2"/>
      <c r="T1696" s="2"/>
      <c r="U1696" s="2"/>
      <c r="V1696" s="2"/>
      <c r="W1696" s="2"/>
    </row>
    <row r="1697" spans="1:23" ht="75" customHeight="1" x14ac:dyDescent="0.15">
      <c r="A1697" s="2"/>
      <c r="B1697" s="2"/>
      <c r="C1697" s="2"/>
      <c r="D1697" s="2"/>
      <c r="E1697" s="2"/>
      <c r="F1697" s="2"/>
      <c r="G1697" s="2"/>
      <c r="H1697" s="2"/>
      <c r="I1697" s="2"/>
      <c r="J1697" s="2"/>
      <c r="K1697" s="2"/>
      <c r="L1697" s="2"/>
      <c r="M1697" s="2"/>
      <c r="N1697" s="2"/>
      <c r="O1697" s="2"/>
      <c r="P1697" s="2"/>
      <c r="Q1697" s="2"/>
      <c r="R1697" s="2"/>
      <c r="S1697" s="2"/>
      <c r="T1697" s="2"/>
      <c r="U1697" s="2"/>
      <c r="V1697" s="2"/>
      <c r="W1697" s="2"/>
    </row>
    <row r="1698" spans="1:23" ht="75" customHeight="1" x14ac:dyDescent="0.15">
      <c r="A1698" s="2"/>
      <c r="B1698" s="2"/>
      <c r="C1698" s="2"/>
      <c r="D1698" s="2"/>
      <c r="E1698" s="2"/>
      <c r="F1698" s="2"/>
      <c r="G1698" s="2"/>
      <c r="H1698" s="2"/>
      <c r="I1698" s="2"/>
      <c r="J1698" s="2"/>
      <c r="K1698" s="2"/>
      <c r="L1698" s="2"/>
      <c r="M1698" s="2"/>
      <c r="N1698" s="2"/>
      <c r="O1698" s="2"/>
      <c r="P1698" s="2"/>
      <c r="Q1698" s="2"/>
      <c r="R1698" s="2"/>
      <c r="S1698" s="2"/>
      <c r="T1698" s="2"/>
      <c r="U1698" s="2"/>
      <c r="V1698" s="2"/>
      <c r="W1698" s="2"/>
    </row>
    <row r="1699" spans="1:23" ht="75" customHeight="1" x14ac:dyDescent="0.15">
      <c r="A1699" s="2"/>
      <c r="B1699" s="2"/>
      <c r="C1699" s="2"/>
      <c r="D1699" s="2"/>
      <c r="E1699" s="2"/>
      <c r="F1699" s="2"/>
      <c r="G1699" s="2"/>
      <c r="H1699" s="2"/>
      <c r="I1699" s="2"/>
      <c r="J1699" s="2"/>
      <c r="K1699" s="2"/>
      <c r="L1699" s="2"/>
      <c r="M1699" s="2"/>
      <c r="N1699" s="2"/>
      <c r="O1699" s="2"/>
      <c r="P1699" s="2"/>
      <c r="Q1699" s="2"/>
      <c r="R1699" s="2"/>
      <c r="S1699" s="2"/>
      <c r="T1699" s="2"/>
      <c r="U1699" s="2"/>
      <c r="V1699" s="2"/>
      <c r="W1699" s="2"/>
    </row>
    <row r="1700" spans="1:23" ht="75" customHeight="1" x14ac:dyDescent="0.15">
      <c r="A1700" s="2"/>
      <c r="B1700" s="2"/>
      <c r="C1700" s="2"/>
      <c r="D1700" s="2"/>
      <c r="E1700" s="2"/>
      <c r="F1700" s="2"/>
      <c r="G1700" s="2"/>
      <c r="H1700" s="2"/>
      <c r="I1700" s="2"/>
      <c r="J1700" s="2"/>
      <c r="K1700" s="2"/>
      <c r="L1700" s="2"/>
      <c r="M1700" s="2"/>
      <c r="N1700" s="2"/>
      <c r="O1700" s="2"/>
      <c r="P1700" s="2"/>
      <c r="Q1700" s="2"/>
      <c r="R1700" s="2"/>
      <c r="S1700" s="2"/>
      <c r="T1700" s="2"/>
      <c r="U1700" s="2"/>
      <c r="V1700" s="2"/>
      <c r="W1700" s="2"/>
    </row>
    <row r="1701" spans="1:23" ht="75" customHeight="1" x14ac:dyDescent="0.15">
      <c r="A1701" s="2"/>
      <c r="B1701" s="2"/>
      <c r="C1701" s="2"/>
      <c r="D1701" s="2"/>
      <c r="E1701" s="2"/>
      <c r="F1701" s="2"/>
      <c r="G1701" s="2"/>
      <c r="H1701" s="2"/>
      <c r="I1701" s="2"/>
      <c r="J1701" s="2"/>
      <c r="K1701" s="2"/>
      <c r="L1701" s="2"/>
      <c r="M1701" s="2"/>
      <c r="N1701" s="2"/>
      <c r="O1701" s="2"/>
      <c r="P1701" s="2"/>
      <c r="Q1701" s="2"/>
      <c r="R1701" s="2"/>
      <c r="S1701" s="2"/>
      <c r="T1701" s="2"/>
      <c r="U1701" s="2"/>
      <c r="V1701" s="2"/>
      <c r="W1701" s="2"/>
    </row>
    <row r="1702" spans="1:23" ht="75" customHeight="1" x14ac:dyDescent="0.15">
      <c r="A1702" s="2"/>
      <c r="B1702" s="2"/>
      <c r="C1702" s="2"/>
      <c r="D1702" s="2"/>
      <c r="E1702" s="2"/>
      <c r="F1702" s="2"/>
      <c r="G1702" s="2"/>
      <c r="H1702" s="2"/>
      <c r="I1702" s="2"/>
      <c r="J1702" s="2"/>
      <c r="K1702" s="2"/>
      <c r="L1702" s="2"/>
      <c r="M1702" s="2"/>
      <c r="N1702" s="2"/>
      <c r="O1702" s="2"/>
      <c r="P1702" s="2"/>
      <c r="Q1702" s="2"/>
      <c r="R1702" s="2"/>
      <c r="S1702" s="2"/>
      <c r="T1702" s="2"/>
      <c r="U1702" s="2"/>
      <c r="V1702" s="2"/>
      <c r="W1702" s="2"/>
    </row>
    <row r="1703" spans="1:23" ht="75" customHeight="1" x14ac:dyDescent="0.15">
      <c r="A1703" s="2"/>
      <c r="B1703" s="2"/>
      <c r="C1703" s="2"/>
      <c r="D1703" s="2"/>
      <c r="E1703" s="2"/>
      <c r="F1703" s="2"/>
      <c r="G1703" s="2"/>
      <c r="H1703" s="2"/>
      <c r="I1703" s="2"/>
      <c r="J1703" s="2"/>
      <c r="K1703" s="2"/>
      <c r="L1703" s="2"/>
      <c r="M1703" s="2"/>
      <c r="N1703" s="2"/>
      <c r="O1703" s="2"/>
      <c r="P1703" s="2"/>
      <c r="Q1703" s="2"/>
      <c r="R1703" s="2"/>
      <c r="S1703" s="2"/>
      <c r="T1703" s="2"/>
      <c r="U1703" s="2"/>
      <c r="V1703" s="2"/>
      <c r="W1703" s="2"/>
    </row>
    <row r="1704" spans="1:23" ht="75" customHeight="1" x14ac:dyDescent="0.15">
      <c r="A1704" s="2"/>
      <c r="B1704" s="2"/>
      <c r="C1704" s="2"/>
      <c r="D1704" s="2"/>
      <c r="E1704" s="2"/>
      <c r="F1704" s="2"/>
      <c r="G1704" s="2"/>
      <c r="H1704" s="2"/>
      <c r="I1704" s="2"/>
      <c r="J1704" s="2"/>
      <c r="K1704" s="2"/>
      <c r="L1704" s="2"/>
      <c r="M1704" s="2"/>
      <c r="N1704" s="2"/>
      <c r="O1704" s="2"/>
      <c r="P1704" s="2"/>
      <c r="Q1704" s="2"/>
      <c r="R1704" s="2"/>
      <c r="S1704" s="2"/>
      <c r="T1704" s="2"/>
      <c r="U1704" s="2"/>
      <c r="V1704" s="2"/>
      <c r="W1704" s="2"/>
    </row>
    <row r="1705" spans="1:23" ht="75" customHeight="1" x14ac:dyDescent="0.15">
      <c r="A1705" s="2"/>
      <c r="B1705" s="2"/>
      <c r="C1705" s="2"/>
      <c r="D1705" s="2"/>
      <c r="E1705" s="2"/>
      <c r="F1705" s="2"/>
      <c r="G1705" s="2"/>
      <c r="H1705" s="2"/>
      <c r="I1705" s="2"/>
      <c r="J1705" s="2"/>
      <c r="K1705" s="2"/>
      <c r="L1705" s="2"/>
      <c r="M1705" s="2"/>
      <c r="N1705" s="2"/>
      <c r="O1705" s="2"/>
      <c r="P1705" s="2"/>
      <c r="Q1705" s="2"/>
      <c r="R1705" s="2"/>
      <c r="S1705" s="2"/>
      <c r="T1705" s="2"/>
      <c r="U1705" s="2"/>
      <c r="V1705" s="2"/>
      <c r="W1705" s="2"/>
    </row>
    <row r="1706" spans="1:23" ht="75" customHeight="1" x14ac:dyDescent="0.15">
      <c r="A1706" s="2"/>
      <c r="B1706" s="2"/>
      <c r="C1706" s="2"/>
      <c r="D1706" s="2"/>
      <c r="E1706" s="2"/>
      <c r="F1706" s="2"/>
      <c r="G1706" s="2"/>
      <c r="H1706" s="2"/>
      <c r="I1706" s="2"/>
      <c r="J1706" s="2"/>
      <c r="K1706" s="2"/>
      <c r="L1706" s="2"/>
      <c r="M1706" s="2"/>
      <c r="N1706" s="2"/>
      <c r="O1706" s="2"/>
      <c r="P1706" s="2"/>
      <c r="Q1706" s="2"/>
      <c r="R1706" s="2"/>
      <c r="S1706" s="2"/>
      <c r="T1706" s="2"/>
      <c r="U1706" s="2"/>
      <c r="V1706" s="2"/>
      <c r="W1706" s="2"/>
    </row>
    <row r="1707" spans="1:23" ht="75" customHeight="1" x14ac:dyDescent="0.15">
      <c r="A1707" s="2"/>
      <c r="B1707" s="2"/>
      <c r="C1707" s="2"/>
      <c r="D1707" s="2"/>
      <c r="E1707" s="2"/>
      <c r="F1707" s="2"/>
      <c r="G1707" s="2"/>
      <c r="H1707" s="2"/>
      <c r="I1707" s="2"/>
      <c r="J1707" s="2"/>
      <c r="K1707" s="2"/>
      <c r="L1707" s="2"/>
      <c r="M1707" s="2"/>
      <c r="N1707" s="2"/>
      <c r="O1707" s="2"/>
      <c r="P1707" s="2"/>
      <c r="Q1707" s="2"/>
      <c r="R1707" s="2"/>
      <c r="S1707" s="2"/>
      <c r="T1707" s="2"/>
      <c r="U1707" s="2"/>
      <c r="V1707" s="2"/>
      <c r="W1707" s="2"/>
    </row>
    <row r="1708" spans="1:23" ht="75" customHeight="1" x14ac:dyDescent="0.15">
      <c r="A1708" s="2"/>
      <c r="B1708" s="2"/>
      <c r="C1708" s="2"/>
      <c r="D1708" s="2"/>
      <c r="E1708" s="2"/>
      <c r="F1708" s="2"/>
      <c r="G1708" s="2"/>
      <c r="H1708" s="2"/>
      <c r="I1708" s="2"/>
      <c r="J1708" s="2"/>
      <c r="K1708" s="2"/>
      <c r="L1708" s="2"/>
      <c r="M1708" s="2"/>
      <c r="N1708" s="2"/>
      <c r="O1708" s="2"/>
      <c r="P1708" s="2"/>
      <c r="Q1708" s="2"/>
      <c r="R1708" s="2"/>
      <c r="S1708" s="2"/>
      <c r="T1708" s="2"/>
      <c r="U1708" s="2"/>
      <c r="V1708" s="2"/>
      <c r="W1708" s="2"/>
    </row>
    <row r="1709" spans="1:23" ht="75" customHeight="1" x14ac:dyDescent="0.15">
      <c r="A1709" s="2"/>
      <c r="B1709" s="2"/>
      <c r="C1709" s="2"/>
      <c r="D1709" s="2"/>
      <c r="E1709" s="2"/>
      <c r="F1709" s="2"/>
      <c r="G1709" s="2"/>
      <c r="H1709" s="2"/>
      <c r="I1709" s="2"/>
      <c r="J1709" s="2"/>
      <c r="K1709" s="2"/>
      <c r="L1709" s="2"/>
      <c r="M1709" s="2"/>
      <c r="N1709" s="2"/>
      <c r="O1709" s="2"/>
      <c r="P1709" s="2"/>
      <c r="Q1709" s="2"/>
      <c r="R1709" s="2"/>
      <c r="S1709" s="2"/>
      <c r="T1709" s="2"/>
      <c r="U1709" s="2"/>
      <c r="V1709" s="2"/>
      <c r="W1709" s="2"/>
    </row>
    <row r="1710" spans="1:23" ht="75" customHeight="1" x14ac:dyDescent="0.15">
      <c r="A1710" s="2"/>
      <c r="B1710" s="2"/>
      <c r="C1710" s="2"/>
      <c r="D1710" s="2"/>
      <c r="E1710" s="2"/>
      <c r="F1710" s="2"/>
      <c r="G1710" s="2"/>
      <c r="H1710" s="2"/>
      <c r="I1710" s="2"/>
      <c r="J1710" s="2"/>
      <c r="K1710" s="2"/>
      <c r="L1710" s="2"/>
      <c r="M1710" s="2"/>
      <c r="N1710" s="2"/>
      <c r="O1710" s="2"/>
      <c r="P1710" s="2"/>
      <c r="Q1710" s="2"/>
      <c r="R1710" s="2"/>
      <c r="S1710" s="2"/>
      <c r="T1710" s="2"/>
      <c r="U1710" s="2"/>
      <c r="V1710" s="2"/>
      <c r="W1710" s="2"/>
    </row>
    <row r="1711" spans="1:23" ht="75" customHeight="1" x14ac:dyDescent="0.15">
      <c r="A1711" s="2"/>
      <c r="B1711" s="2"/>
      <c r="C1711" s="2"/>
      <c r="D1711" s="2"/>
      <c r="E1711" s="2"/>
      <c r="F1711" s="2"/>
      <c r="G1711" s="2"/>
      <c r="H1711" s="2"/>
      <c r="I1711" s="2"/>
      <c r="J1711" s="2"/>
      <c r="K1711" s="2"/>
      <c r="L1711" s="2"/>
      <c r="M1711" s="2"/>
      <c r="N1711" s="2"/>
      <c r="O1711" s="2"/>
      <c r="P1711" s="2"/>
      <c r="Q1711" s="2"/>
      <c r="R1711" s="2"/>
      <c r="S1711" s="2"/>
      <c r="T1711" s="2"/>
      <c r="U1711" s="2"/>
      <c r="V1711" s="2"/>
      <c r="W1711" s="2"/>
    </row>
    <row r="1712" spans="1:23" ht="75" customHeight="1" x14ac:dyDescent="0.15">
      <c r="A1712" s="2"/>
      <c r="B1712" s="2"/>
      <c r="C1712" s="2"/>
      <c r="D1712" s="2"/>
      <c r="E1712" s="2"/>
      <c r="F1712" s="2"/>
      <c r="G1712" s="2"/>
      <c r="H1712" s="2"/>
      <c r="I1712" s="2"/>
      <c r="J1712" s="2"/>
      <c r="K1712" s="2"/>
      <c r="L1712" s="2"/>
      <c r="M1712" s="2"/>
      <c r="N1712" s="2"/>
      <c r="O1712" s="2"/>
      <c r="P1712" s="2"/>
      <c r="Q1712" s="2"/>
      <c r="R1712" s="2"/>
      <c r="S1712" s="2"/>
      <c r="T1712" s="2"/>
      <c r="U1712" s="2"/>
      <c r="V1712" s="2"/>
      <c r="W1712" s="2"/>
    </row>
    <row r="1713" spans="1:23" ht="75" customHeight="1" x14ac:dyDescent="0.15">
      <c r="A1713" s="2"/>
      <c r="B1713" s="2"/>
      <c r="C1713" s="2"/>
      <c r="D1713" s="2"/>
      <c r="E1713" s="2"/>
      <c r="F1713" s="2"/>
      <c r="G1713" s="2"/>
      <c r="H1713" s="2"/>
      <c r="I1713" s="2"/>
      <c r="J1713" s="2"/>
      <c r="K1713" s="2"/>
      <c r="L1713" s="2"/>
      <c r="M1713" s="2"/>
      <c r="N1713" s="2"/>
      <c r="O1713" s="2"/>
      <c r="P1713" s="2"/>
      <c r="Q1713" s="2"/>
      <c r="R1713" s="2"/>
      <c r="S1713" s="2"/>
      <c r="T1713" s="2"/>
      <c r="U1713" s="2"/>
      <c r="V1713" s="2"/>
      <c r="W1713" s="2"/>
    </row>
    <row r="1714" spans="1:23" ht="75" customHeight="1" x14ac:dyDescent="0.15">
      <c r="A1714" s="2"/>
      <c r="B1714" s="2"/>
      <c r="C1714" s="2"/>
      <c r="D1714" s="2"/>
      <c r="E1714" s="2"/>
      <c r="F1714" s="2"/>
      <c r="G1714" s="2"/>
      <c r="H1714" s="2"/>
      <c r="I1714" s="2"/>
      <c r="J1714" s="2"/>
      <c r="K1714" s="2"/>
      <c r="L1714" s="2"/>
      <c r="M1714" s="2"/>
      <c r="N1714" s="2"/>
      <c r="O1714" s="2"/>
      <c r="P1714" s="2"/>
      <c r="Q1714" s="2"/>
      <c r="R1714" s="2"/>
      <c r="S1714" s="2"/>
      <c r="T1714" s="2"/>
      <c r="U1714" s="2"/>
      <c r="V1714" s="2"/>
      <c r="W1714" s="2"/>
    </row>
    <row r="1715" spans="1:23" ht="75" customHeight="1" x14ac:dyDescent="0.15">
      <c r="A1715" s="2"/>
      <c r="B1715" s="2"/>
      <c r="C1715" s="2"/>
      <c r="D1715" s="2"/>
      <c r="E1715" s="2"/>
      <c r="F1715" s="2"/>
      <c r="G1715" s="2"/>
      <c r="H1715" s="2"/>
      <c r="I1715" s="2"/>
      <c r="J1715" s="2"/>
      <c r="K1715" s="2"/>
      <c r="L1715" s="2"/>
      <c r="M1715" s="2"/>
      <c r="N1715" s="2"/>
      <c r="O1715" s="2"/>
      <c r="P1715" s="2"/>
      <c r="Q1715" s="2"/>
      <c r="R1715" s="2"/>
      <c r="S1715" s="2"/>
      <c r="T1715" s="2"/>
      <c r="U1715" s="2"/>
      <c r="V1715" s="2"/>
      <c r="W1715" s="2"/>
    </row>
    <row r="1716" spans="1:23" ht="75" customHeight="1" x14ac:dyDescent="0.15">
      <c r="A1716" s="2"/>
      <c r="B1716" s="2"/>
      <c r="C1716" s="2"/>
      <c r="D1716" s="2"/>
      <c r="E1716" s="2"/>
      <c r="F1716" s="2"/>
      <c r="G1716" s="2"/>
      <c r="H1716" s="2"/>
      <c r="I1716" s="2"/>
      <c r="J1716" s="2"/>
      <c r="K1716" s="2"/>
      <c r="L1716" s="2"/>
      <c r="M1716" s="2"/>
      <c r="N1716" s="2"/>
      <c r="O1716" s="2"/>
      <c r="P1716" s="2"/>
      <c r="Q1716" s="2"/>
      <c r="R1716" s="2"/>
      <c r="S1716" s="2"/>
      <c r="T1716" s="2"/>
      <c r="U1716" s="2"/>
      <c r="V1716" s="2"/>
      <c r="W1716" s="2"/>
    </row>
    <row r="1717" spans="1:23" ht="75" customHeight="1" x14ac:dyDescent="0.15">
      <c r="A1717" s="2"/>
      <c r="B1717" s="2"/>
      <c r="C1717" s="2"/>
      <c r="D1717" s="2"/>
      <c r="E1717" s="2"/>
      <c r="F1717" s="2"/>
      <c r="G1717" s="2"/>
      <c r="H1717" s="2"/>
      <c r="I1717" s="2"/>
      <c r="J1717" s="2"/>
      <c r="K1717" s="2"/>
      <c r="L1717" s="2"/>
      <c r="M1717" s="2"/>
      <c r="N1717" s="2"/>
      <c r="O1717" s="2"/>
      <c r="P1717" s="2"/>
      <c r="Q1717" s="2"/>
      <c r="R1717" s="2"/>
      <c r="S1717" s="2"/>
      <c r="T1717" s="2"/>
      <c r="U1717" s="2"/>
      <c r="V1717" s="2"/>
      <c r="W1717" s="2"/>
    </row>
    <row r="1718" spans="1:23" ht="75" customHeight="1" x14ac:dyDescent="0.15">
      <c r="A1718" s="2"/>
      <c r="B1718" s="2"/>
      <c r="C1718" s="2"/>
      <c r="D1718" s="2"/>
      <c r="E1718" s="2"/>
      <c r="F1718" s="2"/>
      <c r="G1718" s="2"/>
      <c r="H1718" s="2"/>
      <c r="I1718" s="2"/>
      <c r="J1718" s="2"/>
      <c r="K1718" s="2"/>
      <c r="L1718" s="2"/>
      <c r="M1718" s="2"/>
      <c r="N1718" s="2"/>
      <c r="O1718" s="2"/>
      <c r="P1718" s="2"/>
      <c r="Q1718" s="2"/>
      <c r="R1718" s="2"/>
      <c r="S1718" s="2"/>
      <c r="T1718" s="2"/>
      <c r="U1718" s="2"/>
      <c r="V1718" s="2"/>
      <c r="W1718" s="2"/>
    </row>
    <row r="1719" spans="1:23" ht="75" customHeight="1" x14ac:dyDescent="0.15">
      <c r="A1719" s="2"/>
      <c r="B1719" s="2"/>
      <c r="C1719" s="2"/>
      <c r="D1719" s="2"/>
      <c r="E1719" s="2"/>
      <c r="F1719" s="2"/>
      <c r="G1719" s="2"/>
      <c r="H1719" s="2"/>
      <c r="I1719" s="2"/>
      <c r="J1719" s="2"/>
      <c r="K1719" s="2"/>
      <c r="L1719" s="2"/>
      <c r="M1719" s="2"/>
      <c r="N1719" s="2"/>
      <c r="O1719" s="2"/>
      <c r="P1719" s="2"/>
      <c r="Q1719" s="2"/>
      <c r="R1719" s="2"/>
      <c r="S1719" s="2"/>
      <c r="T1719" s="2"/>
      <c r="U1719" s="2"/>
      <c r="V1719" s="2"/>
      <c r="W1719" s="2"/>
    </row>
    <row r="1720" spans="1:23" ht="75" customHeight="1" x14ac:dyDescent="0.15">
      <c r="A1720" s="2"/>
      <c r="B1720" s="2"/>
      <c r="C1720" s="2"/>
      <c r="D1720" s="2"/>
      <c r="E1720" s="2"/>
      <c r="F1720" s="2"/>
      <c r="G1720" s="2"/>
      <c r="H1720" s="2"/>
      <c r="I1720" s="2"/>
      <c r="J1720" s="2"/>
      <c r="K1720" s="2"/>
      <c r="L1720" s="2"/>
      <c r="M1720" s="2"/>
      <c r="N1720" s="2"/>
      <c r="O1720" s="2"/>
      <c r="P1720" s="2"/>
      <c r="Q1720" s="2"/>
      <c r="R1720" s="2"/>
      <c r="S1720" s="2"/>
      <c r="T1720" s="2"/>
      <c r="U1720" s="2"/>
      <c r="V1720" s="2"/>
      <c r="W1720" s="2"/>
    </row>
    <row r="1721" spans="1:23" ht="75" customHeight="1" x14ac:dyDescent="0.15">
      <c r="A1721" s="2"/>
      <c r="B1721" s="2"/>
      <c r="C1721" s="2"/>
      <c r="D1721" s="2"/>
      <c r="E1721" s="2"/>
      <c r="F1721" s="2"/>
      <c r="G1721" s="2"/>
      <c r="H1721" s="2"/>
      <c r="I1721" s="2"/>
      <c r="J1721" s="2"/>
      <c r="K1721" s="2"/>
      <c r="L1721" s="2"/>
      <c r="M1721" s="2"/>
      <c r="N1721" s="2"/>
      <c r="O1721" s="2"/>
      <c r="P1721" s="2"/>
      <c r="Q1721" s="2"/>
      <c r="R1721" s="2"/>
      <c r="S1721" s="2"/>
      <c r="T1721" s="2"/>
      <c r="U1721" s="2"/>
      <c r="V1721" s="2"/>
      <c r="W1721" s="2"/>
    </row>
    <row r="1722" spans="1:23" ht="75" customHeight="1" x14ac:dyDescent="0.15">
      <c r="A1722" s="2"/>
      <c r="B1722" s="2"/>
      <c r="C1722" s="2"/>
      <c r="D1722" s="2"/>
      <c r="E1722" s="2"/>
      <c r="F1722" s="2"/>
      <c r="G1722" s="2"/>
      <c r="H1722" s="2"/>
      <c r="I1722" s="2"/>
      <c r="J1722" s="2"/>
      <c r="K1722" s="2"/>
      <c r="L1722" s="2"/>
      <c r="M1722" s="2"/>
      <c r="N1722" s="2"/>
      <c r="O1722" s="2"/>
      <c r="P1722" s="2"/>
      <c r="Q1722" s="2"/>
      <c r="R1722" s="2"/>
      <c r="S1722" s="2"/>
      <c r="T1722" s="2"/>
      <c r="U1722" s="2"/>
      <c r="V1722" s="2"/>
      <c r="W1722" s="2"/>
    </row>
    <row r="1723" spans="1:23" ht="75" customHeight="1" x14ac:dyDescent="0.15">
      <c r="A1723" s="2"/>
      <c r="B1723" s="2"/>
      <c r="C1723" s="2"/>
      <c r="D1723" s="2"/>
      <c r="E1723" s="2"/>
      <c r="F1723" s="2"/>
      <c r="G1723" s="2"/>
      <c r="H1723" s="2"/>
      <c r="I1723" s="2"/>
      <c r="J1723" s="2"/>
      <c r="K1723" s="2"/>
      <c r="L1723" s="2"/>
      <c r="M1723" s="2"/>
      <c r="N1723" s="2"/>
      <c r="O1723" s="2"/>
      <c r="P1723" s="2"/>
      <c r="Q1723" s="2"/>
      <c r="R1723" s="2"/>
      <c r="S1723" s="2"/>
      <c r="T1723" s="2"/>
      <c r="U1723" s="2"/>
      <c r="V1723" s="2"/>
      <c r="W1723" s="2"/>
    </row>
    <row r="1724" spans="1:23" ht="75" customHeight="1" x14ac:dyDescent="0.15">
      <c r="A1724" s="2"/>
      <c r="B1724" s="2"/>
      <c r="C1724" s="2"/>
      <c r="D1724" s="2"/>
      <c r="E1724" s="2"/>
      <c r="F1724" s="2"/>
      <c r="G1724" s="2"/>
      <c r="H1724" s="2"/>
      <c r="I1724" s="2"/>
      <c r="J1724" s="2"/>
      <c r="K1724" s="2"/>
      <c r="L1724" s="2"/>
      <c r="M1724" s="2"/>
      <c r="N1724" s="2"/>
      <c r="O1724" s="2"/>
      <c r="P1724" s="2"/>
      <c r="Q1724" s="2"/>
      <c r="R1724" s="2"/>
      <c r="S1724" s="2"/>
      <c r="T1724" s="2"/>
      <c r="U1724" s="2"/>
      <c r="V1724" s="2"/>
      <c r="W1724" s="2"/>
    </row>
    <row r="1725" spans="1:23" ht="75" customHeight="1" x14ac:dyDescent="0.15">
      <c r="A1725" s="2"/>
      <c r="B1725" s="2"/>
      <c r="C1725" s="2"/>
      <c r="D1725" s="2"/>
      <c r="E1725" s="2"/>
      <c r="F1725" s="2"/>
      <c r="G1725" s="2"/>
      <c r="H1725" s="2"/>
      <c r="I1725" s="2"/>
      <c r="J1725" s="2"/>
      <c r="K1725" s="2"/>
      <c r="L1725" s="2"/>
      <c r="M1725" s="2"/>
      <c r="N1725" s="2"/>
      <c r="O1725" s="2"/>
      <c r="P1725" s="2"/>
      <c r="Q1725" s="2"/>
      <c r="R1725" s="2"/>
      <c r="S1725" s="2"/>
      <c r="T1725" s="2"/>
      <c r="U1725" s="2"/>
      <c r="V1725" s="2"/>
      <c r="W1725" s="2"/>
    </row>
    <row r="1726" spans="1:23" ht="75" customHeight="1" x14ac:dyDescent="0.15">
      <c r="A1726" s="2"/>
      <c r="B1726" s="2"/>
      <c r="C1726" s="2"/>
      <c r="D1726" s="2"/>
      <c r="E1726" s="2"/>
      <c r="F1726" s="2"/>
      <c r="G1726" s="2"/>
      <c r="H1726" s="2"/>
      <c r="I1726" s="2"/>
      <c r="J1726" s="2"/>
      <c r="K1726" s="2"/>
      <c r="L1726" s="2"/>
      <c r="M1726" s="2"/>
      <c r="N1726" s="2"/>
      <c r="O1726" s="2"/>
      <c r="P1726" s="2"/>
      <c r="Q1726" s="2"/>
      <c r="R1726" s="2"/>
      <c r="S1726" s="2"/>
      <c r="T1726" s="2"/>
      <c r="U1726" s="2"/>
      <c r="V1726" s="2"/>
      <c r="W1726" s="2"/>
    </row>
    <row r="1727" spans="1:23" ht="75" customHeight="1" x14ac:dyDescent="0.15">
      <c r="A1727" s="2"/>
      <c r="B1727" s="2"/>
      <c r="C1727" s="2"/>
      <c r="D1727" s="2"/>
      <c r="E1727" s="2"/>
      <c r="F1727" s="2"/>
      <c r="G1727" s="2"/>
      <c r="H1727" s="2"/>
      <c r="I1727" s="2"/>
      <c r="J1727" s="2"/>
      <c r="K1727" s="2"/>
      <c r="L1727" s="2"/>
      <c r="M1727" s="2"/>
      <c r="N1727" s="2"/>
      <c r="O1727" s="2"/>
      <c r="P1727" s="2"/>
      <c r="Q1727" s="2"/>
      <c r="R1727" s="2"/>
      <c r="S1727" s="2"/>
      <c r="T1727" s="2"/>
      <c r="U1727" s="2"/>
      <c r="V1727" s="2"/>
      <c r="W1727" s="2"/>
    </row>
    <row r="1728" spans="1:23" ht="75" customHeight="1" x14ac:dyDescent="0.15">
      <c r="A1728" s="2"/>
      <c r="B1728" s="2"/>
      <c r="C1728" s="2"/>
      <c r="D1728" s="2"/>
      <c r="E1728" s="2"/>
      <c r="F1728" s="2"/>
      <c r="G1728" s="2"/>
      <c r="H1728" s="2"/>
      <c r="I1728" s="2"/>
      <c r="J1728" s="2"/>
      <c r="K1728" s="2"/>
      <c r="L1728" s="2"/>
      <c r="M1728" s="2"/>
      <c r="N1728" s="2"/>
      <c r="O1728" s="2"/>
      <c r="P1728" s="2"/>
      <c r="Q1728" s="2"/>
      <c r="R1728" s="2"/>
      <c r="S1728" s="2"/>
      <c r="T1728" s="2"/>
      <c r="U1728" s="2"/>
      <c r="V1728" s="2"/>
      <c r="W1728" s="2"/>
    </row>
    <row r="1729" spans="1:23" ht="75" customHeight="1" x14ac:dyDescent="0.15">
      <c r="A1729" s="2"/>
      <c r="B1729" s="2"/>
      <c r="C1729" s="2"/>
      <c r="D1729" s="2"/>
      <c r="E1729" s="2"/>
      <c r="F1729" s="2"/>
      <c r="G1729" s="2"/>
      <c r="H1729" s="2"/>
      <c r="I1729" s="2"/>
      <c r="J1729" s="2"/>
      <c r="K1729" s="2"/>
      <c r="L1729" s="2"/>
      <c r="M1729" s="2"/>
      <c r="N1729" s="2"/>
      <c r="O1729" s="2"/>
      <c r="P1729" s="2"/>
      <c r="Q1729" s="2"/>
      <c r="R1729" s="2"/>
      <c r="S1729" s="2"/>
      <c r="T1729" s="2"/>
      <c r="U1729" s="2"/>
      <c r="V1729" s="2"/>
      <c r="W1729" s="2"/>
    </row>
    <row r="1730" spans="1:23" ht="75" customHeight="1" x14ac:dyDescent="0.15">
      <c r="A1730" s="2"/>
      <c r="B1730" s="2"/>
      <c r="C1730" s="2"/>
      <c r="D1730" s="2"/>
      <c r="E1730" s="2"/>
      <c r="F1730" s="2"/>
      <c r="G1730" s="2"/>
      <c r="H1730" s="2"/>
      <c r="I1730" s="2"/>
      <c r="J1730" s="2"/>
      <c r="K1730" s="2"/>
      <c r="L1730" s="2"/>
      <c r="M1730" s="2"/>
      <c r="N1730" s="2"/>
      <c r="O1730" s="2"/>
      <c r="P1730" s="2"/>
      <c r="Q1730" s="2"/>
      <c r="R1730" s="2"/>
      <c r="S1730" s="2"/>
      <c r="T1730" s="2"/>
      <c r="U1730" s="2"/>
      <c r="V1730" s="2"/>
      <c r="W1730" s="2"/>
    </row>
    <row r="1731" spans="1:23" ht="75" customHeight="1" x14ac:dyDescent="0.15">
      <c r="A1731" s="2"/>
      <c r="B1731" s="2"/>
      <c r="C1731" s="2"/>
      <c r="D1731" s="2"/>
      <c r="E1731" s="2"/>
      <c r="F1731" s="2"/>
      <c r="G1731" s="2"/>
      <c r="H1731" s="2"/>
      <c r="I1731" s="2"/>
      <c r="J1731" s="2"/>
      <c r="K1731" s="2"/>
      <c r="L1731" s="2"/>
      <c r="M1731" s="2"/>
      <c r="N1731" s="2"/>
      <c r="O1731" s="2"/>
      <c r="P1731" s="2"/>
      <c r="Q1731" s="2"/>
      <c r="R1731" s="2"/>
      <c r="S1731" s="2"/>
      <c r="T1731" s="2"/>
      <c r="U1731" s="2"/>
      <c r="V1731" s="2"/>
      <c r="W1731" s="2"/>
    </row>
    <row r="1732" spans="1:23" ht="75" customHeight="1" x14ac:dyDescent="0.15">
      <c r="A1732" s="2"/>
      <c r="B1732" s="2"/>
      <c r="C1732" s="2"/>
      <c r="D1732" s="2"/>
      <c r="E1732" s="2"/>
      <c r="F1732" s="2"/>
      <c r="G1732" s="2"/>
      <c r="H1732" s="2"/>
      <c r="I1732" s="2"/>
      <c r="J1732" s="2"/>
      <c r="K1732" s="2"/>
      <c r="L1732" s="2"/>
      <c r="M1732" s="2"/>
      <c r="N1732" s="2"/>
      <c r="O1732" s="2"/>
      <c r="P1732" s="2"/>
      <c r="Q1732" s="2"/>
      <c r="R1732" s="2"/>
      <c r="S1732" s="2"/>
      <c r="T1732" s="2"/>
      <c r="U1732" s="2"/>
      <c r="V1732" s="2"/>
      <c r="W1732" s="2"/>
    </row>
    <row r="1733" spans="1:23" ht="75" customHeight="1" x14ac:dyDescent="0.15">
      <c r="A1733" s="2"/>
      <c r="B1733" s="2"/>
      <c r="C1733" s="2"/>
      <c r="D1733" s="2"/>
      <c r="E1733" s="2"/>
      <c r="F1733" s="2"/>
      <c r="G1733" s="2"/>
      <c r="H1733" s="2"/>
      <c r="I1733" s="2"/>
      <c r="J1733" s="2"/>
      <c r="K1733" s="2"/>
      <c r="L1733" s="2"/>
      <c r="M1733" s="2"/>
      <c r="N1733" s="2"/>
      <c r="O1733" s="2"/>
      <c r="P1733" s="2"/>
      <c r="Q1733" s="2"/>
      <c r="R1733" s="2"/>
      <c r="S1733" s="2"/>
      <c r="T1733" s="2"/>
      <c r="U1733" s="2"/>
      <c r="V1733" s="2"/>
      <c r="W1733" s="2"/>
    </row>
    <row r="1734" spans="1:23" ht="75" customHeight="1" x14ac:dyDescent="0.15">
      <c r="A1734" s="2"/>
      <c r="B1734" s="2"/>
      <c r="C1734" s="2"/>
      <c r="D1734" s="2"/>
      <c r="E1734" s="2"/>
      <c r="F1734" s="2"/>
      <c r="G1734" s="2"/>
      <c r="H1734" s="2"/>
      <c r="I1734" s="2"/>
      <c r="J1734" s="2"/>
      <c r="K1734" s="2"/>
      <c r="L1734" s="2"/>
      <c r="M1734" s="2"/>
      <c r="N1734" s="2"/>
      <c r="O1734" s="2"/>
      <c r="P1734" s="2"/>
      <c r="Q1734" s="2"/>
      <c r="R1734" s="2"/>
      <c r="S1734" s="2"/>
      <c r="T1734" s="2"/>
      <c r="U1734" s="2"/>
      <c r="V1734" s="2"/>
      <c r="W1734" s="2"/>
    </row>
    <row r="1735" spans="1:23" ht="75" customHeight="1" x14ac:dyDescent="0.15">
      <c r="A1735" s="2"/>
      <c r="B1735" s="2"/>
      <c r="C1735" s="2"/>
      <c r="D1735" s="2"/>
      <c r="E1735" s="2"/>
      <c r="F1735" s="2"/>
      <c r="G1735" s="2"/>
      <c r="H1735" s="2"/>
      <c r="I1735" s="2"/>
      <c r="J1735" s="2"/>
      <c r="K1735" s="2"/>
      <c r="L1735" s="2"/>
      <c r="M1735" s="2"/>
      <c r="N1735" s="2"/>
      <c r="O1735" s="2"/>
      <c r="P1735" s="2"/>
      <c r="Q1735" s="2"/>
      <c r="R1735" s="2"/>
      <c r="S1735" s="2"/>
      <c r="T1735" s="2"/>
      <c r="U1735" s="2"/>
      <c r="V1735" s="2"/>
      <c r="W1735" s="2"/>
    </row>
    <row r="1736" spans="1:23" ht="75" customHeight="1" x14ac:dyDescent="0.15">
      <c r="A1736" s="2"/>
      <c r="B1736" s="2"/>
      <c r="C1736" s="2"/>
      <c r="D1736" s="2"/>
      <c r="E1736" s="2"/>
      <c r="F1736" s="2"/>
      <c r="G1736" s="2"/>
      <c r="H1736" s="2"/>
      <c r="I1736" s="2"/>
      <c r="J1736" s="2"/>
      <c r="K1736" s="2"/>
      <c r="L1736" s="2"/>
      <c r="M1736" s="2"/>
      <c r="N1736" s="2"/>
      <c r="O1736" s="2"/>
      <c r="P1736" s="2"/>
      <c r="Q1736" s="2"/>
      <c r="R1736" s="2"/>
      <c r="S1736" s="2"/>
      <c r="T1736" s="2"/>
      <c r="U1736" s="2"/>
      <c r="V1736" s="2"/>
      <c r="W1736" s="2"/>
    </row>
    <row r="1737" spans="1:23" ht="75" customHeight="1" x14ac:dyDescent="0.15">
      <c r="A1737" s="2"/>
      <c r="B1737" s="2"/>
      <c r="C1737" s="2"/>
      <c r="D1737" s="2"/>
      <c r="E1737" s="2"/>
      <c r="F1737" s="2"/>
      <c r="G1737" s="2"/>
      <c r="H1737" s="2"/>
      <c r="I1737" s="2"/>
      <c r="J1737" s="2"/>
      <c r="K1737" s="2"/>
      <c r="L1737" s="2"/>
      <c r="M1737" s="2"/>
      <c r="N1737" s="2"/>
      <c r="O1737" s="2"/>
      <c r="P1737" s="2"/>
      <c r="Q1737" s="2"/>
      <c r="R1737" s="2"/>
      <c r="S1737" s="2"/>
      <c r="T1737" s="2"/>
      <c r="U1737" s="2"/>
      <c r="V1737" s="2"/>
      <c r="W1737" s="2"/>
    </row>
    <row r="1738" spans="1:23" ht="75" customHeight="1" x14ac:dyDescent="0.15">
      <c r="A1738" s="2"/>
      <c r="B1738" s="2"/>
      <c r="C1738" s="2"/>
      <c r="D1738" s="2"/>
      <c r="E1738" s="2"/>
      <c r="F1738" s="2"/>
      <c r="G1738" s="2"/>
      <c r="H1738" s="2"/>
      <c r="I1738" s="2"/>
      <c r="J1738" s="2"/>
      <c r="K1738" s="2"/>
      <c r="L1738" s="2"/>
      <c r="M1738" s="2"/>
      <c r="N1738" s="2"/>
      <c r="O1738" s="2"/>
      <c r="P1738" s="2"/>
      <c r="Q1738" s="2"/>
      <c r="R1738" s="2"/>
      <c r="S1738" s="2"/>
      <c r="T1738" s="2"/>
      <c r="U1738" s="2"/>
      <c r="V1738" s="2"/>
      <c r="W1738" s="2"/>
    </row>
    <row r="1739" spans="1:23" ht="75" customHeight="1" x14ac:dyDescent="0.15">
      <c r="A1739" s="2"/>
      <c r="B1739" s="2"/>
      <c r="C1739" s="2"/>
      <c r="D1739" s="2"/>
      <c r="E1739" s="2"/>
      <c r="F1739" s="2"/>
      <c r="G1739" s="2"/>
      <c r="H1739" s="2"/>
      <c r="I1739" s="2"/>
      <c r="J1739" s="2"/>
      <c r="K1739" s="2"/>
      <c r="L1739" s="2"/>
      <c r="M1739" s="2"/>
      <c r="N1739" s="2"/>
      <c r="O1739" s="2"/>
      <c r="P1739" s="2"/>
      <c r="Q1739" s="2"/>
      <c r="R1739" s="2"/>
      <c r="S1739" s="2"/>
      <c r="T1739" s="2"/>
      <c r="U1739" s="2"/>
      <c r="V1739" s="2"/>
      <c r="W1739" s="2"/>
    </row>
    <row r="1740" spans="1:23" ht="75" customHeight="1" x14ac:dyDescent="0.15">
      <c r="A1740" s="2"/>
      <c r="B1740" s="2"/>
      <c r="C1740" s="2"/>
      <c r="D1740" s="2"/>
      <c r="E1740" s="2"/>
      <c r="F1740" s="2"/>
      <c r="G1740" s="2"/>
      <c r="H1740" s="2"/>
      <c r="I1740" s="2"/>
      <c r="J1740" s="2"/>
      <c r="K1740" s="2"/>
      <c r="L1740" s="2"/>
      <c r="M1740" s="2"/>
      <c r="N1740" s="2"/>
      <c r="O1740" s="2"/>
      <c r="P1740" s="2"/>
      <c r="Q1740" s="2"/>
      <c r="R1740" s="2"/>
      <c r="S1740" s="2"/>
      <c r="T1740" s="2"/>
      <c r="U1740" s="2"/>
      <c r="V1740" s="2"/>
      <c r="W1740" s="2"/>
    </row>
    <row r="1741" spans="1:23" ht="75" customHeight="1" x14ac:dyDescent="0.15">
      <c r="A1741" s="2"/>
      <c r="B1741" s="2"/>
      <c r="C1741" s="2"/>
      <c r="D1741" s="2"/>
      <c r="E1741" s="2"/>
      <c r="F1741" s="2"/>
      <c r="G1741" s="2"/>
      <c r="H1741" s="2"/>
      <c r="I1741" s="2"/>
      <c r="J1741" s="2"/>
      <c r="K1741" s="2"/>
      <c r="L1741" s="2"/>
      <c r="M1741" s="2"/>
      <c r="N1741" s="2"/>
      <c r="O1741" s="2"/>
      <c r="P1741" s="2"/>
      <c r="Q1741" s="2"/>
      <c r="R1741" s="2"/>
      <c r="S1741" s="2"/>
      <c r="T1741" s="2"/>
      <c r="U1741" s="2"/>
      <c r="V1741" s="2"/>
      <c r="W1741" s="2"/>
    </row>
    <row r="1742" spans="1:23" ht="75" customHeight="1" x14ac:dyDescent="0.15">
      <c r="A1742" s="2"/>
      <c r="B1742" s="2"/>
      <c r="C1742" s="2"/>
      <c r="D1742" s="2"/>
      <c r="E1742" s="2"/>
      <c r="F1742" s="2"/>
      <c r="G1742" s="2"/>
      <c r="H1742" s="2"/>
      <c r="I1742" s="2"/>
      <c r="J1742" s="2"/>
      <c r="K1742" s="2"/>
      <c r="L1742" s="2"/>
      <c r="M1742" s="2"/>
      <c r="N1742" s="2"/>
      <c r="O1742" s="2"/>
      <c r="P1742" s="2"/>
      <c r="Q1742" s="2"/>
      <c r="R1742" s="2"/>
      <c r="S1742" s="2"/>
      <c r="T1742" s="2"/>
      <c r="U1742" s="2"/>
      <c r="V1742" s="2"/>
      <c r="W1742" s="2"/>
    </row>
    <row r="1743" spans="1:23" ht="75" customHeight="1" x14ac:dyDescent="0.15">
      <c r="A1743" s="2"/>
      <c r="B1743" s="2"/>
      <c r="C1743" s="2"/>
      <c r="D1743" s="2"/>
      <c r="E1743" s="2"/>
      <c r="F1743" s="2"/>
      <c r="G1743" s="2"/>
      <c r="H1743" s="2"/>
      <c r="I1743" s="2"/>
      <c r="J1743" s="2"/>
      <c r="K1743" s="2"/>
      <c r="L1743" s="2"/>
      <c r="M1743" s="2"/>
      <c r="N1743" s="2"/>
      <c r="O1743" s="2"/>
      <c r="P1743" s="2"/>
      <c r="Q1743" s="2"/>
      <c r="R1743" s="2"/>
      <c r="S1743" s="2"/>
      <c r="T1743" s="2"/>
      <c r="U1743" s="2"/>
      <c r="V1743" s="2"/>
      <c r="W1743" s="2"/>
    </row>
    <row r="1744" spans="1:23" ht="75" customHeight="1" x14ac:dyDescent="0.15">
      <c r="A1744" s="2"/>
      <c r="B1744" s="2"/>
      <c r="C1744" s="2"/>
      <c r="D1744" s="2"/>
      <c r="E1744" s="2"/>
      <c r="F1744" s="2"/>
      <c r="G1744" s="2"/>
      <c r="H1744" s="2"/>
      <c r="I1744" s="2"/>
      <c r="J1744" s="2"/>
      <c r="K1744" s="2"/>
      <c r="L1744" s="2"/>
      <c r="M1744" s="2"/>
      <c r="N1744" s="2"/>
      <c r="O1744" s="2"/>
      <c r="P1744" s="2"/>
      <c r="Q1744" s="2"/>
      <c r="R1744" s="2"/>
      <c r="S1744" s="2"/>
      <c r="T1744" s="2"/>
      <c r="U1744" s="2"/>
      <c r="V1744" s="2"/>
      <c r="W1744" s="2"/>
    </row>
    <row r="1745" spans="1:23" ht="75" customHeight="1" x14ac:dyDescent="0.15">
      <c r="A1745" s="2"/>
      <c r="B1745" s="2"/>
      <c r="C1745" s="2"/>
      <c r="D1745" s="2"/>
      <c r="E1745" s="2"/>
      <c r="F1745" s="2"/>
      <c r="G1745" s="2"/>
      <c r="H1745" s="2"/>
      <c r="I1745" s="2"/>
      <c r="J1745" s="2"/>
      <c r="K1745" s="2"/>
      <c r="L1745" s="2"/>
      <c r="M1745" s="2"/>
      <c r="N1745" s="2"/>
      <c r="O1745" s="2"/>
      <c r="P1745" s="2"/>
      <c r="Q1745" s="2"/>
      <c r="R1745" s="2"/>
      <c r="S1745" s="2"/>
      <c r="T1745" s="2"/>
      <c r="U1745" s="2"/>
      <c r="V1745" s="2"/>
      <c r="W1745" s="2"/>
    </row>
    <row r="1746" spans="1:23" ht="75" customHeight="1" x14ac:dyDescent="0.15">
      <c r="A1746" s="2"/>
      <c r="B1746" s="2"/>
      <c r="C1746" s="2"/>
      <c r="D1746" s="2"/>
      <c r="E1746" s="2"/>
      <c r="F1746" s="2"/>
      <c r="G1746" s="2"/>
      <c r="H1746" s="2"/>
      <c r="I1746" s="2"/>
      <c r="J1746" s="2"/>
      <c r="K1746" s="2"/>
      <c r="L1746" s="2"/>
      <c r="M1746" s="2"/>
      <c r="N1746" s="2"/>
      <c r="O1746" s="2"/>
      <c r="P1746" s="2"/>
      <c r="Q1746" s="2"/>
      <c r="R1746" s="2"/>
      <c r="S1746" s="2"/>
      <c r="T1746" s="2"/>
      <c r="U1746" s="2"/>
      <c r="V1746" s="2"/>
      <c r="W1746" s="2"/>
    </row>
    <row r="1747" spans="1:23" ht="75" customHeight="1" x14ac:dyDescent="0.15">
      <c r="A1747" s="2"/>
      <c r="B1747" s="2"/>
      <c r="C1747" s="2"/>
      <c r="D1747" s="2"/>
      <c r="E1747" s="2"/>
      <c r="F1747" s="2"/>
      <c r="G1747" s="2"/>
      <c r="H1747" s="2"/>
      <c r="I1747" s="2"/>
      <c r="J1747" s="2"/>
      <c r="K1747" s="2"/>
      <c r="L1747" s="2"/>
      <c r="M1747" s="2"/>
      <c r="N1747" s="2"/>
      <c r="O1747" s="2"/>
      <c r="P1747" s="2"/>
      <c r="Q1747" s="2"/>
      <c r="R1747" s="2"/>
      <c r="S1747" s="2"/>
      <c r="T1747" s="2"/>
      <c r="U1747" s="2"/>
      <c r="V1747" s="2"/>
      <c r="W1747" s="2"/>
    </row>
    <row r="1748" spans="1:23" ht="75" customHeight="1" x14ac:dyDescent="0.15">
      <c r="A1748" s="2"/>
      <c r="B1748" s="2"/>
      <c r="C1748" s="2"/>
      <c r="D1748" s="2"/>
      <c r="E1748" s="2"/>
      <c r="F1748" s="2"/>
      <c r="G1748" s="2"/>
      <c r="H1748" s="2"/>
      <c r="I1748" s="2"/>
      <c r="J1748" s="2"/>
      <c r="K1748" s="2"/>
      <c r="L1748" s="2"/>
      <c r="M1748" s="2"/>
      <c r="N1748" s="2"/>
      <c r="O1748" s="2"/>
      <c r="P1748" s="2"/>
      <c r="Q1748" s="2"/>
      <c r="R1748" s="2"/>
      <c r="S1748" s="2"/>
      <c r="T1748" s="2"/>
      <c r="U1748" s="2"/>
      <c r="V1748" s="2"/>
      <c r="W1748" s="2"/>
    </row>
    <row r="1749" spans="1:23" ht="75" customHeight="1" x14ac:dyDescent="0.15">
      <c r="A1749" s="2"/>
      <c r="B1749" s="2"/>
      <c r="C1749" s="2"/>
      <c r="D1749" s="2"/>
      <c r="E1749" s="2"/>
      <c r="F1749" s="2"/>
      <c r="G1749" s="2"/>
      <c r="H1749" s="2"/>
      <c r="I1749" s="2"/>
      <c r="J1749" s="2"/>
      <c r="K1749" s="2"/>
      <c r="L1749" s="2"/>
      <c r="M1749" s="2"/>
      <c r="N1749" s="2"/>
      <c r="O1749" s="2"/>
      <c r="P1749" s="2"/>
      <c r="Q1749" s="2"/>
      <c r="R1749" s="2"/>
      <c r="S1749" s="2"/>
      <c r="T1749" s="2"/>
      <c r="U1749" s="2"/>
      <c r="V1749" s="2"/>
      <c r="W1749" s="2"/>
    </row>
    <row r="1750" spans="1:23" ht="75" customHeight="1" x14ac:dyDescent="0.15">
      <c r="A1750" s="2"/>
      <c r="B1750" s="2"/>
      <c r="C1750" s="2"/>
      <c r="D1750" s="2"/>
      <c r="E1750" s="2"/>
      <c r="F1750" s="2"/>
      <c r="G1750" s="2"/>
      <c r="H1750" s="2"/>
      <c r="I1750" s="2"/>
      <c r="J1750" s="2"/>
      <c r="K1750" s="2"/>
      <c r="L1750" s="2"/>
      <c r="M1750" s="2"/>
      <c r="N1750" s="2"/>
      <c r="O1750" s="2"/>
      <c r="P1750" s="2"/>
      <c r="Q1750" s="2"/>
      <c r="R1750" s="2"/>
      <c r="S1750" s="2"/>
      <c r="T1750" s="2"/>
      <c r="U1750" s="2"/>
      <c r="V1750" s="2"/>
      <c r="W1750" s="2"/>
    </row>
    <row r="1751" spans="1:23" ht="75" customHeight="1" x14ac:dyDescent="0.15">
      <c r="A1751" s="2"/>
      <c r="B1751" s="2"/>
      <c r="C1751" s="2"/>
      <c r="D1751" s="2"/>
      <c r="E1751" s="2"/>
      <c r="F1751" s="2"/>
      <c r="G1751" s="2"/>
      <c r="H1751" s="2"/>
      <c r="I1751" s="2"/>
      <c r="J1751" s="2"/>
      <c r="K1751" s="2"/>
      <c r="L1751" s="2"/>
      <c r="M1751" s="2"/>
      <c r="N1751" s="2"/>
      <c r="O1751" s="2"/>
      <c r="P1751" s="2"/>
      <c r="Q1751" s="2"/>
      <c r="R1751" s="2"/>
      <c r="S1751" s="2"/>
      <c r="T1751" s="2"/>
      <c r="U1751" s="2"/>
      <c r="V1751" s="2"/>
      <c r="W1751" s="2"/>
    </row>
    <row r="1752" spans="1:23" ht="75" customHeight="1" x14ac:dyDescent="0.15">
      <c r="A1752" s="2"/>
      <c r="B1752" s="2"/>
      <c r="C1752" s="2"/>
      <c r="D1752" s="2"/>
      <c r="E1752" s="2"/>
      <c r="F1752" s="2"/>
      <c r="G1752" s="2"/>
      <c r="H1752" s="2"/>
      <c r="I1752" s="2"/>
      <c r="J1752" s="2"/>
      <c r="K1752" s="2"/>
      <c r="L1752" s="2"/>
      <c r="M1752" s="2"/>
      <c r="N1752" s="2"/>
      <c r="O1752" s="2"/>
      <c r="P1752" s="2"/>
      <c r="Q1752" s="2"/>
      <c r="R1752" s="2"/>
      <c r="S1752" s="2"/>
      <c r="T1752" s="2"/>
      <c r="U1752" s="2"/>
      <c r="V1752" s="2"/>
      <c r="W1752" s="2"/>
    </row>
    <row r="1753" spans="1:23" ht="75" customHeight="1" x14ac:dyDescent="0.15">
      <c r="A1753" s="2"/>
      <c r="B1753" s="2"/>
      <c r="C1753" s="2"/>
      <c r="D1753" s="2"/>
      <c r="E1753" s="2"/>
      <c r="F1753" s="2"/>
      <c r="G1753" s="2"/>
      <c r="H1753" s="2"/>
      <c r="I1753" s="2"/>
      <c r="J1753" s="2"/>
      <c r="K1753" s="2"/>
      <c r="L1753" s="2"/>
      <c r="M1753" s="2"/>
      <c r="N1753" s="2"/>
      <c r="O1753" s="2"/>
      <c r="P1753" s="2"/>
      <c r="Q1753" s="2"/>
      <c r="R1753" s="2"/>
      <c r="S1753" s="2"/>
      <c r="T1753" s="2"/>
      <c r="U1753" s="2"/>
      <c r="V1753" s="2"/>
      <c r="W1753" s="2"/>
    </row>
    <row r="1754" spans="1:23" ht="75" customHeight="1" x14ac:dyDescent="0.15">
      <c r="A1754" s="2"/>
      <c r="B1754" s="2"/>
      <c r="C1754" s="2"/>
      <c r="D1754" s="2"/>
      <c r="E1754" s="2"/>
      <c r="F1754" s="2"/>
      <c r="G1754" s="2"/>
      <c r="H1754" s="2"/>
      <c r="I1754" s="2"/>
      <c r="J1754" s="2"/>
      <c r="K1754" s="2"/>
      <c r="L1754" s="2"/>
      <c r="M1754" s="2"/>
      <c r="N1754" s="2"/>
      <c r="O1754" s="2"/>
      <c r="P1754" s="2"/>
      <c r="Q1754" s="2"/>
      <c r="R1754" s="2"/>
      <c r="S1754" s="2"/>
      <c r="T1754" s="2"/>
      <c r="U1754" s="2"/>
      <c r="V1754" s="2"/>
      <c r="W1754" s="2"/>
    </row>
    <row r="1755" spans="1:23" ht="75" customHeight="1" x14ac:dyDescent="0.15">
      <c r="A1755" s="2"/>
      <c r="B1755" s="2"/>
      <c r="C1755" s="2"/>
      <c r="D1755" s="2"/>
      <c r="E1755" s="2"/>
      <c r="F1755" s="2"/>
      <c r="G1755" s="2"/>
      <c r="H1755" s="2"/>
      <c r="I1755" s="2"/>
      <c r="J1755" s="2"/>
      <c r="K1755" s="2"/>
      <c r="L1755" s="2"/>
      <c r="M1755" s="2"/>
      <c r="N1755" s="2"/>
      <c r="O1755" s="2"/>
      <c r="P1755" s="2"/>
      <c r="Q1755" s="2"/>
      <c r="R1755" s="2"/>
      <c r="S1755" s="2"/>
      <c r="T1755" s="2"/>
      <c r="U1755" s="2"/>
      <c r="V1755" s="2"/>
      <c r="W1755" s="2"/>
    </row>
    <row r="1756" spans="1:23" ht="75" customHeight="1" x14ac:dyDescent="0.15">
      <c r="A1756" s="2"/>
      <c r="B1756" s="2"/>
      <c r="C1756" s="2"/>
      <c r="D1756" s="2"/>
      <c r="E1756" s="2"/>
      <c r="F1756" s="2"/>
      <c r="G1756" s="2"/>
      <c r="H1756" s="2"/>
      <c r="I1756" s="2"/>
      <c r="J1756" s="2"/>
      <c r="K1756" s="2"/>
      <c r="L1756" s="2"/>
      <c r="M1756" s="2"/>
      <c r="N1756" s="2"/>
      <c r="O1756" s="2"/>
      <c r="P1756" s="2"/>
      <c r="Q1756" s="2"/>
      <c r="R1756" s="2"/>
      <c r="S1756" s="2"/>
      <c r="T1756" s="2"/>
      <c r="U1756" s="2"/>
      <c r="V1756" s="2"/>
      <c r="W1756" s="2"/>
    </row>
    <row r="1757" spans="1:23" ht="75" customHeight="1" x14ac:dyDescent="0.15">
      <c r="A1757" s="2"/>
      <c r="B1757" s="2"/>
      <c r="C1757" s="2"/>
      <c r="D1757" s="2"/>
      <c r="E1757" s="2"/>
      <c r="F1757" s="2"/>
      <c r="G1757" s="2"/>
      <c r="H1757" s="2"/>
      <c r="I1757" s="2"/>
      <c r="J1757" s="2"/>
      <c r="K1757" s="2"/>
      <c r="L1757" s="2"/>
      <c r="M1757" s="2"/>
      <c r="N1757" s="2"/>
      <c r="O1757" s="2"/>
      <c r="P1757" s="2"/>
      <c r="Q1757" s="2"/>
      <c r="R1757" s="2"/>
      <c r="S1757" s="2"/>
      <c r="T1757" s="2"/>
      <c r="U1757" s="2"/>
      <c r="V1757" s="2"/>
      <c r="W1757" s="2"/>
    </row>
    <row r="1758" spans="1:23" ht="75" customHeight="1" x14ac:dyDescent="0.15">
      <c r="A1758" s="2"/>
      <c r="B1758" s="2"/>
      <c r="C1758" s="2"/>
      <c r="D1758" s="2"/>
      <c r="E1758" s="2"/>
      <c r="F1758" s="2"/>
      <c r="G1758" s="2"/>
      <c r="H1758" s="2"/>
      <c r="I1758" s="2"/>
      <c r="J1758" s="2"/>
      <c r="K1758" s="2"/>
      <c r="L1758" s="2"/>
      <c r="M1758" s="2"/>
      <c r="N1758" s="2"/>
      <c r="O1758" s="2"/>
      <c r="P1758" s="2"/>
      <c r="Q1758" s="2"/>
      <c r="R1758" s="2"/>
      <c r="S1758" s="2"/>
      <c r="T1758" s="2"/>
      <c r="U1758" s="2"/>
      <c r="V1758" s="2"/>
      <c r="W1758" s="2"/>
    </row>
    <row r="1759" spans="1:23" ht="75" customHeight="1" x14ac:dyDescent="0.15">
      <c r="A1759" s="2"/>
      <c r="B1759" s="2"/>
      <c r="C1759" s="2"/>
      <c r="D1759" s="2"/>
      <c r="E1759" s="2"/>
      <c r="F1759" s="2"/>
      <c r="G1759" s="2"/>
      <c r="H1759" s="2"/>
      <c r="I1759" s="2"/>
      <c r="J1759" s="2"/>
      <c r="K1759" s="2"/>
      <c r="L1759" s="2"/>
      <c r="M1759" s="2"/>
      <c r="N1759" s="2"/>
      <c r="O1759" s="2"/>
      <c r="P1759" s="2"/>
      <c r="Q1759" s="2"/>
      <c r="R1759" s="2"/>
      <c r="S1759" s="2"/>
      <c r="T1759" s="2"/>
      <c r="U1759" s="2"/>
      <c r="V1759" s="2"/>
      <c r="W1759" s="2"/>
    </row>
    <row r="1760" spans="1:23" ht="75" customHeight="1" x14ac:dyDescent="0.15">
      <c r="A1760" s="2"/>
      <c r="B1760" s="2"/>
      <c r="C1760" s="2"/>
      <c r="D1760" s="2"/>
      <c r="E1760" s="2"/>
      <c r="F1760" s="2"/>
      <c r="G1760" s="2"/>
      <c r="H1760" s="2"/>
      <c r="I1760" s="2"/>
      <c r="J1760" s="2"/>
      <c r="K1760" s="2"/>
      <c r="L1760" s="2"/>
      <c r="M1760" s="2"/>
      <c r="N1760" s="2"/>
      <c r="O1760" s="2"/>
      <c r="P1760" s="2"/>
      <c r="Q1760" s="2"/>
      <c r="R1760" s="2"/>
      <c r="S1760" s="2"/>
      <c r="T1760" s="2"/>
      <c r="U1760" s="2"/>
      <c r="V1760" s="2"/>
      <c r="W1760" s="2"/>
    </row>
    <row r="1761" spans="1:23" ht="75" customHeight="1" x14ac:dyDescent="0.15">
      <c r="A1761" s="2"/>
      <c r="B1761" s="2"/>
      <c r="C1761" s="2"/>
      <c r="D1761" s="2"/>
      <c r="E1761" s="2"/>
      <c r="F1761" s="2"/>
      <c r="G1761" s="2"/>
      <c r="H1761" s="2"/>
      <c r="I1761" s="2"/>
      <c r="J1761" s="2"/>
      <c r="K1761" s="2"/>
      <c r="L1761" s="2"/>
      <c r="M1761" s="2"/>
      <c r="N1761" s="2"/>
      <c r="O1761" s="2"/>
      <c r="P1761" s="2"/>
      <c r="Q1761" s="2"/>
      <c r="R1761" s="2"/>
      <c r="S1761" s="2"/>
      <c r="T1761" s="2"/>
      <c r="U1761" s="2"/>
      <c r="V1761" s="2"/>
      <c r="W1761" s="2"/>
    </row>
    <row r="1762" spans="1:23" ht="75" customHeight="1" x14ac:dyDescent="0.15">
      <c r="A1762" s="2"/>
      <c r="B1762" s="2"/>
      <c r="C1762" s="2"/>
      <c r="D1762" s="2"/>
      <c r="E1762" s="2"/>
      <c r="F1762" s="2"/>
      <c r="G1762" s="2"/>
      <c r="H1762" s="2"/>
      <c r="I1762" s="2"/>
      <c r="J1762" s="2"/>
      <c r="K1762" s="2"/>
      <c r="L1762" s="2"/>
      <c r="M1762" s="2"/>
      <c r="N1762" s="2"/>
      <c r="O1762" s="2"/>
      <c r="P1762" s="2"/>
      <c r="Q1762" s="2"/>
      <c r="R1762" s="2"/>
      <c r="S1762" s="2"/>
      <c r="T1762" s="2"/>
      <c r="U1762" s="2"/>
      <c r="V1762" s="2"/>
      <c r="W1762" s="2"/>
    </row>
    <row r="1763" spans="1:23" ht="75" customHeight="1" x14ac:dyDescent="0.15">
      <c r="A1763" s="2"/>
      <c r="B1763" s="2"/>
      <c r="C1763" s="2"/>
      <c r="D1763" s="2"/>
      <c r="E1763" s="2"/>
      <c r="F1763" s="2"/>
      <c r="G1763" s="2"/>
      <c r="H1763" s="2"/>
      <c r="I1763" s="2"/>
      <c r="J1763" s="2"/>
      <c r="K1763" s="2"/>
      <c r="L1763" s="2"/>
      <c r="M1763" s="2"/>
      <c r="N1763" s="2"/>
      <c r="O1763" s="2"/>
      <c r="P1763" s="2"/>
      <c r="Q1763" s="2"/>
      <c r="R1763" s="2"/>
      <c r="S1763" s="2"/>
      <c r="T1763" s="2"/>
      <c r="U1763" s="2"/>
      <c r="V1763" s="2"/>
      <c r="W1763" s="2"/>
    </row>
    <row r="1764" spans="1:23" ht="75" customHeight="1" x14ac:dyDescent="0.15">
      <c r="A1764" s="2"/>
      <c r="B1764" s="2"/>
      <c r="C1764" s="2"/>
      <c r="D1764" s="2"/>
      <c r="E1764" s="2"/>
      <c r="F1764" s="2"/>
      <c r="G1764" s="2"/>
      <c r="H1764" s="2"/>
      <c r="I1764" s="2"/>
      <c r="J1764" s="2"/>
      <c r="K1764" s="2"/>
      <c r="L1764" s="2"/>
      <c r="M1764" s="2"/>
      <c r="N1764" s="2"/>
      <c r="O1764" s="2"/>
      <c r="P1764" s="2"/>
      <c r="Q1764" s="2"/>
      <c r="R1764" s="2"/>
      <c r="S1764" s="2"/>
      <c r="T1764" s="2"/>
      <c r="U1764" s="2"/>
      <c r="V1764" s="2"/>
      <c r="W1764" s="2"/>
    </row>
    <row r="1765" spans="1:23" ht="75" customHeight="1" x14ac:dyDescent="0.15">
      <c r="A1765" s="2"/>
      <c r="B1765" s="2"/>
      <c r="C1765" s="2"/>
      <c r="D1765" s="2"/>
      <c r="E1765" s="2"/>
      <c r="F1765" s="2"/>
      <c r="G1765" s="2"/>
      <c r="H1765" s="2"/>
      <c r="I1765" s="2"/>
      <c r="J1765" s="2"/>
      <c r="K1765" s="2"/>
      <c r="L1765" s="2"/>
      <c r="M1765" s="2"/>
      <c r="N1765" s="2"/>
      <c r="O1765" s="2"/>
      <c r="P1765" s="2"/>
      <c r="Q1765" s="2"/>
      <c r="R1765" s="2"/>
      <c r="S1765" s="2"/>
      <c r="T1765" s="2"/>
      <c r="U1765" s="2"/>
      <c r="V1765" s="2"/>
      <c r="W1765" s="2"/>
    </row>
    <row r="1766" spans="1:23" ht="75" customHeight="1" x14ac:dyDescent="0.15">
      <c r="A1766" s="2"/>
      <c r="B1766" s="2"/>
      <c r="C1766" s="2"/>
      <c r="D1766" s="2"/>
      <c r="E1766" s="2"/>
      <c r="F1766" s="2"/>
      <c r="G1766" s="2"/>
      <c r="H1766" s="2"/>
      <c r="I1766" s="2"/>
      <c r="J1766" s="2"/>
      <c r="K1766" s="2"/>
      <c r="L1766" s="2"/>
      <c r="M1766" s="2"/>
      <c r="N1766" s="2"/>
      <c r="O1766" s="2"/>
      <c r="P1766" s="2"/>
      <c r="Q1766" s="2"/>
      <c r="R1766" s="2"/>
      <c r="S1766" s="2"/>
      <c r="T1766" s="2"/>
      <c r="U1766" s="2"/>
      <c r="V1766" s="2"/>
      <c r="W1766" s="2"/>
    </row>
    <row r="1767" spans="1:23" ht="75" customHeight="1" x14ac:dyDescent="0.15">
      <c r="A1767" s="2"/>
      <c r="B1767" s="2"/>
      <c r="C1767" s="2"/>
      <c r="D1767" s="2"/>
      <c r="E1767" s="2"/>
      <c r="F1767" s="2"/>
      <c r="G1767" s="2"/>
      <c r="H1767" s="2"/>
      <c r="I1767" s="2"/>
      <c r="J1767" s="2"/>
      <c r="K1767" s="2"/>
      <c r="L1767" s="2"/>
      <c r="M1767" s="2"/>
      <c r="N1767" s="2"/>
      <c r="O1767" s="2"/>
      <c r="P1767" s="2"/>
      <c r="Q1767" s="2"/>
      <c r="R1767" s="2"/>
      <c r="S1767" s="2"/>
      <c r="T1767" s="2"/>
      <c r="U1767" s="2"/>
      <c r="V1767" s="2"/>
      <c r="W1767" s="2"/>
    </row>
    <row r="1768" spans="1:23" ht="75" customHeight="1" x14ac:dyDescent="0.15">
      <c r="A1768" s="2"/>
      <c r="B1768" s="2"/>
      <c r="C1768" s="2"/>
      <c r="D1768" s="2"/>
      <c r="E1768" s="2"/>
      <c r="F1768" s="2"/>
      <c r="G1768" s="2"/>
      <c r="H1768" s="2"/>
      <c r="I1768" s="2"/>
      <c r="J1768" s="2"/>
      <c r="K1768" s="2"/>
      <c r="L1768" s="2"/>
      <c r="M1768" s="2"/>
      <c r="N1768" s="2"/>
      <c r="O1768" s="2"/>
      <c r="P1768" s="2"/>
      <c r="Q1768" s="2"/>
      <c r="R1768" s="2"/>
      <c r="S1768" s="2"/>
      <c r="T1768" s="2"/>
      <c r="U1768" s="2"/>
      <c r="V1768" s="2"/>
      <c r="W1768" s="2"/>
    </row>
    <row r="1769" spans="1:23" ht="75" customHeight="1" x14ac:dyDescent="0.15">
      <c r="A1769" s="2"/>
      <c r="B1769" s="2"/>
      <c r="C1769" s="2"/>
      <c r="D1769" s="2"/>
      <c r="E1769" s="2"/>
      <c r="F1769" s="2"/>
      <c r="G1769" s="2"/>
      <c r="H1769" s="2"/>
      <c r="I1769" s="2"/>
      <c r="J1769" s="2"/>
      <c r="K1769" s="2"/>
      <c r="L1769" s="2"/>
      <c r="M1769" s="2"/>
      <c r="N1769" s="2"/>
      <c r="O1769" s="2"/>
      <c r="P1769" s="2"/>
      <c r="Q1769" s="2"/>
      <c r="R1769" s="2"/>
      <c r="S1769" s="2"/>
      <c r="T1769" s="2"/>
      <c r="U1769" s="2"/>
      <c r="V1769" s="2"/>
      <c r="W1769" s="2"/>
    </row>
    <row r="1770" spans="1:23" ht="75" customHeight="1" x14ac:dyDescent="0.15">
      <c r="A1770" s="2"/>
      <c r="B1770" s="2"/>
      <c r="C1770" s="2"/>
      <c r="D1770" s="2"/>
      <c r="E1770" s="2"/>
      <c r="F1770" s="2"/>
      <c r="G1770" s="2"/>
      <c r="H1770" s="2"/>
      <c r="I1770" s="2"/>
      <c r="J1770" s="2"/>
      <c r="K1770" s="2"/>
      <c r="L1770" s="2"/>
      <c r="M1770" s="2"/>
      <c r="N1770" s="2"/>
      <c r="O1770" s="2"/>
      <c r="P1770" s="2"/>
      <c r="Q1770" s="2"/>
      <c r="R1770" s="2"/>
      <c r="S1770" s="2"/>
      <c r="T1770" s="2"/>
      <c r="U1770" s="2"/>
      <c r="V1770" s="2"/>
      <c r="W1770" s="2"/>
    </row>
    <row r="1771" spans="1:23" ht="75" customHeight="1" x14ac:dyDescent="0.15">
      <c r="A1771" s="2"/>
      <c r="B1771" s="2"/>
      <c r="C1771" s="2"/>
      <c r="D1771" s="2"/>
      <c r="E1771" s="2"/>
      <c r="F1771" s="2"/>
      <c r="G1771" s="2"/>
      <c r="H1771" s="2"/>
      <c r="I1771" s="2"/>
      <c r="J1771" s="2"/>
      <c r="K1771" s="2"/>
      <c r="L1771" s="2"/>
      <c r="M1771" s="2"/>
      <c r="N1771" s="2"/>
      <c r="O1771" s="2"/>
      <c r="P1771" s="2"/>
      <c r="Q1771" s="2"/>
      <c r="R1771" s="2"/>
      <c r="S1771" s="2"/>
      <c r="T1771" s="2"/>
      <c r="U1771" s="2"/>
      <c r="V1771" s="2"/>
      <c r="W1771" s="2"/>
    </row>
    <row r="1772" spans="1:23" ht="75" customHeight="1" x14ac:dyDescent="0.15">
      <c r="A1772" s="2"/>
      <c r="B1772" s="2"/>
      <c r="C1772" s="2"/>
      <c r="D1772" s="2"/>
      <c r="E1772" s="2"/>
      <c r="F1772" s="2"/>
      <c r="G1772" s="2"/>
      <c r="H1772" s="2"/>
      <c r="I1772" s="2"/>
      <c r="J1772" s="2"/>
      <c r="K1772" s="2"/>
      <c r="L1772" s="2"/>
      <c r="M1772" s="2"/>
      <c r="N1772" s="2"/>
      <c r="O1772" s="2"/>
      <c r="P1772" s="2"/>
      <c r="Q1772" s="2"/>
      <c r="R1772" s="2"/>
      <c r="S1772" s="2"/>
      <c r="T1772" s="2"/>
      <c r="U1772" s="2"/>
      <c r="V1772" s="2"/>
      <c r="W1772" s="2"/>
    </row>
    <row r="1773" spans="1:23" ht="75" customHeight="1" x14ac:dyDescent="0.15">
      <c r="A1773" s="2"/>
      <c r="B1773" s="2"/>
      <c r="C1773" s="2"/>
      <c r="D1773" s="2"/>
      <c r="E1773" s="2"/>
      <c r="F1773" s="2"/>
      <c r="G1773" s="2"/>
      <c r="H1773" s="2"/>
      <c r="I1773" s="2"/>
      <c r="J1773" s="2"/>
      <c r="K1773" s="2"/>
      <c r="L1773" s="2"/>
      <c r="M1773" s="2"/>
      <c r="N1773" s="2"/>
      <c r="O1773" s="2"/>
      <c r="P1773" s="2"/>
      <c r="Q1773" s="2"/>
      <c r="R1773" s="2"/>
      <c r="S1773" s="2"/>
      <c r="T1773" s="2"/>
      <c r="U1773" s="2"/>
      <c r="V1773" s="2"/>
      <c r="W1773" s="2"/>
    </row>
    <row r="1774" spans="1:23" ht="75" customHeight="1" x14ac:dyDescent="0.15">
      <c r="A1774" s="2"/>
      <c r="B1774" s="2"/>
      <c r="C1774" s="2"/>
      <c r="D1774" s="2"/>
      <c r="E1774" s="2"/>
      <c r="F1774" s="2"/>
      <c r="G1774" s="2"/>
      <c r="H1774" s="2"/>
      <c r="I1774" s="2"/>
      <c r="J1774" s="2"/>
      <c r="K1774" s="2"/>
      <c r="L1774" s="2"/>
      <c r="M1774" s="2"/>
      <c r="N1774" s="2"/>
      <c r="O1774" s="2"/>
      <c r="P1774" s="2"/>
      <c r="Q1774" s="2"/>
      <c r="R1774" s="2"/>
      <c r="S1774" s="2"/>
      <c r="T1774" s="2"/>
      <c r="U1774" s="2"/>
      <c r="V1774" s="2"/>
      <c r="W1774" s="2"/>
    </row>
    <row r="1775" spans="1:23" ht="75" customHeight="1" x14ac:dyDescent="0.15">
      <c r="A1775" s="2"/>
      <c r="B1775" s="2"/>
      <c r="C1775" s="2"/>
      <c r="D1775" s="2"/>
      <c r="E1775" s="2"/>
      <c r="F1775" s="2"/>
      <c r="G1775" s="2"/>
      <c r="H1775" s="2"/>
      <c r="I1775" s="2"/>
      <c r="J1775" s="2"/>
      <c r="K1775" s="2"/>
      <c r="L1775" s="2"/>
      <c r="M1775" s="2"/>
      <c r="N1775" s="2"/>
      <c r="O1775" s="2"/>
      <c r="P1775" s="2"/>
      <c r="Q1775" s="2"/>
      <c r="R1775" s="2"/>
      <c r="S1775" s="2"/>
      <c r="T1775" s="2"/>
      <c r="U1775" s="2"/>
      <c r="V1775" s="2"/>
      <c r="W1775" s="2"/>
    </row>
    <row r="1776" spans="1:23" ht="75" customHeight="1" x14ac:dyDescent="0.15">
      <c r="A1776" s="2"/>
      <c r="B1776" s="2"/>
      <c r="C1776" s="2"/>
      <c r="D1776" s="2"/>
      <c r="E1776" s="2"/>
      <c r="F1776" s="2"/>
      <c r="G1776" s="2"/>
      <c r="H1776" s="2"/>
      <c r="I1776" s="2"/>
      <c r="J1776" s="2"/>
      <c r="K1776" s="2"/>
      <c r="L1776" s="2"/>
      <c r="M1776" s="2"/>
      <c r="N1776" s="2"/>
      <c r="O1776" s="2"/>
      <c r="P1776" s="2"/>
      <c r="Q1776" s="2"/>
      <c r="R1776" s="2"/>
      <c r="S1776" s="2"/>
      <c r="T1776" s="2"/>
      <c r="U1776" s="2"/>
      <c r="V1776" s="2"/>
      <c r="W1776" s="2"/>
    </row>
    <row r="1777" spans="1:23" ht="75" customHeight="1" x14ac:dyDescent="0.15">
      <c r="A1777" s="2"/>
      <c r="B1777" s="2"/>
      <c r="C1777" s="2"/>
      <c r="D1777" s="2"/>
      <c r="E1777" s="2"/>
      <c r="F1777" s="2"/>
      <c r="G1777" s="2"/>
      <c r="H1777" s="2"/>
      <c r="I1777" s="2"/>
      <c r="J1777" s="2"/>
      <c r="K1777" s="2"/>
      <c r="L1777" s="2"/>
      <c r="M1777" s="2"/>
      <c r="N1777" s="2"/>
      <c r="O1777" s="2"/>
      <c r="P1777" s="2"/>
      <c r="Q1777" s="2"/>
      <c r="R1777" s="2"/>
      <c r="S1777" s="2"/>
      <c r="T1777" s="2"/>
      <c r="U1777" s="2"/>
      <c r="V1777" s="2"/>
      <c r="W1777" s="2"/>
    </row>
    <row r="1778" spans="1:23" ht="75" customHeight="1" x14ac:dyDescent="0.15">
      <c r="A1778" s="2"/>
      <c r="B1778" s="2"/>
      <c r="C1778" s="2"/>
      <c r="D1778" s="2"/>
      <c r="E1778" s="2"/>
      <c r="F1778" s="2"/>
      <c r="G1778" s="2"/>
      <c r="H1778" s="2"/>
      <c r="I1778" s="2"/>
      <c r="J1778" s="2"/>
      <c r="K1778" s="2"/>
      <c r="L1778" s="2"/>
      <c r="M1778" s="2"/>
      <c r="N1778" s="2"/>
      <c r="O1778" s="2"/>
      <c r="P1778" s="2"/>
      <c r="Q1778" s="2"/>
      <c r="R1778" s="2"/>
      <c r="S1778" s="2"/>
      <c r="T1778" s="2"/>
      <c r="U1778" s="2"/>
      <c r="V1778" s="2"/>
      <c r="W1778" s="2"/>
    </row>
    <row r="1779" spans="1:23" ht="75" customHeight="1" x14ac:dyDescent="0.15">
      <c r="A1779" s="2"/>
      <c r="B1779" s="2"/>
      <c r="C1779" s="2"/>
      <c r="D1779" s="2"/>
      <c r="E1779" s="2"/>
      <c r="F1779" s="2"/>
      <c r="G1779" s="2"/>
      <c r="H1779" s="2"/>
      <c r="I1779" s="2"/>
      <c r="J1779" s="2"/>
      <c r="K1779" s="2"/>
      <c r="L1779" s="2"/>
      <c r="M1779" s="2"/>
      <c r="N1779" s="2"/>
      <c r="O1779" s="2"/>
      <c r="P1779" s="2"/>
      <c r="Q1779" s="2"/>
      <c r="R1779" s="2"/>
      <c r="S1779" s="2"/>
      <c r="T1779" s="2"/>
      <c r="U1779" s="2"/>
      <c r="V1779" s="2"/>
      <c r="W1779" s="2"/>
    </row>
    <row r="1780" spans="1:23" ht="75" customHeight="1" x14ac:dyDescent="0.15">
      <c r="A1780" s="2"/>
      <c r="B1780" s="2"/>
      <c r="C1780" s="2"/>
      <c r="D1780" s="2"/>
      <c r="E1780" s="2"/>
      <c r="F1780" s="2"/>
      <c r="G1780" s="2"/>
      <c r="H1780" s="2"/>
      <c r="I1780" s="2"/>
      <c r="J1780" s="2"/>
      <c r="K1780" s="2"/>
      <c r="L1780" s="2"/>
      <c r="M1780" s="2"/>
      <c r="N1780" s="2"/>
      <c r="O1780" s="2"/>
      <c r="P1780" s="2"/>
      <c r="Q1780" s="2"/>
      <c r="R1780" s="2"/>
      <c r="S1780" s="2"/>
      <c r="T1780" s="2"/>
      <c r="U1780" s="2"/>
      <c r="V1780" s="2"/>
      <c r="W1780" s="2"/>
    </row>
    <row r="1781" spans="1:23" ht="75" customHeight="1" x14ac:dyDescent="0.15">
      <c r="A1781" s="2"/>
      <c r="B1781" s="2"/>
      <c r="C1781" s="2"/>
      <c r="D1781" s="2"/>
      <c r="E1781" s="2"/>
      <c r="F1781" s="2"/>
      <c r="G1781" s="2"/>
      <c r="H1781" s="2"/>
      <c r="I1781" s="2"/>
      <c r="J1781" s="2"/>
      <c r="K1781" s="2"/>
      <c r="L1781" s="2"/>
      <c r="M1781" s="2"/>
      <c r="N1781" s="2"/>
      <c r="O1781" s="2"/>
      <c r="P1781" s="2"/>
      <c r="Q1781" s="2"/>
      <c r="R1781" s="2"/>
      <c r="S1781" s="2"/>
      <c r="T1781" s="2"/>
      <c r="U1781" s="2"/>
      <c r="V1781" s="2"/>
      <c r="W1781" s="2"/>
    </row>
    <row r="1782" spans="1:23" ht="75" customHeight="1" x14ac:dyDescent="0.15">
      <c r="A1782" s="2"/>
      <c r="B1782" s="2"/>
      <c r="C1782" s="2"/>
      <c r="D1782" s="2"/>
      <c r="E1782" s="2"/>
      <c r="F1782" s="2"/>
      <c r="G1782" s="2"/>
      <c r="H1782" s="2"/>
      <c r="I1782" s="2"/>
      <c r="J1782" s="2"/>
      <c r="K1782" s="2"/>
      <c r="L1782" s="2"/>
      <c r="M1782" s="2"/>
      <c r="N1782" s="2"/>
      <c r="O1782" s="2"/>
      <c r="P1782" s="2"/>
      <c r="Q1782" s="2"/>
      <c r="R1782" s="2"/>
      <c r="S1782" s="2"/>
      <c r="T1782" s="2"/>
      <c r="U1782" s="2"/>
      <c r="V1782" s="2"/>
      <c r="W1782" s="2"/>
    </row>
    <row r="1783" spans="1:23" ht="75" customHeight="1" x14ac:dyDescent="0.15">
      <c r="A1783" s="2"/>
      <c r="B1783" s="2"/>
      <c r="C1783" s="2"/>
      <c r="D1783" s="2"/>
      <c r="E1783" s="2"/>
      <c r="F1783" s="2"/>
      <c r="G1783" s="2"/>
      <c r="H1783" s="2"/>
      <c r="I1783" s="2"/>
      <c r="J1783" s="2"/>
      <c r="K1783" s="2"/>
      <c r="L1783" s="2"/>
      <c r="M1783" s="2"/>
      <c r="N1783" s="2"/>
      <c r="O1783" s="2"/>
      <c r="P1783" s="2"/>
      <c r="Q1783" s="2"/>
      <c r="R1783" s="2"/>
      <c r="S1783" s="2"/>
      <c r="T1783" s="2"/>
      <c r="U1783" s="2"/>
      <c r="V1783" s="2"/>
      <c r="W1783" s="2"/>
    </row>
    <row r="1784" spans="1:23" ht="75" customHeight="1" x14ac:dyDescent="0.15">
      <c r="A1784" s="2"/>
      <c r="B1784" s="2"/>
      <c r="C1784" s="2"/>
      <c r="D1784" s="2"/>
      <c r="E1784" s="2"/>
      <c r="F1784" s="2"/>
      <c r="G1784" s="2"/>
      <c r="H1784" s="2"/>
      <c r="I1784" s="2"/>
      <c r="J1784" s="2"/>
      <c r="K1784" s="2"/>
      <c r="L1784" s="2"/>
      <c r="M1784" s="2"/>
      <c r="N1784" s="2"/>
      <c r="O1784" s="2"/>
      <c r="P1784" s="2"/>
      <c r="Q1784" s="2"/>
      <c r="R1784" s="2"/>
      <c r="S1784" s="2"/>
      <c r="T1784" s="2"/>
      <c r="U1784" s="2"/>
      <c r="V1784" s="2"/>
      <c r="W1784" s="2"/>
    </row>
    <row r="1785" spans="1:23" ht="75" customHeight="1" x14ac:dyDescent="0.15">
      <c r="A1785" s="2"/>
      <c r="B1785" s="2"/>
      <c r="C1785" s="2"/>
      <c r="D1785" s="2"/>
      <c r="E1785" s="2"/>
      <c r="F1785" s="2"/>
      <c r="G1785" s="2"/>
      <c r="H1785" s="2"/>
      <c r="I1785" s="2"/>
      <c r="J1785" s="2"/>
      <c r="K1785" s="2"/>
      <c r="L1785" s="2"/>
      <c r="M1785" s="2"/>
      <c r="N1785" s="2"/>
      <c r="O1785" s="2"/>
      <c r="P1785" s="2"/>
      <c r="Q1785" s="2"/>
      <c r="R1785" s="2"/>
      <c r="S1785" s="2"/>
      <c r="T1785" s="2"/>
      <c r="U1785" s="2"/>
      <c r="V1785" s="2"/>
      <c r="W1785" s="2"/>
    </row>
    <row r="1786" spans="1:23" ht="75" customHeight="1" x14ac:dyDescent="0.15">
      <c r="A1786" s="2"/>
      <c r="B1786" s="2"/>
      <c r="C1786" s="2"/>
      <c r="D1786" s="2"/>
      <c r="E1786" s="2"/>
      <c r="F1786" s="2"/>
      <c r="G1786" s="2"/>
      <c r="H1786" s="2"/>
      <c r="I1786" s="2"/>
      <c r="J1786" s="2"/>
      <c r="K1786" s="2"/>
      <c r="L1786" s="2"/>
      <c r="M1786" s="2"/>
      <c r="N1786" s="2"/>
      <c r="O1786" s="2"/>
      <c r="P1786" s="2"/>
      <c r="Q1786" s="2"/>
      <c r="R1786" s="2"/>
      <c r="S1786" s="2"/>
      <c r="T1786" s="2"/>
      <c r="U1786" s="2"/>
      <c r="V1786" s="2"/>
      <c r="W1786" s="2"/>
    </row>
    <row r="1787" spans="1:23" ht="75" customHeight="1" x14ac:dyDescent="0.15">
      <c r="A1787" s="2"/>
      <c r="B1787" s="2"/>
      <c r="C1787" s="2"/>
      <c r="D1787" s="2"/>
      <c r="E1787" s="2"/>
      <c r="F1787" s="2"/>
      <c r="G1787" s="2"/>
      <c r="H1787" s="2"/>
      <c r="I1787" s="2"/>
      <c r="J1787" s="2"/>
      <c r="K1787" s="2"/>
      <c r="L1787" s="2"/>
      <c r="M1787" s="2"/>
      <c r="N1787" s="2"/>
      <c r="O1787" s="2"/>
      <c r="P1787" s="2"/>
      <c r="Q1787" s="2"/>
      <c r="R1787" s="2"/>
      <c r="S1787" s="2"/>
      <c r="T1787" s="2"/>
      <c r="U1787" s="2"/>
      <c r="V1787" s="2"/>
      <c r="W1787" s="2"/>
    </row>
    <row r="1788" spans="1:23" ht="75" customHeight="1" x14ac:dyDescent="0.15">
      <c r="A1788" s="2"/>
      <c r="B1788" s="2"/>
      <c r="C1788" s="2"/>
      <c r="D1788" s="2"/>
      <c r="E1788" s="2"/>
      <c r="F1788" s="2"/>
      <c r="G1788" s="2"/>
      <c r="H1788" s="2"/>
      <c r="I1788" s="2"/>
      <c r="J1788" s="2"/>
      <c r="K1788" s="2"/>
      <c r="L1788" s="2"/>
      <c r="M1788" s="2"/>
      <c r="N1788" s="2"/>
      <c r="O1788" s="2"/>
      <c r="P1788" s="2"/>
      <c r="Q1788" s="2"/>
      <c r="R1788" s="2"/>
      <c r="S1788" s="2"/>
      <c r="T1788" s="2"/>
      <c r="U1788" s="2"/>
      <c r="V1788" s="2"/>
      <c r="W1788" s="2"/>
    </row>
    <row r="1789" spans="1:23" ht="75" customHeight="1" x14ac:dyDescent="0.15">
      <c r="A1789" s="2"/>
      <c r="B1789" s="2"/>
      <c r="C1789" s="2"/>
      <c r="D1789" s="2"/>
      <c r="E1789" s="2"/>
      <c r="F1789" s="2"/>
      <c r="G1789" s="2"/>
      <c r="H1789" s="2"/>
      <c r="I1789" s="2"/>
      <c r="J1789" s="2"/>
      <c r="K1789" s="2"/>
      <c r="L1789" s="2"/>
      <c r="M1789" s="2"/>
      <c r="N1789" s="2"/>
      <c r="O1789" s="2"/>
      <c r="P1789" s="2"/>
      <c r="Q1789" s="2"/>
      <c r="R1789" s="2"/>
      <c r="S1789" s="2"/>
      <c r="T1789" s="2"/>
      <c r="U1789" s="2"/>
      <c r="V1789" s="2"/>
      <c r="W1789" s="2"/>
    </row>
    <row r="1790" spans="1:23" ht="75" customHeight="1" x14ac:dyDescent="0.15">
      <c r="A1790" s="2"/>
      <c r="B1790" s="2"/>
      <c r="C1790" s="2"/>
      <c r="D1790" s="2"/>
      <c r="E1790" s="2"/>
      <c r="F1790" s="2"/>
      <c r="G1790" s="2"/>
      <c r="H1790" s="2"/>
      <c r="I1790" s="2"/>
      <c r="J1790" s="2"/>
      <c r="K1790" s="2"/>
      <c r="L1790" s="2"/>
      <c r="M1790" s="2"/>
      <c r="N1790" s="2"/>
      <c r="O1790" s="2"/>
      <c r="P1790" s="2"/>
      <c r="Q1790" s="2"/>
      <c r="R1790" s="2"/>
      <c r="S1790" s="2"/>
      <c r="T1790" s="2"/>
      <c r="U1790" s="2"/>
      <c r="V1790" s="2"/>
      <c r="W1790" s="2"/>
    </row>
    <row r="1791" spans="1:23" ht="75" customHeight="1" x14ac:dyDescent="0.15">
      <c r="A1791" s="2"/>
      <c r="B1791" s="2"/>
      <c r="C1791" s="2"/>
      <c r="D1791" s="2"/>
      <c r="E1791" s="2"/>
      <c r="F1791" s="2"/>
      <c r="G1791" s="2"/>
      <c r="H1791" s="2"/>
      <c r="I1791" s="2"/>
      <c r="J1791" s="2"/>
      <c r="K1791" s="2"/>
      <c r="L1791" s="2"/>
      <c r="M1791" s="2"/>
      <c r="N1791" s="2"/>
      <c r="O1791" s="2"/>
      <c r="P1791" s="2"/>
      <c r="Q1791" s="2"/>
      <c r="R1791" s="2"/>
      <c r="S1791" s="2"/>
      <c r="T1791" s="2"/>
      <c r="U1791" s="2"/>
      <c r="V1791" s="2"/>
      <c r="W1791" s="2"/>
    </row>
    <row r="1792" spans="1:23" ht="75" customHeight="1" x14ac:dyDescent="0.15">
      <c r="A1792" s="2"/>
      <c r="B1792" s="2"/>
      <c r="C1792" s="2"/>
      <c r="D1792" s="2"/>
      <c r="E1792" s="2"/>
      <c r="F1792" s="2"/>
      <c r="G1792" s="2"/>
      <c r="H1792" s="2"/>
      <c r="I1792" s="2"/>
      <c r="J1792" s="2"/>
      <c r="K1792" s="2"/>
      <c r="L1792" s="2"/>
      <c r="M1792" s="2"/>
      <c r="N1792" s="2"/>
      <c r="O1792" s="2"/>
      <c r="P1792" s="2"/>
      <c r="Q1792" s="2"/>
      <c r="R1792" s="2"/>
      <c r="S1792" s="2"/>
      <c r="T1792" s="2"/>
      <c r="U1792" s="2"/>
      <c r="V1792" s="2"/>
      <c r="W1792" s="2"/>
    </row>
    <row r="1793" spans="1:23" ht="75" customHeight="1" x14ac:dyDescent="0.15">
      <c r="A1793" s="2"/>
      <c r="B1793" s="2"/>
      <c r="C1793" s="2"/>
      <c r="D1793" s="2"/>
      <c r="E1793" s="2"/>
      <c r="F1793" s="2"/>
      <c r="G1793" s="2"/>
      <c r="H1793" s="2"/>
      <c r="I1793" s="2"/>
      <c r="J1793" s="2"/>
      <c r="K1793" s="2"/>
      <c r="L1793" s="2"/>
      <c r="M1793" s="2"/>
      <c r="N1793" s="2"/>
      <c r="O1793" s="2"/>
      <c r="P1793" s="2"/>
      <c r="Q1793" s="2"/>
      <c r="R1793" s="2"/>
      <c r="S1793" s="2"/>
      <c r="T1793" s="2"/>
      <c r="U1793" s="2"/>
      <c r="V1793" s="2"/>
      <c r="W1793" s="2"/>
    </row>
    <row r="1794" spans="1:23" ht="75" customHeight="1" x14ac:dyDescent="0.15">
      <c r="A1794" s="2"/>
      <c r="B1794" s="2"/>
      <c r="C1794" s="2"/>
      <c r="D1794" s="2"/>
      <c r="E1794" s="2"/>
      <c r="F1794" s="2"/>
      <c r="G1794" s="2"/>
      <c r="H1794" s="2"/>
      <c r="I1794" s="2"/>
      <c r="J1794" s="2"/>
      <c r="K1794" s="2"/>
      <c r="L1794" s="2"/>
      <c r="M1794" s="2"/>
      <c r="N1794" s="2"/>
      <c r="O1794" s="2"/>
      <c r="P1794" s="2"/>
      <c r="Q1794" s="2"/>
      <c r="R1794" s="2"/>
      <c r="S1794" s="2"/>
      <c r="T1794" s="2"/>
      <c r="U1794" s="2"/>
      <c r="V1794" s="2"/>
      <c r="W1794" s="2"/>
    </row>
    <row r="1795" spans="1:23" ht="75" customHeight="1" x14ac:dyDescent="0.15">
      <c r="A1795" s="2"/>
      <c r="B1795" s="2"/>
      <c r="C1795" s="2"/>
      <c r="D1795" s="2"/>
      <c r="E1795" s="2"/>
      <c r="F1795" s="2"/>
      <c r="G1795" s="2"/>
      <c r="H1795" s="2"/>
      <c r="I1795" s="2"/>
      <c r="J1795" s="2"/>
      <c r="K1795" s="2"/>
      <c r="L1795" s="2"/>
      <c r="M1795" s="2"/>
      <c r="N1795" s="2"/>
      <c r="O1795" s="2"/>
      <c r="P1795" s="2"/>
      <c r="Q1795" s="2"/>
      <c r="R1795" s="2"/>
      <c r="S1795" s="2"/>
      <c r="T1795" s="2"/>
      <c r="U1795" s="2"/>
      <c r="V1795" s="2"/>
      <c r="W1795" s="2"/>
    </row>
    <row r="1796" spans="1:23" ht="75" customHeight="1" x14ac:dyDescent="0.15">
      <c r="A1796" s="2"/>
      <c r="B1796" s="2"/>
      <c r="C1796" s="2"/>
      <c r="D1796" s="2"/>
      <c r="E1796" s="2"/>
      <c r="F1796" s="2"/>
      <c r="G1796" s="2"/>
      <c r="H1796" s="2"/>
      <c r="I1796" s="2"/>
      <c r="J1796" s="2"/>
      <c r="K1796" s="2"/>
      <c r="L1796" s="2"/>
      <c r="M1796" s="2"/>
      <c r="N1796" s="2"/>
      <c r="O1796" s="2"/>
      <c r="P1796" s="2"/>
      <c r="Q1796" s="2"/>
      <c r="R1796" s="2"/>
      <c r="S1796" s="2"/>
      <c r="T1796" s="2"/>
      <c r="U1796" s="2"/>
      <c r="V1796" s="2"/>
      <c r="W1796" s="2"/>
    </row>
    <row r="1797" spans="1:23" ht="75" customHeight="1" x14ac:dyDescent="0.15">
      <c r="A1797" s="2"/>
      <c r="B1797" s="2"/>
      <c r="C1797" s="2"/>
      <c r="D1797" s="2"/>
      <c r="E1797" s="2"/>
      <c r="F1797" s="2"/>
      <c r="G1797" s="2"/>
      <c r="H1797" s="2"/>
      <c r="I1797" s="2"/>
      <c r="J1797" s="2"/>
      <c r="K1797" s="2"/>
      <c r="L1797" s="2"/>
      <c r="M1797" s="2"/>
      <c r="N1797" s="2"/>
      <c r="O1797" s="2"/>
      <c r="P1797" s="2"/>
      <c r="Q1797" s="2"/>
      <c r="R1797" s="2"/>
      <c r="S1797" s="2"/>
      <c r="T1797" s="2"/>
      <c r="U1797" s="2"/>
      <c r="V1797" s="2"/>
      <c r="W1797" s="2"/>
    </row>
    <row r="1798" spans="1:23" ht="75" customHeight="1" x14ac:dyDescent="0.15">
      <c r="A1798" s="2"/>
      <c r="B1798" s="2"/>
      <c r="C1798" s="2"/>
      <c r="D1798" s="2"/>
      <c r="E1798" s="2"/>
      <c r="F1798" s="2"/>
      <c r="G1798" s="2"/>
      <c r="H1798" s="2"/>
      <c r="I1798" s="2"/>
      <c r="J1798" s="2"/>
      <c r="K1798" s="2"/>
      <c r="L1798" s="2"/>
      <c r="M1798" s="2"/>
      <c r="N1798" s="2"/>
      <c r="O1798" s="2"/>
      <c r="P1798" s="2"/>
      <c r="Q1798" s="2"/>
      <c r="R1798" s="2"/>
      <c r="S1798" s="2"/>
      <c r="T1798" s="2"/>
      <c r="U1798" s="2"/>
      <c r="V1798" s="2"/>
      <c r="W1798" s="2"/>
    </row>
    <row r="1799" spans="1:23" ht="75" customHeight="1" x14ac:dyDescent="0.15">
      <c r="A1799" s="2"/>
      <c r="B1799" s="2"/>
      <c r="C1799" s="2"/>
      <c r="D1799" s="2"/>
      <c r="E1799" s="2"/>
      <c r="F1799" s="2"/>
      <c r="G1799" s="2"/>
      <c r="H1799" s="2"/>
      <c r="I1799" s="2"/>
      <c r="J1799" s="2"/>
      <c r="K1799" s="2"/>
      <c r="L1799" s="2"/>
      <c r="M1799" s="2"/>
      <c r="N1799" s="2"/>
      <c r="O1799" s="2"/>
      <c r="P1799" s="2"/>
      <c r="Q1799" s="2"/>
      <c r="R1799" s="2"/>
      <c r="S1799" s="2"/>
      <c r="T1799" s="2"/>
      <c r="U1799" s="2"/>
      <c r="V1799" s="2"/>
      <c r="W1799" s="2"/>
    </row>
    <row r="1800" spans="1:23" ht="75" customHeight="1" x14ac:dyDescent="0.15">
      <c r="A1800" s="2"/>
      <c r="B1800" s="2"/>
      <c r="C1800" s="2"/>
      <c r="D1800" s="2"/>
      <c r="E1800" s="2"/>
      <c r="F1800" s="2"/>
      <c r="G1800" s="2"/>
      <c r="H1800" s="2"/>
      <c r="I1800" s="2"/>
      <c r="J1800" s="2"/>
      <c r="K1800" s="2"/>
      <c r="L1800" s="2"/>
      <c r="M1800" s="2"/>
      <c r="N1800" s="2"/>
      <c r="O1800" s="2"/>
      <c r="P1800" s="2"/>
      <c r="Q1800" s="2"/>
      <c r="R1800" s="2"/>
      <c r="S1800" s="2"/>
      <c r="T1800" s="2"/>
      <c r="U1800" s="2"/>
      <c r="V1800" s="2"/>
      <c r="W1800" s="2"/>
    </row>
    <row r="1801" spans="1:23" ht="75" customHeight="1" x14ac:dyDescent="0.15">
      <c r="A1801" s="2"/>
      <c r="B1801" s="2"/>
      <c r="C1801" s="2"/>
      <c r="D1801" s="2"/>
      <c r="E1801" s="2"/>
      <c r="F1801" s="2"/>
      <c r="G1801" s="2"/>
      <c r="H1801" s="2"/>
      <c r="I1801" s="2"/>
      <c r="J1801" s="2"/>
      <c r="K1801" s="2"/>
      <c r="L1801" s="2"/>
      <c r="M1801" s="2"/>
      <c r="N1801" s="2"/>
      <c r="O1801" s="2"/>
      <c r="P1801" s="2"/>
      <c r="Q1801" s="2"/>
      <c r="R1801" s="2"/>
      <c r="S1801" s="2"/>
      <c r="T1801" s="2"/>
      <c r="U1801" s="2"/>
      <c r="V1801" s="2"/>
      <c r="W1801" s="2"/>
    </row>
    <row r="1802" spans="1:23" ht="75" customHeight="1" x14ac:dyDescent="0.15">
      <c r="A1802" s="2"/>
      <c r="B1802" s="2"/>
      <c r="C1802" s="2"/>
      <c r="D1802" s="2"/>
      <c r="E1802" s="2"/>
      <c r="F1802" s="2"/>
      <c r="G1802" s="2"/>
      <c r="H1802" s="2"/>
      <c r="I1802" s="2"/>
      <c r="J1802" s="2"/>
      <c r="K1802" s="2"/>
      <c r="L1802" s="2"/>
      <c r="M1802" s="2"/>
      <c r="N1802" s="2"/>
      <c r="O1802" s="2"/>
      <c r="P1802" s="2"/>
      <c r="Q1802" s="2"/>
      <c r="R1802" s="2"/>
      <c r="S1802" s="2"/>
      <c r="T1802" s="2"/>
      <c r="U1802" s="2"/>
      <c r="V1802" s="2"/>
      <c r="W1802" s="2"/>
    </row>
    <row r="1803" spans="1:23" ht="75" customHeight="1" x14ac:dyDescent="0.15">
      <c r="A1803" s="2"/>
      <c r="B1803" s="2"/>
      <c r="C1803" s="2"/>
      <c r="D1803" s="2"/>
      <c r="E1803" s="2"/>
      <c r="F1803" s="2"/>
      <c r="G1803" s="2"/>
      <c r="H1803" s="2"/>
      <c r="I1803" s="2"/>
      <c r="J1803" s="2"/>
      <c r="K1803" s="2"/>
      <c r="L1803" s="2"/>
      <c r="M1803" s="2"/>
      <c r="N1803" s="2"/>
      <c r="O1803" s="2"/>
      <c r="P1803" s="2"/>
      <c r="Q1803" s="2"/>
      <c r="R1803" s="2"/>
      <c r="S1803" s="2"/>
      <c r="T1803" s="2"/>
      <c r="U1803" s="2"/>
      <c r="V1803" s="2"/>
      <c r="W1803" s="2"/>
    </row>
    <row r="1804" spans="1:23" ht="75" customHeight="1" x14ac:dyDescent="0.15">
      <c r="A1804" s="2"/>
      <c r="B1804" s="2"/>
      <c r="C1804" s="2"/>
      <c r="D1804" s="2"/>
      <c r="E1804" s="2"/>
      <c r="F1804" s="2"/>
      <c r="G1804" s="2"/>
      <c r="H1804" s="2"/>
      <c r="I1804" s="2"/>
      <c r="J1804" s="2"/>
      <c r="K1804" s="2"/>
      <c r="L1804" s="2"/>
      <c r="M1804" s="2"/>
      <c r="N1804" s="2"/>
      <c r="O1804" s="2"/>
      <c r="P1804" s="2"/>
      <c r="Q1804" s="2"/>
      <c r="R1804" s="2"/>
      <c r="S1804" s="2"/>
      <c r="T1804" s="2"/>
      <c r="U1804" s="2"/>
      <c r="V1804" s="2"/>
      <c r="W1804" s="2"/>
    </row>
    <row r="1805" spans="1:23" ht="75" customHeight="1" x14ac:dyDescent="0.15">
      <c r="A1805" s="2"/>
      <c r="B1805" s="2"/>
      <c r="C1805" s="2"/>
      <c r="D1805" s="2"/>
      <c r="E1805" s="2"/>
      <c r="F1805" s="2"/>
      <c r="G1805" s="2"/>
      <c r="H1805" s="2"/>
      <c r="I1805" s="2"/>
      <c r="J1805" s="2"/>
      <c r="K1805" s="2"/>
      <c r="L1805" s="2"/>
      <c r="M1805" s="2"/>
      <c r="N1805" s="2"/>
      <c r="O1805" s="2"/>
      <c r="P1805" s="2"/>
      <c r="Q1805" s="2"/>
      <c r="R1805" s="2"/>
      <c r="S1805" s="2"/>
      <c r="T1805" s="2"/>
      <c r="U1805" s="2"/>
      <c r="V1805" s="2"/>
      <c r="W1805" s="2"/>
    </row>
    <row r="1806" spans="1:23" ht="75" customHeight="1" x14ac:dyDescent="0.15">
      <c r="A1806" s="2"/>
      <c r="B1806" s="2"/>
      <c r="C1806" s="2"/>
      <c r="D1806" s="2"/>
      <c r="E1806" s="2"/>
      <c r="F1806" s="2"/>
      <c r="G1806" s="2"/>
      <c r="H1806" s="2"/>
      <c r="I1806" s="2"/>
      <c r="J1806" s="2"/>
      <c r="K1806" s="2"/>
      <c r="L1806" s="2"/>
      <c r="M1806" s="2"/>
      <c r="N1806" s="2"/>
      <c r="O1806" s="2"/>
      <c r="P1806" s="2"/>
      <c r="Q1806" s="2"/>
      <c r="R1806" s="2"/>
      <c r="S1806" s="2"/>
      <c r="T1806" s="2"/>
      <c r="U1806" s="2"/>
      <c r="V1806" s="2"/>
      <c r="W1806" s="2"/>
    </row>
    <row r="1807" spans="1:23" ht="75" customHeight="1" x14ac:dyDescent="0.15">
      <c r="A1807" s="2"/>
      <c r="B1807" s="2"/>
      <c r="C1807" s="2"/>
      <c r="D1807" s="2"/>
      <c r="E1807" s="2"/>
      <c r="F1807" s="2"/>
      <c r="G1807" s="2"/>
      <c r="H1807" s="2"/>
      <c r="I1807" s="2"/>
      <c r="J1807" s="2"/>
      <c r="K1807" s="2"/>
      <c r="L1807" s="2"/>
      <c r="M1807" s="2"/>
      <c r="N1807" s="2"/>
      <c r="O1807" s="2"/>
      <c r="P1807" s="2"/>
      <c r="Q1807" s="2"/>
      <c r="R1807" s="2"/>
      <c r="S1807" s="2"/>
      <c r="T1807" s="2"/>
      <c r="U1807" s="2"/>
      <c r="V1807" s="2"/>
      <c r="W1807" s="2"/>
    </row>
    <row r="1808" spans="1:23" ht="75" customHeight="1" x14ac:dyDescent="0.15">
      <c r="A1808" s="2"/>
      <c r="B1808" s="2"/>
      <c r="C1808" s="2"/>
      <c r="D1808" s="2"/>
      <c r="E1808" s="2"/>
      <c r="F1808" s="2"/>
      <c r="G1808" s="2"/>
      <c r="H1808" s="2"/>
      <c r="I1808" s="2"/>
      <c r="J1808" s="2"/>
      <c r="K1808" s="2"/>
      <c r="L1808" s="2"/>
      <c r="M1808" s="2"/>
      <c r="N1808" s="2"/>
      <c r="O1808" s="2"/>
      <c r="P1808" s="2"/>
      <c r="Q1808" s="2"/>
      <c r="R1808" s="2"/>
      <c r="S1808" s="2"/>
      <c r="T1808" s="2"/>
      <c r="U1808" s="2"/>
      <c r="V1808" s="2"/>
      <c r="W1808" s="2"/>
    </row>
    <row r="1809" spans="1:23" ht="75" customHeight="1" x14ac:dyDescent="0.15">
      <c r="A1809" s="2"/>
      <c r="B1809" s="2"/>
      <c r="C1809" s="2"/>
      <c r="D1809" s="2"/>
      <c r="E1809" s="2"/>
      <c r="F1809" s="2"/>
      <c r="G1809" s="2"/>
      <c r="H1809" s="2"/>
      <c r="I1809" s="2"/>
      <c r="J1809" s="2"/>
      <c r="K1809" s="2"/>
      <c r="L1809" s="2"/>
      <c r="M1809" s="2"/>
      <c r="N1809" s="2"/>
      <c r="O1809" s="2"/>
      <c r="P1809" s="2"/>
      <c r="Q1809" s="2"/>
      <c r="R1809" s="2"/>
      <c r="S1809" s="2"/>
      <c r="T1809" s="2"/>
      <c r="U1809" s="2"/>
      <c r="V1809" s="2"/>
      <c r="W1809" s="2"/>
    </row>
    <row r="1810" spans="1:23" ht="75" customHeight="1" x14ac:dyDescent="0.15">
      <c r="A1810" s="2"/>
      <c r="B1810" s="2"/>
      <c r="C1810" s="2"/>
      <c r="D1810" s="2"/>
      <c r="E1810" s="2"/>
      <c r="F1810" s="2"/>
      <c r="G1810" s="2"/>
      <c r="H1810" s="2"/>
      <c r="I1810" s="2"/>
      <c r="J1810" s="2"/>
      <c r="K1810" s="2"/>
      <c r="L1810" s="2"/>
      <c r="M1810" s="2"/>
      <c r="N1810" s="2"/>
      <c r="O1810" s="2"/>
      <c r="P1810" s="2"/>
      <c r="Q1810" s="2"/>
      <c r="R1810" s="2"/>
      <c r="S1810" s="2"/>
      <c r="T1810" s="2"/>
      <c r="U1810" s="2"/>
      <c r="V1810" s="2"/>
      <c r="W1810" s="2"/>
    </row>
    <row r="1811" spans="1:23" ht="75" customHeight="1" x14ac:dyDescent="0.15">
      <c r="A1811" s="2"/>
      <c r="B1811" s="2"/>
      <c r="C1811" s="2"/>
      <c r="D1811" s="2"/>
      <c r="E1811" s="2"/>
      <c r="F1811" s="2"/>
      <c r="G1811" s="2"/>
      <c r="H1811" s="2"/>
      <c r="I1811" s="2"/>
      <c r="J1811" s="2"/>
      <c r="K1811" s="2"/>
      <c r="L1811" s="2"/>
      <c r="M1811" s="2"/>
      <c r="N1811" s="2"/>
      <c r="O1811" s="2"/>
      <c r="P1811" s="2"/>
      <c r="Q1811" s="2"/>
      <c r="R1811" s="2"/>
      <c r="S1811" s="2"/>
      <c r="T1811" s="2"/>
      <c r="U1811" s="2"/>
      <c r="V1811" s="2"/>
      <c r="W1811" s="2"/>
    </row>
    <row r="1812" spans="1:23" ht="75" customHeight="1" x14ac:dyDescent="0.15">
      <c r="A1812" s="2"/>
      <c r="B1812" s="2"/>
      <c r="C1812" s="2"/>
      <c r="D1812" s="2"/>
      <c r="E1812" s="2"/>
      <c r="F1812" s="2"/>
      <c r="G1812" s="2"/>
      <c r="H1812" s="2"/>
      <c r="I1812" s="2"/>
      <c r="J1812" s="2"/>
      <c r="K1812" s="2"/>
      <c r="L1812" s="2"/>
      <c r="M1812" s="2"/>
      <c r="N1812" s="2"/>
      <c r="O1812" s="2"/>
      <c r="P1812" s="2"/>
      <c r="Q1812" s="2"/>
      <c r="R1812" s="2"/>
      <c r="S1812" s="2"/>
      <c r="T1812" s="2"/>
      <c r="U1812" s="2"/>
      <c r="V1812" s="2"/>
      <c r="W1812" s="2"/>
    </row>
    <row r="1813" spans="1:23" ht="75" customHeight="1" x14ac:dyDescent="0.15">
      <c r="A1813" s="2"/>
      <c r="B1813" s="2"/>
      <c r="C1813" s="2"/>
      <c r="D1813" s="2"/>
      <c r="E1813" s="2"/>
      <c r="F1813" s="2"/>
      <c r="G1813" s="2"/>
      <c r="H1813" s="2"/>
      <c r="I1813" s="2"/>
      <c r="J1813" s="2"/>
      <c r="K1813" s="2"/>
      <c r="L1813" s="2"/>
      <c r="M1813" s="2"/>
      <c r="N1813" s="2"/>
      <c r="O1813" s="2"/>
      <c r="P1813" s="2"/>
      <c r="Q1813" s="2"/>
      <c r="R1813" s="2"/>
      <c r="S1813" s="2"/>
      <c r="T1813" s="2"/>
      <c r="U1813" s="2"/>
      <c r="V1813" s="2"/>
      <c r="W1813" s="2"/>
    </row>
    <row r="1814" spans="1:23" ht="75" customHeight="1" x14ac:dyDescent="0.15">
      <c r="A1814" s="2"/>
      <c r="B1814" s="2"/>
      <c r="C1814" s="2"/>
      <c r="D1814" s="2"/>
      <c r="E1814" s="2"/>
      <c r="F1814" s="2"/>
      <c r="G1814" s="2"/>
      <c r="H1814" s="2"/>
      <c r="I1814" s="2"/>
      <c r="J1814" s="2"/>
      <c r="K1814" s="2"/>
      <c r="L1814" s="2"/>
      <c r="M1814" s="2"/>
      <c r="N1814" s="2"/>
      <c r="O1814" s="2"/>
      <c r="P1814" s="2"/>
      <c r="Q1814" s="2"/>
      <c r="R1814" s="2"/>
      <c r="S1814" s="2"/>
      <c r="T1814" s="2"/>
      <c r="U1814" s="2"/>
      <c r="V1814" s="2"/>
      <c r="W1814" s="2"/>
    </row>
    <row r="1815" spans="1:23" ht="75" customHeight="1" x14ac:dyDescent="0.15">
      <c r="A1815" s="2"/>
      <c r="B1815" s="2"/>
      <c r="C1815" s="2"/>
      <c r="D1815" s="2"/>
      <c r="E1815" s="2"/>
      <c r="F1815" s="2"/>
      <c r="G1815" s="2"/>
      <c r="H1815" s="2"/>
      <c r="I1815" s="2"/>
      <c r="J1815" s="2"/>
      <c r="K1815" s="2"/>
      <c r="L1815" s="2"/>
      <c r="M1815" s="2"/>
      <c r="N1815" s="2"/>
      <c r="O1815" s="2"/>
      <c r="P1815" s="2"/>
      <c r="Q1815" s="2"/>
      <c r="R1815" s="2"/>
      <c r="S1815" s="2"/>
      <c r="T1815" s="2"/>
      <c r="U1815" s="2"/>
      <c r="V1815" s="2"/>
      <c r="W1815" s="2"/>
    </row>
    <row r="1816" spans="1:23" ht="75" customHeight="1" x14ac:dyDescent="0.15">
      <c r="A1816" s="2"/>
      <c r="B1816" s="2"/>
      <c r="C1816" s="2"/>
      <c r="D1816" s="2"/>
      <c r="E1816" s="2"/>
      <c r="F1816" s="2"/>
      <c r="G1816" s="2"/>
      <c r="H1816" s="2"/>
      <c r="I1816" s="2"/>
      <c r="J1816" s="2"/>
      <c r="K1816" s="2"/>
      <c r="L1816" s="2"/>
      <c r="M1816" s="2"/>
      <c r="N1816" s="2"/>
      <c r="O1816" s="2"/>
      <c r="P1816" s="2"/>
      <c r="Q1816" s="2"/>
      <c r="R1816" s="2"/>
      <c r="S1816" s="2"/>
      <c r="T1816" s="2"/>
      <c r="U1816" s="2"/>
      <c r="V1816" s="2"/>
      <c r="W1816" s="2"/>
    </row>
    <row r="1817" spans="1:23" ht="75" customHeight="1" x14ac:dyDescent="0.15">
      <c r="A1817" s="2"/>
      <c r="B1817" s="2"/>
      <c r="C1817" s="2"/>
      <c r="D1817" s="2"/>
      <c r="E1817" s="2"/>
      <c r="F1817" s="2"/>
      <c r="G1817" s="2"/>
      <c r="H1817" s="2"/>
      <c r="I1817" s="2"/>
      <c r="J1817" s="2"/>
      <c r="K1817" s="2"/>
      <c r="L1817" s="2"/>
      <c r="M1817" s="2"/>
      <c r="N1817" s="2"/>
      <c r="O1817" s="2"/>
      <c r="P1817" s="2"/>
      <c r="Q1817" s="2"/>
      <c r="R1817" s="2"/>
      <c r="S1817" s="2"/>
      <c r="T1817" s="2"/>
      <c r="U1817" s="2"/>
      <c r="V1817" s="2"/>
      <c r="W1817" s="2"/>
    </row>
    <row r="1818" spans="1:23" ht="75" customHeight="1" x14ac:dyDescent="0.15">
      <c r="A1818" s="2"/>
      <c r="B1818" s="2"/>
      <c r="C1818" s="2"/>
      <c r="D1818" s="2"/>
      <c r="E1818" s="2"/>
      <c r="F1818" s="2"/>
      <c r="G1818" s="2"/>
      <c r="H1818" s="2"/>
      <c r="I1818" s="2"/>
      <c r="J1818" s="2"/>
      <c r="K1818" s="2"/>
      <c r="L1818" s="2"/>
      <c r="M1818" s="2"/>
      <c r="N1818" s="2"/>
      <c r="O1818" s="2"/>
      <c r="P1818" s="2"/>
      <c r="Q1818" s="2"/>
      <c r="R1818" s="2"/>
      <c r="S1818" s="2"/>
      <c r="T1818" s="2"/>
      <c r="U1818" s="2"/>
      <c r="V1818" s="2"/>
      <c r="W1818" s="2"/>
    </row>
    <row r="1819" spans="1:23" ht="75" customHeight="1" x14ac:dyDescent="0.15">
      <c r="A1819" s="2"/>
      <c r="B1819" s="2"/>
      <c r="C1819" s="2"/>
      <c r="D1819" s="2"/>
      <c r="E1819" s="2"/>
      <c r="F1819" s="2"/>
      <c r="G1819" s="2"/>
      <c r="H1819" s="2"/>
      <c r="I1819" s="2"/>
      <c r="J1819" s="2"/>
      <c r="K1819" s="2"/>
      <c r="L1819" s="2"/>
      <c r="M1819" s="2"/>
      <c r="N1819" s="2"/>
      <c r="O1819" s="2"/>
      <c r="P1819" s="2"/>
      <c r="Q1819" s="2"/>
      <c r="R1819" s="2"/>
      <c r="S1819" s="2"/>
      <c r="T1819" s="2"/>
      <c r="U1819" s="2"/>
      <c r="V1819" s="2"/>
      <c r="W1819" s="2"/>
    </row>
    <row r="1820" spans="1:23" ht="75" customHeight="1" x14ac:dyDescent="0.15">
      <c r="A1820" s="2"/>
      <c r="B1820" s="2"/>
      <c r="C1820" s="2"/>
      <c r="D1820" s="2"/>
      <c r="E1820" s="2"/>
      <c r="F1820" s="2"/>
      <c r="G1820" s="2"/>
      <c r="H1820" s="2"/>
      <c r="I1820" s="2"/>
      <c r="J1820" s="2"/>
      <c r="K1820" s="2"/>
      <c r="L1820" s="2"/>
      <c r="M1820" s="2"/>
      <c r="N1820" s="2"/>
      <c r="O1820" s="2"/>
      <c r="P1820" s="2"/>
      <c r="Q1820" s="2"/>
      <c r="R1820" s="2"/>
      <c r="S1820" s="2"/>
      <c r="T1820" s="2"/>
      <c r="U1820" s="2"/>
      <c r="V1820" s="2"/>
      <c r="W1820" s="2"/>
    </row>
    <row r="1821" spans="1:23" ht="75" customHeight="1" x14ac:dyDescent="0.15">
      <c r="A1821" s="2"/>
      <c r="B1821" s="2"/>
      <c r="C1821" s="2"/>
      <c r="D1821" s="2"/>
      <c r="E1821" s="2"/>
      <c r="F1821" s="2"/>
      <c r="G1821" s="2"/>
      <c r="H1821" s="2"/>
      <c r="I1821" s="2"/>
      <c r="J1821" s="2"/>
      <c r="K1821" s="2"/>
      <c r="L1821" s="2"/>
      <c r="M1821" s="2"/>
      <c r="N1821" s="2"/>
      <c r="O1821" s="2"/>
      <c r="P1821" s="2"/>
      <c r="Q1821" s="2"/>
      <c r="R1821" s="2"/>
      <c r="S1821" s="2"/>
      <c r="T1821" s="2"/>
      <c r="U1821" s="2"/>
      <c r="V1821" s="2"/>
      <c r="W1821" s="2"/>
    </row>
    <row r="1822" spans="1:23" ht="75" customHeight="1" x14ac:dyDescent="0.15">
      <c r="A1822" s="2"/>
      <c r="B1822" s="2"/>
      <c r="C1822" s="2"/>
      <c r="D1822" s="2"/>
      <c r="E1822" s="2"/>
      <c r="F1822" s="2"/>
      <c r="G1822" s="2"/>
      <c r="H1822" s="2"/>
      <c r="I1822" s="2"/>
      <c r="J1822" s="2"/>
      <c r="K1822" s="2"/>
      <c r="L1822" s="2"/>
      <c r="M1822" s="2"/>
      <c r="N1822" s="2"/>
      <c r="O1822" s="2"/>
      <c r="P1822" s="2"/>
      <c r="Q1822" s="2"/>
      <c r="R1822" s="2"/>
      <c r="S1822" s="2"/>
      <c r="T1822" s="2"/>
      <c r="U1822" s="2"/>
      <c r="V1822" s="2"/>
      <c r="W1822" s="2"/>
    </row>
    <row r="1823" spans="1:23" ht="75" customHeight="1" x14ac:dyDescent="0.15">
      <c r="A1823" s="2"/>
      <c r="B1823" s="2"/>
      <c r="C1823" s="2"/>
      <c r="D1823" s="2"/>
      <c r="E1823" s="2"/>
      <c r="F1823" s="2"/>
      <c r="G1823" s="2"/>
      <c r="H1823" s="2"/>
      <c r="I1823" s="2"/>
      <c r="J1823" s="2"/>
      <c r="K1823" s="2"/>
      <c r="L1823" s="2"/>
      <c r="M1823" s="2"/>
      <c r="N1823" s="2"/>
      <c r="O1823" s="2"/>
      <c r="P1823" s="2"/>
      <c r="Q1823" s="2"/>
      <c r="R1823" s="2"/>
      <c r="S1823" s="2"/>
      <c r="T1823" s="2"/>
      <c r="U1823" s="2"/>
      <c r="V1823" s="2"/>
      <c r="W1823" s="2"/>
    </row>
    <row r="1824" spans="1:23" ht="75" customHeight="1" x14ac:dyDescent="0.15">
      <c r="A1824" s="2"/>
      <c r="B1824" s="2"/>
      <c r="C1824" s="2"/>
      <c r="D1824" s="2"/>
      <c r="E1824" s="2"/>
      <c r="F1824" s="2"/>
      <c r="G1824" s="2"/>
      <c r="H1824" s="2"/>
      <c r="I1824" s="2"/>
      <c r="J1824" s="2"/>
      <c r="K1824" s="2"/>
      <c r="L1824" s="2"/>
      <c r="M1824" s="2"/>
      <c r="N1824" s="2"/>
      <c r="O1824" s="2"/>
      <c r="P1824" s="2"/>
      <c r="Q1824" s="2"/>
      <c r="R1824" s="2"/>
      <c r="S1824" s="2"/>
      <c r="T1824" s="2"/>
      <c r="U1824" s="2"/>
      <c r="V1824" s="2"/>
      <c r="W1824" s="2"/>
    </row>
    <row r="1825" spans="1:23" ht="75" customHeight="1" x14ac:dyDescent="0.15">
      <c r="A1825" s="2"/>
      <c r="B1825" s="2"/>
      <c r="C1825" s="2"/>
      <c r="D1825" s="2"/>
      <c r="E1825" s="2"/>
      <c r="F1825" s="2"/>
      <c r="G1825" s="2"/>
      <c r="H1825" s="2"/>
      <c r="I1825" s="2"/>
      <c r="J1825" s="2"/>
      <c r="K1825" s="2"/>
      <c r="L1825" s="2"/>
      <c r="M1825" s="2"/>
      <c r="N1825" s="2"/>
      <c r="O1825" s="2"/>
      <c r="P1825" s="2"/>
      <c r="Q1825" s="2"/>
      <c r="R1825" s="2"/>
      <c r="S1825" s="2"/>
      <c r="T1825" s="2"/>
      <c r="U1825" s="2"/>
      <c r="V1825" s="2"/>
      <c r="W1825" s="2"/>
    </row>
    <row r="1826" spans="1:23" ht="75" customHeight="1" x14ac:dyDescent="0.15">
      <c r="A1826" s="2"/>
      <c r="B1826" s="2"/>
      <c r="C1826" s="2"/>
      <c r="D1826" s="2"/>
      <c r="E1826" s="2"/>
      <c r="F1826" s="2"/>
      <c r="G1826" s="2"/>
      <c r="H1826" s="2"/>
      <c r="I1826" s="2"/>
      <c r="J1826" s="2"/>
      <c r="K1826" s="2"/>
      <c r="L1826" s="2"/>
      <c r="M1826" s="2"/>
      <c r="N1826" s="2"/>
      <c r="O1826" s="2"/>
      <c r="P1826" s="2"/>
      <c r="Q1826" s="2"/>
      <c r="R1826" s="2"/>
      <c r="S1826" s="2"/>
      <c r="T1826" s="2"/>
      <c r="U1826" s="2"/>
      <c r="V1826" s="2"/>
      <c r="W1826" s="2"/>
    </row>
    <row r="1827" spans="1:23" ht="75" customHeight="1" x14ac:dyDescent="0.15">
      <c r="A1827" s="2"/>
      <c r="B1827" s="2"/>
      <c r="C1827" s="2"/>
      <c r="D1827" s="2"/>
      <c r="E1827" s="2"/>
      <c r="F1827" s="2"/>
      <c r="G1827" s="2"/>
      <c r="H1827" s="2"/>
      <c r="I1827" s="2"/>
      <c r="J1827" s="2"/>
      <c r="K1827" s="2"/>
      <c r="L1827" s="2"/>
      <c r="M1827" s="2"/>
      <c r="N1827" s="2"/>
      <c r="O1827" s="2"/>
      <c r="P1827" s="2"/>
      <c r="Q1827" s="2"/>
      <c r="R1827" s="2"/>
      <c r="S1827" s="2"/>
      <c r="T1827" s="2"/>
      <c r="U1827" s="2"/>
      <c r="V1827" s="2"/>
      <c r="W1827" s="2"/>
    </row>
    <row r="1828" spans="1:23" ht="75" customHeight="1" x14ac:dyDescent="0.15">
      <c r="A1828" s="2"/>
      <c r="B1828" s="2"/>
      <c r="C1828" s="2"/>
      <c r="D1828" s="2"/>
      <c r="E1828" s="2"/>
      <c r="F1828" s="2"/>
      <c r="G1828" s="2"/>
      <c r="H1828" s="2"/>
      <c r="I1828" s="2"/>
      <c r="J1828" s="2"/>
      <c r="K1828" s="2"/>
      <c r="L1828" s="2"/>
      <c r="M1828" s="2"/>
      <c r="N1828" s="2"/>
      <c r="O1828" s="2"/>
      <c r="P1828" s="2"/>
      <c r="Q1828" s="2"/>
      <c r="R1828" s="2"/>
      <c r="S1828" s="2"/>
      <c r="T1828" s="2"/>
      <c r="U1828" s="2"/>
      <c r="V1828" s="2"/>
      <c r="W1828" s="2"/>
    </row>
    <row r="1829" spans="1:23" ht="75" customHeight="1" x14ac:dyDescent="0.15">
      <c r="A1829" s="2"/>
      <c r="B1829" s="2"/>
      <c r="C1829" s="2"/>
      <c r="D1829" s="2"/>
      <c r="E1829" s="2"/>
      <c r="F1829" s="2"/>
      <c r="G1829" s="2"/>
      <c r="H1829" s="2"/>
      <c r="I1829" s="2"/>
      <c r="J1829" s="2"/>
      <c r="K1829" s="2"/>
      <c r="L1829" s="2"/>
      <c r="M1829" s="2"/>
      <c r="N1829" s="2"/>
      <c r="O1829" s="2"/>
      <c r="P1829" s="2"/>
      <c r="Q1829" s="2"/>
      <c r="R1829" s="2"/>
      <c r="S1829" s="2"/>
      <c r="T1829" s="2"/>
      <c r="U1829" s="2"/>
      <c r="V1829" s="2"/>
      <c r="W1829" s="2"/>
    </row>
    <row r="1830" spans="1:23" ht="75" customHeight="1" x14ac:dyDescent="0.15">
      <c r="A1830" s="2"/>
      <c r="B1830" s="2"/>
      <c r="C1830" s="2"/>
      <c r="D1830" s="2"/>
      <c r="E1830" s="2"/>
      <c r="F1830" s="2"/>
      <c r="G1830" s="2"/>
      <c r="H1830" s="2"/>
      <c r="I1830" s="2"/>
      <c r="J1830" s="2"/>
      <c r="K1830" s="2"/>
      <c r="L1830" s="2"/>
      <c r="M1830" s="2"/>
      <c r="N1830" s="2"/>
      <c r="O1830" s="2"/>
      <c r="P1830" s="2"/>
      <c r="Q1830" s="2"/>
      <c r="R1830" s="2"/>
      <c r="S1830" s="2"/>
      <c r="T1830" s="2"/>
      <c r="U1830" s="2"/>
      <c r="V1830" s="2"/>
      <c r="W1830" s="2"/>
    </row>
    <row r="1831" spans="1:23" ht="75" customHeight="1" x14ac:dyDescent="0.15">
      <c r="A1831" s="2"/>
      <c r="B1831" s="2"/>
      <c r="C1831" s="2"/>
      <c r="D1831" s="2"/>
      <c r="E1831" s="2"/>
      <c r="F1831" s="2"/>
      <c r="G1831" s="2"/>
      <c r="H1831" s="2"/>
      <c r="I1831" s="2"/>
      <c r="J1831" s="2"/>
      <c r="K1831" s="2"/>
      <c r="L1831" s="2"/>
      <c r="M1831" s="2"/>
      <c r="N1831" s="2"/>
      <c r="O1831" s="2"/>
      <c r="P1831" s="2"/>
      <c r="Q1831" s="2"/>
      <c r="R1831" s="2"/>
      <c r="S1831" s="2"/>
      <c r="T1831" s="2"/>
      <c r="U1831" s="2"/>
      <c r="V1831" s="2"/>
      <c r="W1831" s="2"/>
    </row>
    <row r="1832" spans="1:23" ht="75" customHeight="1" x14ac:dyDescent="0.15">
      <c r="A1832" s="2"/>
      <c r="B1832" s="2"/>
      <c r="C1832" s="2"/>
      <c r="D1832" s="2"/>
      <c r="E1832" s="2"/>
      <c r="F1832" s="2"/>
      <c r="G1832" s="2"/>
      <c r="H1832" s="2"/>
      <c r="I1832" s="2"/>
      <c r="J1832" s="2"/>
      <c r="K1832" s="2"/>
      <c r="L1832" s="2"/>
      <c r="M1832" s="2"/>
      <c r="N1832" s="2"/>
      <c r="O1832" s="2"/>
      <c r="P1832" s="2"/>
      <c r="Q1832" s="2"/>
      <c r="R1832" s="2"/>
      <c r="S1832" s="2"/>
      <c r="T1832" s="2"/>
      <c r="U1832" s="2"/>
      <c r="V1832" s="2"/>
      <c r="W1832" s="2"/>
    </row>
    <row r="1833" spans="1:23" ht="75" customHeight="1" x14ac:dyDescent="0.15">
      <c r="A1833" s="2"/>
      <c r="B1833" s="2"/>
      <c r="C1833" s="2"/>
      <c r="D1833" s="2"/>
      <c r="E1833" s="2"/>
      <c r="F1833" s="2"/>
      <c r="G1833" s="2"/>
      <c r="H1833" s="2"/>
      <c r="I1833" s="2"/>
      <c r="J1833" s="2"/>
      <c r="K1833" s="2"/>
      <c r="L1833" s="2"/>
      <c r="M1833" s="2"/>
      <c r="N1833" s="2"/>
      <c r="O1833" s="2"/>
      <c r="P1833" s="2"/>
      <c r="Q1833" s="2"/>
      <c r="R1833" s="2"/>
      <c r="S1833" s="2"/>
      <c r="T1833" s="2"/>
      <c r="U1833" s="2"/>
      <c r="V1833" s="2"/>
      <c r="W1833" s="2"/>
    </row>
    <row r="1834" spans="1:23" ht="75" customHeight="1" x14ac:dyDescent="0.15">
      <c r="A1834" s="2"/>
      <c r="B1834" s="2"/>
      <c r="C1834" s="2"/>
      <c r="D1834" s="2"/>
      <c r="E1834" s="2"/>
      <c r="F1834" s="2"/>
      <c r="G1834" s="2"/>
      <c r="H1834" s="2"/>
      <c r="I1834" s="2"/>
      <c r="J1834" s="2"/>
      <c r="K1834" s="2"/>
      <c r="L1834" s="2"/>
      <c r="M1834" s="2"/>
      <c r="N1834" s="2"/>
      <c r="O1834" s="2"/>
      <c r="P1834" s="2"/>
      <c r="Q1834" s="2"/>
      <c r="R1834" s="2"/>
      <c r="S1834" s="2"/>
      <c r="T1834" s="2"/>
      <c r="U1834" s="2"/>
      <c r="V1834" s="2"/>
      <c r="W1834" s="2"/>
    </row>
    <row r="1835" spans="1:23" ht="75" customHeight="1" x14ac:dyDescent="0.15">
      <c r="A1835" s="2"/>
      <c r="B1835" s="2"/>
      <c r="C1835" s="2"/>
      <c r="D1835" s="2"/>
      <c r="E1835" s="2"/>
      <c r="F1835" s="2"/>
      <c r="G1835" s="2"/>
      <c r="H1835" s="2"/>
      <c r="I1835" s="2"/>
      <c r="J1835" s="2"/>
      <c r="K1835" s="2"/>
      <c r="L1835" s="2"/>
      <c r="M1835" s="2"/>
      <c r="N1835" s="2"/>
      <c r="O1835" s="2"/>
      <c r="P1835" s="2"/>
      <c r="Q1835" s="2"/>
      <c r="R1835" s="2"/>
      <c r="S1835" s="2"/>
      <c r="T1835" s="2"/>
      <c r="U1835" s="2"/>
      <c r="V1835" s="2"/>
      <c r="W1835" s="2"/>
    </row>
    <row r="1836" spans="1:23" ht="75" customHeight="1" x14ac:dyDescent="0.15">
      <c r="A1836" s="2"/>
      <c r="B1836" s="2"/>
      <c r="C1836" s="2"/>
      <c r="D1836" s="2"/>
      <c r="E1836" s="2"/>
      <c r="F1836" s="2"/>
      <c r="G1836" s="2"/>
      <c r="H1836" s="2"/>
      <c r="I1836" s="2"/>
      <c r="J1836" s="2"/>
      <c r="K1836" s="2"/>
      <c r="L1836" s="2"/>
      <c r="M1836" s="2"/>
      <c r="N1836" s="2"/>
      <c r="O1836" s="2"/>
      <c r="P1836" s="2"/>
      <c r="Q1836" s="2"/>
      <c r="R1836" s="2"/>
      <c r="S1836" s="2"/>
      <c r="T1836" s="2"/>
      <c r="U1836" s="2"/>
      <c r="V1836" s="2"/>
      <c r="W1836" s="2"/>
    </row>
    <row r="1837" spans="1:23" ht="75" customHeight="1" x14ac:dyDescent="0.15">
      <c r="A1837" s="2"/>
      <c r="B1837" s="2"/>
      <c r="C1837" s="2"/>
      <c r="D1837" s="2"/>
      <c r="E1837" s="2"/>
      <c r="F1837" s="2"/>
      <c r="G1837" s="2"/>
      <c r="H1837" s="2"/>
      <c r="I1837" s="2"/>
      <c r="J1837" s="2"/>
      <c r="K1837" s="2"/>
      <c r="L1837" s="2"/>
      <c r="M1837" s="2"/>
      <c r="N1837" s="2"/>
      <c r="O1837" s="2"/>
      <c r="P1837" s="2"/>
      <c r="Q1837" s="2"/>
      <c r="R1837" s="2"/>
      <c r="S1837" s="2"/>
      <c r="T1837" s="2"/>
      <c r="U1837" s="2"/>
      <c r="V1837" s="2"/>
      <c r="W1837" s="2"/>
    </row>
    <row r="1838" spans="1:23" ht="75" customHeight="1" x14ac:dyDescent="0.15">
      <c r="A1838" s="2"/>
      <c r="B1838" s="2"/>
      <c r="C1838" s="2"/>
      <c r="D1838" s="2"/>
      <c r="E1838" s="2"/>
      <c r="F1838" s="2"/>
      <c r="G1838" s="2"/>
      <c r="H1838" s="2"/>
      <c r="I1838" s="2"/>
      <c r="J1838" s="2"/>
      <c r="K1838" s="2"/>
      <c r="L1838" s="2"/>
      <c r="M1838" s="2"/>
      <c r="N1838" s="2"/>
      <c r="O1838" s="2"/>
      <c r="P1838" s="2"/>
      <c r="Q1838" s="2"/>
      <c r="R1838" s="2"/>
      <c r="S1838" s="2"/>
      <c r="T1838" s="2"/>
      <c r="U1838" s="2"/>
      <c r="V1838" s="2"/>
      <c r="W1838" s="2"/>
    </row>
    <row r="1839" spans="1:23" ht="75" customHeight="1" x14ac:dyDescent="0.15">
      <c r="A1839" s="2"/>
      <c r="B1839" s="2"/>
      <c r="C1839" s="2"/>
      <c r="D1839" s="2"/>
      <c r="E1839" s="2"/>
      <c r="F1839" s="2"/>
      <c r="G1839" s="2"/>
      <c r="H1839" s="2"/>
      <c r="I1839" s="2"/>
      <c r="J1839" s="2"/>
      <c r="K1839" s="2"/>
      <c r="L1839" s="2"/>
      <c r="M1839" s="2"/>
      <c r="N1839" s="2"/>
      <c r="O1839" s="2"/>
      <c r="P1839" s="2"/>
      <c r="Q1839" s="2"/>
      <c r="R1839" s="2"/>
      <c r="S1839" s="2"/>
      <c r="T1839" s="2"/>
      <c r="U1839" s="2"/>
      <c r="V1839" s="2"/>
      <c r="W1839" s="2"/>
    </row>
    <row r="1840" spans="1:23" ht="75" customHeight="1" x14ac:dyDescent="0.15">
      <c r="A1840" s="2"/>
      <c r="B1840" s="2"/>
      <c r="C1840" s="2"/>
      <c r="D1840" s="2"/>
      <c r="E1840" s="2"/>
      <c r="F1840" s="2"/>
      <c r="G1840" s="2"/>
      <c r="H1840" s="2"/>
      <c r="I1840" s="2"/>
      <c r="J1840" s="2"/>
      <c r="K1840" s="2"/>
      <c r="L1840" s="2"/>
      <c r="M1840" s="2"/>
      <c r="N1840" s="2"/>
      <c r="O1840" s="2"/>
      <c r="P1840" s="2"/>
      <c r="Q1840" s="2"/>
      <c r="R1840" s="2"/>
      <c r="S1840" s="2"/>
      <c r="T1840" s="2"/>
      <c r="U1840" s="2"/>
      <c r="V1840" s="2"/>
      <c r="W1840" s="2"/>
    </row>
    <row r="1841" spans="1:23" ht="75" customHeight="1" x14ac:dyDescent="0.15">
      <c r="A1841" s="2"/>
      <c r="B1841" s="2"/>
      <c r="C1841" s="2"/>
      <c r="D1841" s="2"/>
      <c r="E1841" s="2"/>
      <c r="F1841" s="2"/>
      <c r="G1841" s="2"/>
      <c r="H1841" s="2"/>
      <c r="I1841" s="2"/>
      <c r="J1841" s="2"/>
      <c r="K1841" s="2"/>
      <c r="L1841" s="2"/>
      <c r="M1841" s="2"/>
      <c r="N1841" s="2"/>
      <c r="O1841" s="2"/>
      <c r="P1841" s="2"/>
      <c r="Q1841" s="2"/>
      <c r="R1841" s="2"/>
      <c r="S1841" s="2"/>
      <c r="T1841" s="2"/>
      <c r="U1841" s="2"/>
      <c r="V1841" s="2"/>
      <c r="W1841" s="2"/>
    </row>
    <row r="1842" spans="1:23" ht="75" customHeight="1" x14ac:dyDescent="0.15">
      <c r="A1842" s="2"/>
      <c r="B1842" s="2"/>
      <c r="C1842" s="2"/>
      <c r="D1842" s="2"/>
      <c r="E1842" s="2"/>
      <c r="F1842" s="2"/>
      <c r="G1842" s="2"/>
      <c r="H1842" s="2"/>
      <c r="I1842" s="2"/>
      <c r="J1842" s="2"/>
      <c r="K1842" s="2"/>
      <c r="L1842" s="2"/>
      <c r="M1842" s="2"/>
      <c r="N1842" s="2"/>
      <c r="O1842" s="2"/>
      <c r="P1842" s="2"/>
      <c r="Q1842" s="2"/>
      <c r="R1842" s="2"/>
      <c r="S1842" s="2"/>
      <c r="T1842" s="2"/>
      <c r="U1842" s="2"/>
      <c r="V1842" s="2"/>
      <c r="W1842" s="2"/>
    </row>
    <row r="1843" spans="1:23" ht="75" customHeight="1" x14ac:dyDescent="0.15">
      <c r="A1843" s="2"/>
      <c r="B1843" s="2"/>
      <c r="C1843" s="2"/>
      <c r="D1843" s="2"/>
      <c r="E1843" s="2"/>
      <c r="F1843" s="2"/>
      <c r="G1843" s="2"/>
      <c r="H1843" s="2"/>
      <c r="I1843" s="2"/>
      <c r="J1843" s="2"/>
      <c r="K1843" s="2"/>
      <c r="L1843" s="2"/>
      <c r="M1843" s="2"/>
      <c r="N1843" s="2"/>
      <c r="O1843" s="2"/>
      <c r="P1843" s="2"/>
      <c r="Q1843" s="2"/>
      <c r="R1843" s="2"/>
      <c r="S1843" s="2"/>
      <c r="T1843" s="2"/>
      <c r="U1843" s="2"/>
      <c r="V1843" s="2"/>
      <c r="W1843" s="2"/>
    </row>
    <row r="1844" spans="1:23" ht="75" customHeight="1" x14ac:dyDescent="0.15">
      <c r="A1844" s="2"/>
      <c r="B1844" s="2"/>
      <c r="C1844" s="2"/>
      <c r="D1844" s="2"/>
      <c r="E1844" s="2"/>
      <c r="F1844" s="2"/>
      <c r="G1844" s="2"/>
      <c r="H1844" s="2"/>
      <c r="I1844" s="2"/>
      <c r="J1844" s="2"/>
      <c r="K1844" s="2"/>
      <c r="L1844" s="2"/>
      <c r="M1844" s="2"/>
      <c r="N1844" s="2"/>
      <c r="O1844" s="2"/>
      <c r="P1844" s="2"/>
      <c r="Q1844" s="2"/>
      <c r="R1844" s="2"/>
      <c r="S1844" s="2"/>
      <c r="T1844" s="2"/>
      <c r="U1844" s="2"/>
      <c r="V1844" s="2"/>
      <c r="W1844" s="2"/>
    </row>
    <row r="1845" spans="1:23" ht="75" customHeight="1" x14ac:dyDescent="0.15">
      <c r="A1845" s="2"/>
      <c r="B1845" s="2"/>
      <c r="C1845" s="2"/>
      <c r="D1845" s="2"/>
      <c r="E1845" s="2"/>
      <c r="F1845" s="2"/>
      <c r="G1845" s="2"/>
      <c r="H1845" s="2"/>
      <c r="I1845" s="2"/>
      <c r="J1845" s="2"/>
      <c r="K1845" s="2"/>
      <c r="L1845" s="2"/>
      <c r="M1845" s="2"/>
      <c r="N1845" s="2"/>
      <c r="O1845" s="2"/>
      <c r="P1845" s="2"/>
      <c r="Q1845" s="2"/>
      <c r="R1845" s="2"/>
      <c r="S1845" s="2"/>
      <c r="T1845" s="2"/>
      <c r="U1845" s="2"/>
      <c r="V1845" s="2"/>
      <c r="W1845" s="2"/>
    </row>
    <row r="1846" spans="1:23" ht="75" customHeight="1" x14ac:dyDescent="0.15">
      <c r="A1846" s="2"/>
      <c r="B1846" s="2"/>
      <c r="C1846" s="2"/>
      <c r="D1846" s="2"/>
      <c r="E1846" s="2"/>
      <c r="F1846" s="2"/>
      <c r="G1846" s="2"/>
      <c r="H1846" s="2"/>
      <c r="I1846" s="2"/>
      <c r="J1846" s="2"/>
      <c r="K1846" s="2"/>
      <c r="L1846" s="2"/>
      <c r="M1846" s="2"/>
      <c r="N1846" s="2"/>
      <c r="O1846" s="2"/>
      <c r="P1846" s="2"/>
      <c r="Q1846" s="2"/>
      <c r="R1846" s="2"/>
      <c r="S1846" s="2"/>
      <c r="T1846" s="2"/>
      <c r="U1846" s="2"/>
      <c r="V1846" s="2"/>
      <c r="W1846" s="2"/>
    </row>
    <row r="1847" spans="1:23" ht="75" customHeight="1" x14ac:dyDescent="0.15">
      <c r="A1847" s="2"/>
      <c r="B1847" s="2"/>
      <c r="C1847" s="2"/>
      <c r="D1847" s="2"/>
      <c r="E1847" s="2"/>
      <c r="F1847" s="2"/>
      <c r="G1847" s="2"/>
      <c r="H1847" s="2"/>
      <c r="I1847" s="2"/>
      <c r="J1847" s="2"/>
      <c r="K1847" s="2"/>
      <c r="L1847" s="2"/>
      <c r="M1847" s="2"/>
      <c r="N1847" s="2"/>
      <c r="O1847" s="2"/>
      <c r="P1847" s="2"/>
      <c r="Q1847" s="2"/>
      <c r="R1847" s="2"/>
      <c r="S1847" s="2"/>
      <c r="T1847" s="2"/>
      <c r="U1847" s="2"/>
      <c r="V1847" s="2"/>
      <c r="W1847" s="2"/>
    </row>
    <row r="1848" spans="1:23" ht="75" customHeight="1" x14ac:dyDescent="0.15">
      <c r="A1848" s="2"/>
      <c r="B1848" s="2"/>
      <c r="C1848" s="2"/>
      <c r="D1848" s="2"/>
      <c r="E1848" s="2"/>
      <c r="F1848" s="2"/>
      <c r="G1848" s="2"/>
      <c r="H1848" s="2"/>
      <c r="I1848" s="2"/>
      <c r="J1848" s="2"/>
      <c r="K1848" s="2"/>
      <c r="L1848" s="2"/>
      <c r="M1848" s="2"/>
      <c r="N1848" s="2"/>
      <c r="O1848" s="2"/>
      <c r="P1848" s="2"/>
      <c r="Q1848" s="2"/>
      <c r="R1848" s="2"/>
      <c r="S1848" s="2"/>
      <c r="T1848" s="2"/>
      <c r="U1848" s="2"/>
      <c r="V1848" s="2"/>
      <c r="W1848" s="2"/>
    </row>
    <row r="1849" spans="1:23" ht="75" customHeight="1" x14ac:dyDescent="0.15">
      <c r="A1849" s="2"/>
      <c r="B1849" s="2"/>
      <c r="C1849" s="2"/>
      <c r="D1849" s="2"/>
      <c r="E1849" s="2"/>
      <c r="F1849" s="2"/>
      <c r="G1849" s="2"/>
      <c r="H1849" s="2"/>
      <c r="I1849" s="2"/>
      <c r="J1849" s="2"/>
      <c r="K1849" s="2"/>
      <c r="L1849" s="2"/>
      <c r="M1849" s="2"/>
      <c r="N1849" s="2"/>
      <c r="O1849" s="2"/>
      <c r="P1849" s="2"/>
      <c r="Q1849" s="2"/>
      <c r="R1849" s="2"/>
      <c r="S1849" s="2"/>
      <c r="T1849" s="2"/>
      <c r="U1849" s="2"/>
      <c r="V1849" s="2"/>
      <c r="W1849" s="2"/>
    </row>
    <row r="1850" spans="1:23" ht="75" customHeight="1" x14ac:dyDescent="0.15">
      <c r="A1850" s="2"/>
      <c r="B1850" s="2"/>
      <c r="C1850" s="2"/>
      <c r="D1850" s="2"/>
      <c r="E1850" s="2"/>
      <c r="F1850" s="2"/>
      <c r="G1850" s="2"/>
      <c r="H1850" s="2"/>
      <c r="I1850" s="2"/>
      <c r="J1850" s="2"/>
      <c r="K1850" s="2"/>
      <c r="L1850" s="2"/>
      <c r="M1850" s="2"/>
      <c r="N1850" s="2"/>
      <c r="O1850" s="2"/>
      <c r="P1850" s="2"/>
      <c r="Q1850" s="2"/>
      <c r="R1850" s="2"/>
      <c r="S1850" s="2"/>
      <c r="T1850" s="2"/>
      <c r="U1850" s="2"/>
      <c r="V1850" s="2"/>
      <c r="W1850" s="2"/>
    </row>
    <row r="1851" spans="1:23" ht="75" customHeight="1" x14ac:dyDescent="0.15">
      <c r="A1851" s="2"/>
      <c r="B1851" s="2"/>
      <c r="C1851" s="2"/>
      <c r="D1851" s="2"/>
      <c r="E1851" s="2"/>
      <c r="F1851" s="2"/>
      <c r="G1851" s="2"/>
      <c r="H1851" s="2"/>
      <c r="I1851" s="2"/>
      <c r="J1851" s="2"/>
      <c r="K1851" s="2"/>
      <c r="L1851" s="2"/>
      <c r="M1851" s="2"/>
      <c r="N1851" s="2"/>
      <c r="O1851" s="2"/>
      <c r="P1851" s="2"/>
      <c r="Q1851" s="2"/>
      <c r="R1851" s="2"/>
      <c r="S1851" s="2"/>
      <c r="T1851" s="2"/>
      <c r="U1851" s="2"/>
      <c r="V1851" s="2"/>
      <c r="W1851" s="2"/>
    </row>
    <row r="1852" spans="1:23" ht="75" customHeight="1" x14ac:dyDescent="0.15">
      <c r="A1852" s="2"/>
      <c r="B1852" s="2"/>
      <c r="C1852" s="2"/>
      <c r="D1852" s="2"/>
      <c r="E1852" s="2"/>
      <c r="F1852" s="2"/>
      <c r="G1852" s="2"/>
      <c r="H1852" s="2"/>
      <c r="I1852" s="2"/>
      <c r="J1852" s="2"/>
      <c r="K1852" s="2"/>
      <c r="L1852" s="2"/>
      <c r="M1852" s="2"/>
      <c r="N1852" s="2"/>
      <c r="O1852" s="2"/>
      <c r="P1852" s="2"/>
      <c r="Q1852" s="2"/>
      <c r="R1852" s="2"/>
      <c r="S1852" s="2"/>
      <c r="T1852" s="2"/>
      <c r="U1852" s="2"/>
      <c r="V1852" s="2"/>
      <c r="W1852" s="2"/>
    </row>
    <row r="1853" spans="1:23" ht="75" customHeight="1" x14ac:dyDescent="0.15">
      <c r="A1853" s="2"/>
      <c r="B1853" s="2"/>
      <c r="C1853" s="2"/>
      <c r="D1853" s="2"/>
      <c r="E1853" s="2"/>
      <c r="F1853" s="2"/>
      <c r="G1853" s="2"/>
      <c r="H1853" s="2"/>
      <c r="I1853" s="2"/>
      <c r="J1853" s="2"/>
      <c r="K1853" s="2"/>
      <c r="L1853" s="2"/>
      <c r="M1853" s="2"/>
      <c r="N1853" s="2"/>
      <c r="O1853" s="2"/>
      <c r="P1853" s="2"/>
      <c r="Q1853" s="2"/>
      <c r="R1853" s="2"/>
      <c r="S1853" s="2"/>
      <c r="T1853" s="2"/>
      <c r="U1853" s="2"/>
      <c r="V1853" s="2"/>
      <c r="W1853" s="2"/>
    </row>
    <row r="1854" spans="1:23" ht="75" customHeight="1" x14ac:dyDescent="0.15">
      <c r="A1854" s="2"/>
      <c r="B1854" s="2"/>
      <c r="C1854" s="2"/>
      <c r="D1854" s="2"/>
      <c r="E1854" s="2"/>
      <c r="F1854" s="2"/>
      <c r="G1854" s="2"/>
      <c r="H1854" s="2"/>
      <c r="I1854" s="2"/>
      <c r="J1854" s="2"/>
      <c r="K1854" s="2"/>
      <c r="L1854" s="2"/>
      <c r="M1854" s="2"/>
      <c r="N1854" s="2"/>
      <c r="O1854" s="2"/>
      <c r="P1854" s="2"/>
      <c r="Q1854" s="2"/>
      <c r="R1854" s="2"/>
      <c r="S1854" s="2"/>
      <c r="T1854" s="2"/>
      <c r="U1854" s="2"/>
      <c r="V1854" s="2"/>
      <c r="W1854" s="2"/>
    </row>
    <row r="1855" spans="1:23" ht="75" customHeight="1" x14ac:dyDescent="0.15">
      <c r="A1855" s="2"/>
      <c r="B1855" s="2"/>
      <c r="C1855" s="2"/>
      <c r="D1855" s="2"/>
      <c r="E1855" s="2"/>
      <c r="F1855" s="2"/>
      <c r="G1855" s="2"/>
      <c r="H1855" s="2"/>
      <c r="I1855" s="2"/>
      <c r="J1855" s="2"/>
      <c r="K1855" s="2"/>
      <c r="L1855" s="2"/>
      <c r="M1855" s="2"/>
      <c r="N1855" s="2"/>
      <c r="O1855" s="2"/>
      <c r="P1855" s="2"/>
      <c r="Q1855" s="2"/>
      <c r="R1855" s="2"/>
      <c r="S1855" s="2"/>
      <c r="T1855" s="2"/>
      <c r="U1855" s="2"/>
      <c r="V1855" s="2"/>
      <c r="W1855" s="2"/>
    </row>
    <row r="1856" spans="1:23" ht="75" customHeight="1" x14ac:dyDescent="0.15">
      <c r="A1856" s="2"/>
      <c r="B1856" s="2"/>
      <c r="C1856" s="2"/>
      <c r="D1856" s="2"/>
      <c r="E1856" s="2"/>
      <c r="F1856" s="2"/>
      <c r="G1856" s="2"/>
      <c r="H1856" s="2"/>
      <c r="I1856" s="2"/>
      <c r="J1856" s="2"/>
      <c r="K1856" s="2"/>
      <c r="L1856" s="2"/>
      <c r="M1856" s="2"/>
      <c r="N1856" s="2"/>
      <c r="O1856" s="2"/>
      <c r="P1856" s="2"/>
      <c r="Q1856" s="2"/>
      <c r="R1856" s="2"/>
      <c r="S1856" s="2"/>
      <c r="T1856" s="2"/>
      <c r="U1856" s="2"/>
      <c r="V1856" s="2"/>
      <c r="W1856" s="2"/>
    </row>
    <row r="1857" spans="1:23" ht="75" customHeight="1" x14ac:dyDescent="0.15">
      <c r="A1857" s="2"/>
      <c r="B1857" s="2"/>
      <c r="C1857" s="2"/>
      <c r="D1857" s="2"/>
      <c r="E1857" s="2"/>
      <c r="F1857" s="2"/>
      <c r="G1857" s="2"/>
      <c r="H1857" s="2"/>
      <c r="I1857" s="2"/>
      <c r="J1857" s="2"/>
      <c r="K1857" s="2"/>
      <c r="L1857" s="2"/>
      <c r="M1857" s="2"/>
      <c r="N1857" s="2"/>
      <c r="O1857" s="2"/>
      <c r="P1857" s="2"/>
      <c r="Q1857" s="2"/>
      <c r="R1857" s="2"/>
      <c r="S1857" s="2"/>
      <c r="T1857" s="2"/>
      <c r="U1857" s="2"/>
      <c r="V1857" s="2"/>
      <c r="W1857" s="2"/>
    </row>
    <row r="1858" spans="1:23" ht="75" customHeight="1" x14ac:dyDescent="0.15">
      <c r="A1858" s="2"/>
      <c r="B1858" s="2"/>
      <c r="C1858" s="2"/>
      <c r="D1858" s="2"/>
      <c r="E1858" s="2"/>
      <c r="F1858" s="2"/>
      <c r="G1858" s="2"/>
      <c r="H1858" s="2"/>
      <c r="I1858" s="2"/>
      <c r="J1858" s="2"/>
      <c r="K1858" s="2"/>
      <c r="L1858" s="2"/>
      <c r="M1858" s="2"/>
      <c r="N1858" s="2"/>
      <c r="O1858" s="2"/>
      <c r="P1858" s="2"/>
      <c r="Q1858" s="2"/>
      <c r="R1858" s="2"/>
      <c r="S1858" s="2"/>
      <c r="T1858" s="2"/>
      <c r="U1858" s="2"/>
      <c r="V1858" s="2"/>
      <c r="W1858" s="2"/>
    </row>
    <row r="1859" spans="1:23" ht="75" customHeight="1" x14ac:dyDescent="0.15">
      <c r="A1859" s="2"/>
      <c r="B1859" s="2"/>
      <c r="C1859" s="2"/>
      <c r="D1859" s="2"/>
      <c r="E1859" s="2"/>
      <c r="F1859" s="2"/>
      <c r="G1859" s="2"/>
      <c r="H1859" s="2"/>
      <c r="I1859" s="2"/>
      <c r="J1859" s="2"/>
      <c r="K1859" s="2"/>
      <c r="L1859" s="2"/>
      <c r="M1859" s="2"/>
      <c r="N1859" s="2"/>
      <c r="O1859" s="2"/>
      <c r="P1859" s="2"/>
      <c r="Q1859" s="2"/>
      <c r="R1859" s="2"/>
      <c r="S1859" s="2"/>
      <c r="T1859" s="2"/>
      <c r="U1859" s="2"/>
      <c r="V1859" s="2"/>
      <c r="W1859" s="2"/>
    </row>
    <row r="1860" spans="1:23" ht="75" customHeight="1" x14ac:dyDescent="0.15">
      <c r="A1860" s="2"/>
      <c r="B1860" s="2"/>
      <c r="C1860" s="2"/>
      <c r="D1860" s="2"/>
      <c r="E1860" s="2"/>
      <c r="F1860" s="2"/>
      <c r="G1860" s="2"/>
      <c r="H1860" s="2"/>
      <c r="I1860" s="2"/>
      <c r="J1860" s="2"/>
      <c r="K1860" s="2"/>
      <c r="L1860" s="2"/>
      <c r="M1860" s="2"/>
      <c r="N1860" s="2"/>
      <c r="O1860" s="2"/>
      <c r="P1860" s="2"/>
      <c r="Q1860" s="2"/>
      <c r="R1860" s="2"/>
      <c r="S1860" s="2"/>
      <c r="T1860" s="2"/>
      <c r="U1860" s="2"/>
      <c r="V1860" s="2"/>
      <c r="W1860" s="2"/>
    </row>
    <row r="1861" spans="1:23" ht="75" customHeight="1" x14ac:dyDescent="0.15">
      <c r="A1861" s="2"/>
      <c r="B1861" s="2"/>
      <c r="C1861" s="2"/>
      <c r="D1861" s="2"/>
      <c r="E1861" s="2"/>
      <c r="F1861" s="2"/>
      <c r="G1861" s="2"/>
      <c r="H1861" s="2"/>
      <c r="I1861" s="2"/>
      <c r="J1861" s="2"/>
      <c r="K1861" s="2"/>
      <c r="L1861" s="2"/>
      <c r="M1861" s="2"/>
      <c r="N1861" s="2"/>
      <c r="O1861" s="2"/>
      <c r="P1861" s="2"/>
      <c r="Q1861" s="2"/>
      <c r="R1861" s="2"/>
      <c r="S1861" s="2"/>
      <c r="T1861" s="2"/>
      <c r="U1861" s="2"/>
      <c r="V1861" s="2"/>
      <c r="W1861" s="2"/>
    </row>
    <row r="1862" spans="1:23" ht="75" customHeight="1" x14ac:dyDescent="0.15">
      <c r="A1862" s="2"/>
      <c r="B1862" s="2"/>
      <c r="C1862" s="2"/>
      <c r="D1862" s="2"/>
      <c r="E1862" s="2"/>
      <c r="F1862" s="2"/>
      <c r="G1862" s="2"/>
      <c r="H1862" s="2"/>
      <c r="I1862" s="2"/>
      <c r="J1862" s="2"/>
      <c r="K1862" s="2"/>
      <c r="L1862" s="2"/>
      <c r="M1862" s="2"/>
      <c r="N1862" s="2"/>
      <c r="O1862" s="2"/>
      <c r="P1862" s="2"/>
      <c r="Q1862" s="2"/>
      <c r="R1862" s="2"/>
      <c r="S1862" s="2"/>
      <c r="T1862" s="2"/>
      <c r="U1862" s="2"/>
      <c r="V1862" s="2"/>
      <c r="W1862" s="2"/>
    </row>
    <row r="1863" spans="1:23" ht="75" customHeight="1" x14ac:dyDescent="0.15">
      <c r="A1863" s="2"/>
      <c r="B1863" s="2"/>
      <c r="C1863" s="2"/>
      <c r="D1863" s="2"/>
      <c r="E1863" s="2"/>
      <c r="F1863" s="2"/>
      <c r="G1863" s="2"/>
      <c r="H1863" s="2"/>
      <c r="I1863" s="2"/>
      <c r="J1863" s="2"/>
      <c r="K1863" s="2"/>
      <c r="L1863" s="2"/>
      <c r="M1863" s="2"/>
      <c r="N1863" s="2"/>
      <c r="O1863" s="2"/>
      <c r="P1863" s="2"/>
      <c r="Q1863" s="2"/>
      <c r="R1863" s="2"/>
      <c r="S1863" s="2"/>
      <c r="T1863" s="2"/>
      <c r="U1863" s="2"/>
      <c r="V1863" s="2"/>
      <c r="W1863" s="2"/>
    </row>
    <row r="1864" spans="1:23" ht="75" customHeight="1" x14ac:dyDescent="0.15">
      <c r="A1864" s="2"/>
      <c r="B1864" s="2"/>
      <c r="C1864" s="2"/>
      <c r="D1864" s="2"/>
      <c r="E1864" s="2"/>
      <c r="F1864" s="2"/>
      <c r="G1864" s="2"/>
      <c r="H1864" s="2"/>
      <c r="I1864" s="2"/>
      <c r="J1864" s="2"/>
      <c r="K1864" s="2"/>
      <c r="L1864" s="2"/>
      <c r="M1864" s="2"/>
      <c r="N1864" s="2"/>
      <c r="O1864" s="2"/>
      <c r="P1864" s="2"/>
      <c r="Q1864" s="2"/>
      <c r="R1864" s="2"/>
      <c r="S1864" s="2"/>
      <c r="T1864" s="2"/>
      <c r="U1864" s="2"/>
      <c r="V1864" s="2"/>
      <c r="W1864" s="2"/>
    </row>
    <row r="1865" spans="1:23" ht="75" customHeight="1" x14ac:dyDescent="0.15">
      <c r="A1865" s="2"/>
      <c r="B1865" s="2"/>
      <c r="C1865" s="2"/>
      <c r="D1865" s="2"/>
      <c r="E1865" s="2"/>
      <c r="F1865" s="2"/>
      <c r="G1865" s="2"/>
      <c r="H1865" s="2"/>
      <c r="I1865" s="2"/>
      <c r="J1865" s="2"/>
      <c r="K1865" s="2"/>
      <c r="L1865" s="2"/>
      <c r="M1865" s="2"/>
      <c r="N1865" s="2"/>
      <c r="O1865" s="2"/>
      <c r="P1865" s="2"/>
      <c r="Q1865" s="2"/>
      <c r="R1865" s="2"/>
      <c r="S1865" s="2"/>
      <c r="T1865" s="2"/>
      <c r="U1865" s="2"/>
      <c r="V1865" s="2"/>
      <c r="W1865" s="2"/>
    </row>
    <row r="1866" spans="1:23" ht="75" customHeight="1" x14ac:dyDescent="0.15">
      <c r="A1866" s="2"/>
      <c r="B1866" s="2"/>
      <c r="C1866" s="2"/>
      <c r="D1866" s="2"/>
      <c r="E1866" s="2"/>
      <c r="F1866" s="2"/>
      <c r="G1866" s="2"/>
      <c r="H1866" s="2"/>
      <c r="I1866" s="2"/>
      <c r="J1866" s="2"/>
      <c r="K1866" s="2"/>
      <c r="L1866" s="2"/>
      <c r="M1866" s="2"/>
      <c r="N1866" s="2"/>
      <c r="O1866" s="2"/>
      <c r="P1866" s="2"/>
      <c r="Q1866" s="2"/>
      <c r="R1866" s="2"/>
      <c r="S1866" s="2"/>
      <c r="T1866" s="2"/>
      <c r="U1866" s="2"/>
      <c r="V1866" s="2"/>
      <c r="W1866" s="2"/>
    </row>
    <row r="1867" spans="1:23" ht="75" customHeight="1" x14ac:dyDescent="0.15">
      <c r="A1867" s="2"/>
      <c r="B1867" s="2"/>
      <c r="C1867" s="2"/>
      <c r="D1867" s="2"/>
      <c r="E1867" s="2"/>
      <c r="F1867" s="2"/>
      <c r="G1867" s="2"/>
      <c r="H1867" s="2"/>
      <c r="I1867" s="2"/>
      <c r="J1867" s="2"/>
      <c r="K1867" s="2"/>
      <c r="L1867" s="2"/>
      <c r="M1867" s="2"/>
      <c r="N1867" s="2"/>
      <c r="O1867" s="2"/>
      <c r="P1867" s="2"/>
      <c r="Q1867" s="2"/>
      <c r="R1867" s="2"/>
      <c r="S1867" s="2"/>
      <c r="T1867" s="2"/>
      <c r="U1867" s="2"/>
      <c r="V1867" s="2"/>
      <c r="W1867" s="2"/>
    </row>
    <row r="1868" spans="1:23" ht="75" customHeight="1" x14ac:dyDescent="0.15">
      <c r="A1868" s="2"/>
      <c r="B1868" s="2"/>
      <c r="C1868" s="2"/>
      <c r="D1868" s="2"/>
      <c r="E1868" s="2"/>
      <c r="F1868" s="2"/>
      <c r="G1868" s="2"/>
      <c r="H1868" s="2"/>
      <c r="I1868" s="2"/>
      <c r="J1868" s="2"/>
      <c r="K1868" s="2"/>
      <c r="L1868" s="2"/>
      <c r="M1868" s="2"/>
      <c r="N1868" s="2"/>
      <c r="O1868" s="2"/>
      <c r="P1868" s="2"/>
      <c r="Q1868" s="2"/>
      <c r="R1868" s="2"/>
      <c r="S1868" s="2"/>
      <c r="T1868" s="2"/>
      <c r="U1868" s="2"/>
      <c r="V1868" s="2"/>
      <c r="W1868" s="2"/>
    </row>
    <row r="1869" spans="1:23" ht="75" customHeight="1" x14ac:dyDescent="0.15">
      <c r="A1869" s="2"/>
      <c r="B1869" s="2"/>
      <c r="C1869" s="2"/>
      <c r="D1869" s="2"/>
      <c r="E1869" s="2"/>
      <c r="F1869" s="2"/>
      <c r="G1869" s="2"/>
      <c r="H1869" s="2"/>
      <c r="I1869" s="2"/>
      <c r="J1869" s="2"/>
      <c r="K1869" s="2"/>
      <c r="L1869" s="2"/>
      <c r="M1869" s="2"/>
      <c r="N1869" s="2"/>
      <c r="O1869" s="2"/>
      <c r="P1869" s="2"/>
      <c r="Q1869" s="2"/>
      <c r="R1869" s="2"/>
      <c r="S1869" s="2"/>
      <c r="T1869" s="2"/>
      <c r="U1869" s="2"/>
      <c r="V1869" s="2"/>
      <c r="W1869" s="2"/>
    </row>
    <row r="1870" spans="1:23" ht="75" customHeight="1" x14ac:dyDescent="0.15">
      <c r="A1870" s="2"/>
      <c r="B1870" s="2"/>
      <c r="C1870" s="2"/>
      <c r="D1870" s="2"/>
      <c r="E1870" s="2"/>
      <c r="F1870" s="2"/>
      <c r="G1870" s="2"/>
      <c r="H1870" s="2"/>
      <c r="I1870" s="2"/>
      <c r="J1870" s="2"/>
      <c r="K1870" s="2"/>
      <c r="L1870" s="2"/>
      <c r="M1870" s="2"/>
      <c r="N1870" s="2"/>
      <c r="O1870" s="2"/>
      <c r="P1870" s="2"/>
      <c r="Q1870" s="2"/>
      <c r="R1870" s="2"/>
      <c r="S1870" s="2"/>
      <c r="T1870" s="2"/>
      <c r="U1870" s="2"/>
      <c r="V1870" s="2"/>
      <c r="W1870" s="2"/>
    </row>
    <row r="1871" spans="1:23" ht="75" customHeight="1" x14ac:dyDescent="0.15">
      <c r="A1871" s="2"/>
      <c r="B1871" s="2"/>
      <c r="C1871" s="2"/>
      <c r="D1871" s="2"/>
      <c r="E1871" s="2"/>
      <c r="F1871" s="2"/>
      <c r="G1871" s="2"/>
      <c r="H1871" s="2"/>
      <c r="I1871" s="2"/>
      <c r="J1871" s="2"/>
      <c r="K1871" s="2"/>
      <c r="L1871" s="2"/>
      <c r="M1871" s="2"/>
      <c r="N1871" s="2"/>
      <c r="O1871" s="2"/>
      <c r="P1871" s="2"/>
      <c r="Q1871" s="2"/>
      <c r="R1871" s="2"/>
      <c r="S1871" s="2"/>
      <c r="T1871" s="2"/>
      <c r="U1871" s="2"/>
      <c r="V1871" s="2"/>
      <c r="W1871" s="2"/>
    </row>
    <row r="1872" spans="1:23" ht="75" customHeight="1" x14ac:dyDescent="0.15">
      <c r="A1872" s="2"/>
      <c r="B1872" s="2"/>
      <c r="C1872" s="2"/>
      <c r="D1872" s="2"/>
      <c r="E1872" s="2"/>
      <c r="F1872" s="2"/>
      <c r="G1872" s="2"/>
      <c r="H1872" s="2"/>
      <c r="I1872" s="2"/>
      <c r="J1872" s="2"/>
      <c r="K1872" s="2"/>
      <c r="L1872" s="2"/>
      <c r="M1872" s="2"/>
      <c r="N1872" s="2"/>
      <c r="O1872" s="2"/>
      <c r="P1872" s="2"/>
      <c r="Q1872" s="2"/>
      <c r="R1872" s="2"/>
      <c r="S1872" s="2"/>
      <c r="T1872" s="2"/>
      <c r="U1872" s="2"/>
      <c r="V1872" s="2"/>
      <c r="W1872" s="2"/>
    </row>
    <row r="1873" spans="1:23" ht="75" customHeight="1" x14ac:dyDescent="0.15">
      <c r="A1873" s="2"/>
      <c r="B1873" s="2"/>
      <c r="C1873" s="2"/>
      <c r="D1873" s="2"/>
      <c r="E1873" s="2"/>
      <c r="F1873" s="2"/>
      <c r="G1873" s="2"/>
      <c r="H1873" s="2"/>
      <c r="I1873" s="2"/>
      <c r="J1873" s="2"/>
      <c r="K1873" s="2"/>
      <c r="L1873" s="2"/>
      <c r="M1873" s="2"/>
      <c r="N1873" s="2"/>
      <c r="O1873" s="2"/>
      <c r="P1873" s="2"/>
      <c r="Q1873" s="2"/>
      <c r="R1873" s="2"/>
      <c r="S1873" s="2"/>
      <c r="T1873" s="2"/>
      <c r="U1873" s="2"/>
      <c r="V1873" s="2"/>
      <c r="W1873" s="2"/>
    </row>
    <row r="1874" spans="1:23" ht="75" customHeight="1" x14ac:dyDescent="0.15">
      <c r="A1874" s="2"/>
      <c r="B1874" s="2"/>
      <c r="C1874" s="2"/>
      <c r="D1874" s="2"/>
      <c r="E1874" s="2"/>
      <c r="F1874" s="2"/>
      <c r="G1874" s="2"/>
      <c r="H1874" s="2"/>
      <c r="I1874" s="2"/>
      <c r="J1874" s="2"/>
      <c r="K1874" s="2"/>
      <c r="L1874" s="2"/>
      <c r="M1874" s="2"/>
      <c r="N1874" s="2"/>
      <c r="O1874" s="2"/>
      <c r="P1874" s="2"/>
      <c r="Q1874" s="2"/>
      <c r="R1874" s="2"/>
      <c r="S1874" s="2"/>
      <c r="T1874" s="2"/>
      <c r="U1874" s="2"/>
      <c r="V1874" s="2"/>
      <c r="W1874" s="2"/>
    </row>
    <row r="1875" spans="1:23" ht="75" customHeight="1" x14ac:dyDescent="0.15">
      <c r="A1875" s="2"/>
      <c r="B1875" s="2"/>
      <c r="C1875" s="2"/>
      <c r="D1875" s="2"/>
      <c r="E1875" s="2"/>
      <c r="F1875" s="2"/>
      <c r="G1875" s="2"/>
      <c r="H1875" s="2"/>
      <c r="I1875" s="2"/>
      <c r="J1875" s="2"/>
      <c r="K1875" s="2"/>
      <c r="L1875" s="2"/>
      <c r="M1875" s="2"/>
      <c r="N1875" s="2"/>
      <c r="O1875" s="2"/>
      <c r="P1875" s="2"/>
      <c r="Q1875" s="2"/>
      <c r="R1875" s="2"/>
      <c r="S1875" s="2"/>
      <c r="T1875" s="2"/>
      <c r="U1875" s="2"/>
      <c r="V1875" s="2"/>
      <c r="W1875" s="2"/>
    </row>
    <row r="1876" spans="1:23" ht="75" customHeight="1" x14ac:dyDescent="0.15">
      <c r="A1876" s="2"/>
      <c r="B1876" s="2"/>
      <c r="C1876" s="2"/>
      <c r="D1876" s="2"/>
      <c r="E1876" s="2"/>
      <c r="F1876" s="2"/>
      <c r="G1876" s="2"/>
      <c r="H1876" s="2"/>
      <c r="I1876" s="2"/>
      <c r="J1876" s="2"/>
      <c r="K1876" s="2"/>
      <c r="L1876" s="2"/>
      <c r="M1876" s="2"/>
      <c r="N1876" s="2"/>
      <c r="O1876" s="2"/>
      <c r="P1876" s="2"/>
      <c r="Q1876" s="2"/>
      <c r="R1876" s="2"/>
      <c r="S1876" s="2"/>
      <c r="T1876" s="2"/>
      <c r="U1876" s="2"/>
      <c r="V1876" s="2"/>
      <c r="W1876" s="2"/>
    </row>
    <row r="1877" spans="1:23" ht="75" customHeight="1" x14ac:dyDescent="0.15">
      <c r="A1877" s="2"/>
      <c r="B1877" s="2"/>
      <c r="C1877" s="2"/>
      <c r="D1877" s="2"/>
      <c r="E1877" s="2"/>
      <c r="F1877" s="2"/>
      <c r="G1877" s="2"/>
      <c r="H1877" s="2"/>
      <c r="I1877" s="2"/>
      <c r="J1877" s="2"/>
      <c r="K1877" s="2"/>
      <c r="L1877" s="2"/>
      <c r="M1877" s="2"/>
      <c r="N1877" s="2"/>
      <c r="O1877" s="2"/>
      <c r="P1877" s="2"/>
      <c r="Q1877" s="2"/>
      <c r="R1877" s="2"/>
      <c r="S1877" s="2"/>
      <c r="T1877" s="2"/>
      <c r="U1877" s="2"/>
      <c r="V1877" s="2"/>
      <c r="W1877" s="2"/>
    </row>
    <row r="1878" spans="1:23" ht="75" customHeight="1" x14ac:dyDescent="0.15">
      <c r="A1878" s="2"/>
      <c r="B1878" s="2"/>
      <c r="C1878" s="2"/>
      <c r="D1878" s="2"/>
      <c r="E1878" s="2"/>
      <c r="F1878" s="2"/>
      <c r="G1878" s="2"/>
      <c r="H1878" s="2"/>
      <c r="I1878" s="2"/>
      <c r="J1878" s="2"/>
      <c r="K1878" s="2"/>
      <c r="L1878" s="2"/>
      <c r="M1878" s="2"/>
      <c r="N1878" s="2"/>
      <c r="O1878" s="2"/>
      <c r="P1878" s="2"/>
      <c r="Q1878" s="2"/>
      <c r="R1878" s="2"/>
      <c r="S1878" s="2"/>
      <c r="T1878" s="2"/>
      <c r="U1878" s="2"/>
      <c r="V1878" s="2"/>
      <c r="W1878" s="2"/>
    </row>
    <row r="1879" spans="1:23" ht="75" customHeight="1" x14ac:dyDescent="0.15">
      <c r="A1879" s="2"/>
      <c r="B1879" s="2"/>
      <c r="C1879" s="2"/>
      <c r="D1879" s="2"/>
      <c r="E1879" s="2"/>
      <c r="F1879" s="2"/>
      <c r="G1879" s="2"/>
      <c r="H1879" s="2"/>
      <c r="I1879" s="2"/>
      <c r="J1879" s="2"/>
      <c r="K1879" s="2"/>
      <c r="L1879" s="2"/>
      <c r="M1879" s="2"/>
      <c r="N1879" s="2"/>
      <c r="O1879" s="2"/>
      <c r="P1879" s="2"/>
      <c r="Q1879" s="2"/>
      <c r="R1879" s="2"/>
      <c r="S1879" s="2"/>
      <c r="T1879" s="2"/>
      <c r="U1879" s="2"/>
      <c r="V1879" s="2"/>
      <c r="W1879" s="2"/>
    </row>
    <row r="1880" spans="1:23" ht="75" customHeight="1" x14ac:dyDescent="0.15">
      <c r="A1880" s="2"/>
      <c r="B1880" s="2"/>
      <c r="C1880" s="2"/>
      <c r="D1880" s="2"/>
      <c r="E1880" s="2"/>
      <c r="F1880" s="2"/>
      <c r="G1880" s="2"/>
      <c r="H1880" s="2"/>
      <c r="I1880" s="2"/>
      <c r="J1880" s="2"/>
      <c r="K1880" s="2"/>
      <c r="L1880" s="2"/>
      <c r="M1880" s="2"/>
      <c r="N1880" s="2"/>
      <c r="O1880" s="2"/>
      <c r="P1880" s="2"/>
      <c r="Q1880" s="2"/>
      <c r="R1880" s="2"/>
      <c r="S1880" s="2"/>
      <c r="T1880" s="2"/>
      <c r="U1880" s="2"/>
      <c r="V1880" s="2"/>
      <c r="W1880" s="2"/>
    </row>
    <row r="1881" spans="1:23" ht="75" customHeight="1" x14ac:dyDescent="0.15">
      <c r="A1881" s="2"/>
      <c r="B1881" s="2"/>
      <c r="C1881" s="2"/>
      <c r="D1881" s="2"/>
      <c r="E1881" s="2"/>
      <c r="F1881" s="2"/>
      <c r="G1881" s="2"/>
      <c r="H1881" s="2"/>
      <c r="I1881" s="2"/>
      <c r="J1881" s="2"/>
      <c r="K1881" s="2"/>
      <c r="L1881" s="2"/>
      <c r="M1881" s="2"/>
      <c r="N1881" s="2"/>
      <c r="O1881" s="2"/>
      <c r="P1881" s="2"/>
      <c r="Q1881" s="2"/>
      <c r="R1881" s="2"/>
      <c r="S1881" s="2"/>
      <c r="T1881" s="2"/>
      <c r="U1881" s="2"/>
      <c r="V1881" s="2"/>
      <c r="W1881" s="2"/>
    </row>
    <row r="1882" spans="1:23" ht="75" customHeight="1" x14ac:dyDescent="0.15">
      <c r="A1882" s="2"/>
      <c r="B1882" s="2"/>
      <c r="C1882" s="2"/>
      <c r="D1882" s="2"/>
      <c r="E1882" s="2"/>
      <c r="F1882" s="2"/>
      <c r="G1882" s="2"/>
      <c r="H1882" s="2"/>
      <c r="I1882" s="2"/>
      <c r="J1882" s="2"/>
      <c r="K1882" s="2"/>
      <c r="L1882" s="2"/>
      <c r="M1882" s="2"/>
      <c r="N1882" s="2"/>
      <c r="O1882" s="2"/>
      <c r="P1882" s="2"/>
      <c r="Q1882" s="2"/>
      <c r="R1882" s="2"/>
      <c r="S1882" s="2"/>
      <c r="T1882" s="2"/>
      <c r="U1882" s="2"/>
      <c r="V1882" s="2"/>
      <c r="W1882" s="2"/>
    </row>
    <row r="1883" spans="1:23" ht="75" customHeight="1" x14ac:dyDescent="0.15">
      <c r="A1883" s="2"/>
      <c r="B1883" s="2"/>
      <c r="C1883" s="2"/>
      <c r="D1883" s="2"/>
      <c r="E1883" s="2"/>
      <c r="F1883" s="2"/>
      <c r="G1883" s="2"/>
      <c r="H1883" s="2"/>
      <c r="I1883" s="2"/>
      <c r="J1883" s="2"/>
      <c r="K1883" s="2"/>
      <c r="L1883" s="2"/>
      <c r="M1883" s="2"/>
      <c r="N1883" s="2"/>
      <c r="O1883" s="2"/>
      <c r="P1883" s="2"/>
      <c r="Q1883" s="2"/>
      <c r="R1883" s="2"/>
      <c r="S1883" s="2"/>
      <c r="T1883" s="2"/>
      <c r="U1883" s="2"/>
      <c r="V1883" s="2"/>
      <c r="W1883" s="2"/>
    </row>
    <row r="1884" spans="1:23" ht="75" customHeight="1" x14ac:dyDescent="0.15">
      <c r="A1884" s="2"/>
      <c r="B1884" s="2"/>
      <c r="C1884" s="2"/>
      <c r="D1884" s="2"/>
      <c r="E1884" s="2"/>
      <c r="F1884" s="2"/>
      <c r="G1884" s="2"/>
      <c r="H1884" s="2"/>
      <c r="I1884" s="2"/>
      <c r="J1884" s="2"/>
      <c r="K1884" s="2"/>
      <c r="L1884" s="2"/>
      <c r="M1884" s="2"/>
      <c r="N1884" s="2"/>
      <c r="O1884" s="2"/>
      <c r="P1884" s="2"/>
      <c r="Q1884" s="2"/>
      <c r="R1884" s="2"/>
      <c r="S1884" s="2"/>
      <c r="T1884" s="2"/>
      <c r="U1884" s="2"/>
      <c r="V1884" s="2"/>
      <c r="W1884" s="2"/>
    </row>
    <row r="1885" spans="1:23" ht="75" customHeight="1" x14ac:dyDescent="0.15">
      <c r="A1885" s="2"/>
      <c r="B1885" s="2"/>
      <c r="C1885" s="2"/>
      <c r="D1885" s="2"/>
      <c r="E1885" s="2"/>
      <c r="F1885" s="2"/>
      <c r="G1885" s="2"/>
      <c r="H1885" s="2"/>
      <c r="I1885" s="2"/>
      <c r="J1885" s="2"/>
      <c r="K1885" s="2"/>
      <c r="L1885" s="2"/>
      <c r="M1885" s="2"/>
      <c r="N1885" s="2"/>
      <c r="O1885" s="2"/>
      <c r="P1885" s="2"/>
      <c r="Q1885" s="2"/>
      <c r="R1885" s="2"/>
      <c r="S1885" s="2"/>
      <c r="T1885" s="2"/>
      <c r="U1885" s="2"/>
      <c r="V1885" s="2"/>
      <c r="W1885" s="2"/>
    </row>
    <row r="1886" spans="1:23" ht="75" customHeight="1" x14ac:dyDescent="0.15">
      <c r="A1886" s="2"/>
      <c r="B1886" s="2"/>
      <c r="C1886" s="2"/>
      <c r="D1886" s="2"/>
      <c r="E1886" s="2"/>
      <c r="F1886" s="2"/>
      <c r="G1886" s="2"/>
      <c r="H1886" s="2"/>
      <c r="I1886" s="2"/>
      <c r="J1886" s="2"/>
      <c r="K1886" s="2"/>
      <c r="L1886" s="2"/>
      <c r="M1886" s="2"/>
      <c r="N1886" s="2"/>
      <c r="O1886" s="2"/>
      <c r="P1886" s="2"/>
      <c r="Q1886" s="2"/>
      <c r="R1886" s="2"/>
      <c r="S1886" s="2"/>
      <c r="T1886" s="2"/>
      <c r="U1886" s="2"/>
      <c r="V1886" s="2"/>
      <c r="W1886" s="2"/>
    </row>
    <row r="1887" spans="1:23" ht="75" customHeight="1" x14ac:dyDescent="0.15">
      <c r="A1887" s="2"/>
      <c r="B1887" s="2"/>
      <c r="C1887" s="2"/>
      <c r="D1887" s="2"/>
      <c r="E1887" s="2"/>
      <c r="F1887" s="2"/>
      <c r="G1887" s="2"/>
      <c r="H1887" s="2"/>
      <c r="I1887" s="2"/>
      <c r="J1887" s="2"/>
      <c r="K1887" s="2"/>
      <c r="L1887" s="2"/>
      <c r="M1887" s="2"/>
      <c r="N1887" s="2"/>
      <c r="O1887" s="2"/>
      <c r="P1887" s="2"/>
      <c r="Q1887" s="2"/>
      <c r="R1887" s="2"/>
      <c r="S1887" s="2"/>
      <c r="T1887" s="2"/>
      <c r="U1887" s="2"/>
      <c r="V1887" s="2"/>
      <c r="W1887" s="2"/>
    </row>
    <row r="1888" spans="1:23" ht="75" customHeight="1" x14ac:dyDescent="0.15">
      <c r="A1888" s="2"/>
      <c r="B1888" s="2"/>
      <c r="C1888" s="2"/>
      <c r="D1888" s="2"/>
      <c r="E1888" s="2"/>
      <c r="F1888" s="2"/>
      <c r="G1888" s="2"/>
      <c r="H1888" s="2"/>
      <c r="I1888" s="2"/>
      <c r="J1888" s="2"/>
      <c r="K1888" s="2"/>
      <c r="L1888" s="2"/>
      <c r="M1888" s="2"/>
      <c r="N1888" s="2"/>
      <c r="O1888" s="2"/>
      <c r="P1888" s="2"/>
      <c r="Q1888" s="2"/>
      <c r="R1888" s="2"/>
      <c r="S1888" s="2"/>
      <c r="T1888" s="2"/>
      <c r="U1888" s="2"/>
      <c r="V1888" s="2"/>
      <c r="W1888" s="2"/>
    </row>
    <row r="1889" spans="1:23" ht="75" customHeight="1" x14ac:dyDescent="0.15">
      <c r="A1889" s="2"/>
      <c r="B1889" s="2"/>
      <c r="C1889" s="2"/>
      <c r="D1889" s="2"/>
      <c r="E1889" s="2"/>
      <c r="F1889" s="2"/>
      <c r="G1889" s="2"/>
      <c r="H1889" s="2"/>
      <c r="I1889" s="2"/>
      <c r="J1889" s="2"/>
      <c r="K1889" s="2"/>
      <c r="L1889" s="2"/>
      <c r="M1889" s="2"/>
      <c r="N1889" s="2"/>
      <c r="O1889" s="2"/>
      <c r="P1889" s="2"/>
      <c r="Q1889" s="2"/>
      <c r="R1889" s="2"/>
      <c r="S1889" s="2"/>
      <c r="T1889" s="2"/>
      <c r="U1889" s="2"/>
      <c r="V1889" s="2"/>
      <c r="W1889" s="2"/>
    </row>
    <row r="1890" spans="1:23" ht="75" customHeight="1" x14ac:dyDescent="0.15">
      <c r="A1890" s="2"/>
      <c r="B1890" s="2"/>
      <c r="C1890" s="2"/>
      <c r="D1890" s="2"/>
      <c r="E1890" s="2"/>
      <c r="F1890" s="2"/>
      <c r="G1890" s="2"/>
      <c r="H1890" s="2"/>
      <c r="I1890" s="2"/>
      <c r="J1890" s="2"/>
      <c r="K1890" s="2"/>
      <c r="L1890" s="2"/>
      <c r="M1890" s="2"/>
      <c r="N1890" s="2"/>
      <c r="O1890" s="2"/>
      <c r="P1890" s="2"/>
      <c r="Q1890" s="2"/>
      <c r="R1890" s="2"/>
      <c r="S1890" s="2"/>
      <c r="T1890" s="2"/>
      <c r="U1890" s="2"/>
      <c r="V1890" s="2"/>
      <c r="W1890" s="2"/>
    </row>
    <row r="1891" spans="1:23" ht="75" customHeight="1" x14ac:dyDescent="0.15">
      <c r="A1891" s="2"/>
      <c r="B1891" s="2"/>
      <c r="C1891" s="2"/>
      <c r="D1891" s="2"/>
      <c r="E1891" s="2"/>
      <c r="F1891" s="2"/>
      <c r="G1891" s="2"/>
      <c r="H1891" s="2"/>
      <c r="I1891" s="2"/>
      <c r="J1891" s="2"/>
      <c r="K1891" s="2"/>
      <c r="L1891" s="2"/>
      <c r="M1891" s="2"/>
      <c r="N1891" s="2"/>
      <c r="O1891" s="2"/>
      <c r="P1891" s="2"/>
      <c r="Q1891" s="2"/>
      <c r="R1891" s="2"/>
      <c r="S1891" s="2"/>
      <c r="T1891" s="2"/>
      <c r="U1891" s="2"/>
      <c r="V1891" s="2"/>
      <c r="W1891" s="2"/>
    </row>
    <row r="1892" spans="1:23" ht="75" customHeight="1" x14ac:dyDescent="0.15">
      <c r="A1892" s="2"/>
      <c r="B1892" s="2"/>
      <c r="C1892" s="2"/>
      <c r="D1892" s="2"/>
      <c r="E1892" s="2"/>
      <c r="F1892" s="2"/>
      <c r="G1892" s="2"/>
      <c r="H1892" s="2"/>
      <c r="I1892" s="2"/>
      <c r="J1892" s="2"/>
      <c r="K1892" s="2"/>
      <c r="L1892" s="2"/>
      <c r="M1892" s="2"/>
      <c r="N1892" s="2"/>
      <c r="O1892" s="2"/>
      <c r="P1892" s="2"/>
      <c r="Q1892" s="2"/>
      <c r="R1892" s="2"/>
      <c r="S1892" s="2"/>
      <c r="T1892" s="2"/>
      <c r="U1892" s="2"/>
      <c r="V1892" s="2"/>
      <c r="W1892" s="2"/>
    </row>
    <row r="1893" spans="1:23" ht="75" customHeight="1" x14ac:dyDescent="0.15">
      <c r="A1893" s="2"/>
      <c r="B1893" s="2"/>
      <c r="C1893" s="2"/>
      <c r="D1893" s="2"/>
      <c r="E1893" s="2"/>
      <c r="F1893" s="2"/>
      <c r="G1893" s="2"/>
      <c r="H1893" s="2"/>
      <c r="I1893" s="2"/>
      <c r="J1893" s="2"/>
      <c r="K1893" s="2"/>
      <c r="L1893" s="2"/>
      <c r="M1893" s="2"/>
      <c r="N1893" s="2"/>
      <c r="O1893" s="2"/>
      <c r="P1893" s="2"/>
      <c r="Q1893" s="2"/>
      <c r="R1893" s="2"/>
      <c r="S1893" s="2"/>
      <c r="T1893" s="2"/>
      <c r="U1893" s="2"/>
      <c r="V1893" s="2"/>
      <c r="W1893" s="2"/>
    </row>
    <row r="1894" spans="1:23" ht="75" customHeight="1" x14ac:dyDescent="0.15">
      <c r="A1894" s="2"/>
      <c r="B1894" s="2"/>
      <c r="C1894" s="2"/>
      <c r="D1894" s="2"/>
      <c r="E1894" s="2"/>
      <c r="F1894" s="2"/>
      <c r="G1894" s="2"/>
      <c r="H1894" s="2"/>
      <c r="I1894" s="2"/>
      <c r="J1894" s="2"/>
      <c r="K1894" s="2"/>
      <c r="L1894" s="2"/>
      <c r="M1894" s="2"/>
      <c r="N1894" s="2"/>
      <c r="O1894" s="2"/>
      <c r="P1894" s="2"/>
      <c r="Q1894" s="2"/>
      <c r="R1894" s="2"/>
      <c r="S1894" s="2"/>
      <c r="T1894" s="2"/>
      <c r="U1894" s="2"/>
      <c r="V1894" s="2"/>
      <c r="W1894" s="2"/>
    </row>
    <row r="1895" spans="1:23" ht="75" customHeight="1" x14ac:dyDescent="0.15">
      <c r="A1895" s="2"/>
      <c r="B1895" s="2"/>
      <c r="C1895" s="2"/>
      <c r="D1895" s="2"/>
      <c r="E1895" s="2"/>
      <c r="F1895" s="2"/>
      <c r="G1895" s="2"/>
      <c r="H1895" s="2"/>
      <c r="I1895" s="2"/>
      <c r="J1895" s="2"/>
      <c r="K1895" s="2"/>
      <c r="L1895" s="2"/>
      <c r="M1895" s="2"/>
      <c r="N1895" s="2"/>
      <c r="O1895" s="2"/>
      <c r="P1895" s="2"/>
      <c r="Q1895" s="2"/>
      <c r="R1895" s="2"/>
      <c r="S1895" s="2"/>
      <c r="T1895" s="2"/>
      <c r="U1895" s="2"/>
      <c r="V1895" s="2"/>
      <c r="W1895" s="2"/>
    </row>
    <row r="1896" spans="1:23" ht="75" customHeight="1" x14ac:dyDescent="0.15">
      <c r="A1896" s="2"/>
      <c r="B1896" s="2"/>
      <c r="C1896" s="2"/>
      <c r="D1896" s="2"/>
      <c r="E1896" s="2"/>
      <c r="F1896" s="2"/>
      <c r="G1896" s="2"/>
      <c r="H1896" s="2"/>
      <c r="I1896" s="2"/>
      <c r="J1896" s="2"/>
      <c r="K1896" s="2"/>
      <c r="L1896" s="2"/>
      <c r="M1896" s="2"/>
      <c r="N1896" s="2"/>
      <c r="O1896" s="2"/>
      <c r="P1896" s="2"/>
      <c r="Q1896" s="2"/>
      <c r="R1896" s="2"/>
      <c r="S1896" s="2"/>
      <c r="T1896" s="2"/>
      <c r="U1896" s="2"/>
      <c r="V1896" s="2"/>
      <c r="W1896" s="2"/>
    </row>
    <row r="1897" spans="1:23" ht="75" customHeight="1" x14ac:dyDescent="0.15">
      <c r="A1897" s="2"/>
      <c r="B1897" s="2"/>
      <c r="C1897" s="2"/>
      <c r="D1897" s="2"/>
      <c r="E1897" s="2"/>
      <c r="F1897" s="2"/>
      <c r="G1897" s="2"/>
      <c r="H1897" s="2"/>
      <c r="I1897" s="2"/>
      <c r="J1897" s="2"/>
      <c r="K1897" s="2"/>
      <c r="L1897" s="2"/>
      <c r="M1897" s="2"/>
      <c r="N1897" s="2"/>
      <c r="O1897" s="2"/>
      <c r="P1897" s="2"/>
      <c r="Q1897" s="2"/>
      <c r="R1897" s="2"/>
      <c r="S1897" s="2"/>
      <c r="T1897" s="2"/>
      <c r="U1897" s="2"/>
      <c r="V1897" s="2"/>
      <c r="W1897" s="2"/>
    </row>
    <row r="1898" spans="1:23" ht="75" customHeight="1" x14ac:dyDescent="0.15">
      <c r="A1898" s="2"/>
      <c r="B1898" s="2"/>
      <c r="C1898" s="2"/>
      <c r="D1898" s="2"/>
      <c r="E1898" s="2"/>
      <c r="F1898" s="2"/>
      <c r="G1898" s="2"/>
      <c r="H1898" s="2"/>
      <c r="I1898" s="2"/>
      <c r="J1898" s="2"/>
      <c r="K1898" s="2"/>
      <c r="L1898" s="2"/>
      <c r="M1898" s="2"/>
      <c r="N1898" s="2"/>
      <c r="O1898" s="2"/>
      <c r="P1898" s="2"/>
      <c r="Q1898" s="2"/>
      <c r="R1898" s="2"/>
      <c r="S1898" s="2"/>
      <c r="T1898" s="2"/>
      <c r="U1898" s="2"/>
      <c r="V1898" s="2"/>
      <c r="W1898" s="2"/>
    </row>
    <row r="1899" spans="1:23" ht="75" customHeight="1" x14ac:dyDescent="0.15">
      <c r="A1899" s="2"/>
      <c r="B1899" s="2"/>
      <c r="C1899" s="2"/>
      <c r="D1899" s="2"/>
      <c r="E1899" s="2"/>
      <c r="F1899" s="2"/>
      <c r="G1899" s="2"/>
      <c r="H1899" s="2"/>
      <c r="I1899" s="2"/>
      <c r="J1899" s="2"/>
      <c r="K1899" s="2"/>
      <c r="L1899" s="2"/>
      <c r="M1899" s="2"/>
      <c r="N1899" s="2"/>
      <c r="O1899" s="2"/>
      <c r="P1899" s="2"/>
      <c r="Q1899" s="2"/>
      <c r="R1899" s="2"/>
      <c r="S1899" s="2"/>
      <c r="T1899" s="2"/>
      <c r="U1899" s="2"/>
      <c r="V1899" s="2"/>
      <c r="W1899" s="2"/>
    </row>
    <row r="1900" spans="1:23" ht="75" customHeight="1" x14ac:dyDescent="0.15">
      <c r="A1900" s="2"/>
      <c r="B1900" s="2"/>
      <c r="C1900" s="2"/>
      <c r="D1900" s="2"/>
      <c r="E1900" s="2"/>
      <c r="F1900" s="2"/>
      <c r="G1900" s="2"/>
      <c r="H1900" s="2"/>
      <c r="I1900" s="2"/>
      <c r="J1900" s="2"/>
      <c r="K1900" s="2"/>
      <c r="L1900" s="2"/>
      <c r="M1900" s="2"/>
      <c r="N1900" s="2"/>
      <c r="O1900" s="2"/>
      <c r="P1900" s="2"/>
      <c r="Q1900" s="2"/>
      <c r="R1900" s="2"/>
      <c r="S1900" s="2"/>
      <c r="T1900" s="2"/>
      <c r="U1900" s="2"/>
      <c r="V1900" s="2"/>
      <c r="W1900" s="2"/>
    </row>
    <row r="1901" spans="1:23" ht="75" customHeight="1" x14ac:dyDescent="0.15">
      <c r="A1901" s="2"/>
      <c r="B1901" s="2"/>
      <c r="C1901" s="2"/>
      <c r="D1901" s="2"/>
      <c r="E1901" s="2"/>
      <c r="F1901" s="2"/>
      <c r="G1901" s="2"/>
      <c r="H1901" s="2"/>
      <c r="I1901" s="2"/>
      <c r="J1901" s="2"/>
      <c r="K1901" s="2"/>
      <c r="L1901" s="2"/>
      <c r="M1901" s="2"/>
      <c r="N1901" s="2"/>
      <c r="O1901" s="2"/>
      <c r="P1901" s="2"/>
      <c r="Q1901" s="2"/>
      <c r="R1901" s="2"/>
      <c r="S1901" s="2"/>
      <c r="T1901" s="2"/>
      <c r="U1901" s="2"/>
      <c r="V1901" s="2"/>
      <c r="W1901" s="2"/>
    </row>
    <row r="1902" spans="1:23" ht="75" customHeight="1" x14ac:dyDescent="0.15">
      <c r="A1902" s="2"/>
      <c r="B1902" s="2"/>
      <c r="C1902" s="2"/>
      <c r="D1902" s="2"/>
      <c r="E1902" s="2"/>
      <c r="F1902" s="2"/>
      <c r="G1902" s="2"/>
      <c r="H1902" s="2"/>
      <c r="I1902" s="2"/>
      <c r="J1902" s="2"/>
      <c r="K1902" s="2"/>
      <c r="L1902" s="2"/>
      <c r="M1902" s="2"/>
      <c r="N1902" s="2"/>
      <c r="O1902" s="2"/>
      <c r="P1902" s="2"/>
      <c r="Q1902" s="2"/>
      <c r="R1902" s="2"/>
      <c r="S1902" s="2"/>
      <c r="T1902" s="2"/>
      <c r="U1902" s="2"/>
      <c r="V1902" s="2"/>
      <c r="W1902" s="2"/>
    </row>
    <row r="1903" spans="1:23" ht="75" customHeight="1" x14ac:dyDescent="0.15">
      <c r="A1903" s="2"/>
      <c r="B1903" s="2"/>
      <c r="C1903" s="2"/>
      <c r="D1903" s="2"/>
      <c r="E1903" s="2"/>
      <c r="F1903" s="2"/>
      <c r="G1903" s="2"/>
      <c r="H1903" s="2"/>
      <c r="I1903" s="2"/>
      <c r="J1903" s="2"/>
      <c r="K1903" s="2"/>
      <c r="L1903" s="2"/>
      <c r="M1903" s="2"/>
      <c r="N1903" s="2"/>
      <c r="O1903" s="2"/>
      <c r="P1903" s="2"/>
      <c r="Q1903" s="2"/>
      <c r="R1903" s="2"/>
      <c r="S1903" s="2"/>
      <c r="T1903" s="2"/>
      <c r="U1903" s="2"/>
      <c r="V1903" s="2"/>
      <c r="W1903" s="2"/>
    </row>
    <row r="1904" spans="1:23" ht="75" customHeight="1" x14ac:dyDescent="0.15">
      <c r="A1904" s="2"/>
      <c r="B1904" s="2"/>
      <c r="C1904" s="2"/>
      <c r="D1904" s="2"/>
      <c r="E1904" s="2"/>
      <c r="F1904" s="2"/>
      <c r="G1904" s="2"/>
      <c r="H1904" s="2"/>
      <c r="I1904" s="2"/>
      <c r="J1904" s="2"/>
      <c r="K1904" s="2"/>
      <c r="L1904" s="2"/>
      <c r="M1904" s="2"/>
      <c r="N1904" s="2"/>
      <c r="O1904" s="2"/>
      <c r="P1904" s="2"/>
      <c r="Q1904" s="2"/>
      <c r="R1904" s="2"/>
      <c r="S1904" s="2"/>
      <c r="T1904" s="2"/>
      <c r="U1904" s="2"/>
      <c r="V1904" s="2"/>
      <c r="W1904" s="2"/>
    </row>
    <row r="1905" spans="1:23" ht="75" customHeight="1" x14ac:dyDescent="0.15">
      <c r="A1905" s="2"/>
      <c r="B1905" s="2"/>
      <c r="C1905" s="2"/>
      <c r="D1905" s="2"/>
      <c r="E1905" s="2"/>
      <c r="F1905" s="2"/>
      <c r="G1905" s="2"/>
      <c r="H1905" s="2"/>
      <c r="I1905" s="2"/>
      <c r="J1905" s="2"/>
      <c r="K1905" s="2"/>
      <c r="L1905" s="2"/>
      <c r="M1905" s="2"/>
      <c r="N1905" s="2"/>
      <c r="O1905" s="2"/>
      <c r="P1905" s="2"/>
      <c r="Q1905" s="2"/>
      <c r="R1905" s="2"/>
      <c r="S1905" s="2"/>
      <c r="T1905" s="2"/>
      <c r="U1905" s="2"/>
      <c r="V1905" s="2"/>
      <c r="W1905" s="2"/>
    </row>
    <row r="1906" spans="1:23" ht="75" customHeight="1" x14ac:dyDescent="0.15">
      <c r="A1906" s="2"/>
      <c r="B1906" s="2"/>
      <c r="C1906" s="2"/>
      <c r="D1906" s="2"/>
      <c r="E1906" s="2"/>
      <c r="F1906" s="2"/>
      <c r="G1906" s="2"/>
      <c r="H1906" s="2"/>
      <c r="I1906" s="2"/>
      <c r="J1906" s="2"/>
      <c r="K1906" s="2"/>
      <c r="L1906" s="2"/>
      <c r="M1906" s="2"/>
      <c r="N1906" s="2"/>
      <c r="O1906" s="2"/>
      <c r="P1906" s="2"/>
      <c r="Q1906" s="2"/>
      <c r="R1906" s="2"/>
      <c r="S1906" s="2"/>
      <c r="T1906" s="2"/>
      <c r="U1906" s="2"/>
      <c r="V1906" s="2"/>
      <c r="W1906" s="2"/>
    </row>
    <row r="1907" spans="1:23" ht="75" customHeight="1" x14ac:dyDescent="0.15">
      <c r="A1907" s="2"/>
      <c r="B1907" s="2"/>
      <c r="C1907" s="2"/>
      <c r="D1907" s="2"/>
      <c r="E1907" s="2"/>
      <c r="F1907" s="2"/>
      <c r="G1907" s="2"/>
      <c r="H1907" s="2"/>
      <c r="I1907" s="2"/>
      <c r="J1907" s="2"/>
      <c r="K1907" s="2"/>
      <c r="L1907" s="2"/>
      <c r="M1907" s="2"/>
      <c r="N1907" s="2"/>
      <c r="O1907" s="2"/>
      <c r="P1907" s="2"/>
      <c r="Q1907" s="2"/>
      <c r="R1907" s="2"/>
      <c r="S1907" s="2"/>
      <c r="T1907" s="2"/>
      <c r="U1907" s="2"/>
      <c r="V1907" s="2"/>
      <c r="W1907" s="2"/>
    </row>
    <row r="1908" spans="1:23" ht="75" customHeight="1" x14ac:dyDescent="0.15">
      <c r="A1908" s="2"/>
      <c r="B1908" s="2"/>
      <c r="C1908" s="2"/>
      <c r="D1908" s="2"/>
      <c r="E1908" s="2"/>
      <c r="F1908" s="2"/>
      <c r="G1908" s="2"/>
      <c r="H1908" s="2"/>
      <c r="I1908" s="2"/>
      <c r="J1908" s="2"/>
      <c r="K1908" s="2"/>
      <c r="L1908" s="2"/>
      <c r="M1908" s="2"/>
      <c r="N1908" s="2"/>
      <c r="O1908" s="2"/>
      <c r="P1908" s="2"/>
      <c r="Q1908" s="2"/>
      <c r="R1908" s="2"/>
      <c r="S1908" s="2"/>
      <c r="T1908" s="2"/>
      <c r="U1908" s="2"/>
      <c r="V1908" s="2"/>
      <c r="W1908" s="2"/>
    </row>
    <row r="1909" spans="1:23" ht="75" customHeight="1" x14ac:dyDescent="0.15">
      <c r="A1909" s="2"/>
      <c r="B1909" s="2"/>
      <c r="C1909" s="2"/>
      <c r="D1909" s="2"/>
      <c r="E1909" s="2"/>
      <c r="F1909" s="2"/>
      <c r="G1909" s="2"/>
      <c r="H1909" s="2"/>
      <c r="I1909" s="2"/>
      <c r="J1909" s="2"/>
      <c r="K1909" s="2"/>
      <c r="L1909" s="2"/>
      <c r="M1909" s="2"/>
      <c r="N1909" s="2"/>
      <c r="O1909" s="2"/>
      <c r="P1909" s="2"/>
      <c r="Q1909" s="2"/>
      <c r="R1909" s="2"/>
      <c r="S1909" s="2"/>
      <c r="T1909" s="2"/>
      <c r="U1909" s="2"/>
      <c r="V1909" s="2"/>
      <c r="W1909" s="2"/>
    </row>
    <row r="1910" spans="1:23" ht="75" customHeight="1" x14ac:dyDescent="0.15">
      <c r="A1910" s="2"/>
      <c r="B1910" s="2"/>
      <c r="C1910" s="2"/>
      <c r="D1910" s="2"/>
      <c r="E1910" s="2"/>
      <c r="F1910" s="2"/>
      <c r="G1910" s="2"/>
      <c r="H1910" s="2"/>
      <c r="I1910" s="2"/>
      <c r="J1910" s="2"/>
      <c r="K1910" s="2"/>
      <c r="L1910" s="2"/>
      <c r="M1910" s="2"/>
      <c r="N1910" s="2"/>
      <c r="O1910" s="2"/>
      <c r="P1910" s="2"/>
      <c r="Q1910" s="2"/>
      <c r="R1910" s="2"/>
      <c r="S1910" s="2"/>
      <c r="T1910" s="2"/>
      <c r="U1910" s="2"/>
      <c r="V1910" s="2"/>
      <c r="W1910" s="2"/>
    </row>
    <row r="1911" spans="1:23" ht="75" customHeight="1" x14ac:dyDescent="0.15">
      <c r="A1911" s="2"/>
      <c r="B1911" s="2"/>
      <c r="C1911" s="2"/>
      <c r="D1911" s="2"/>
      <c r="E1911" s="2"/>
      <c r="F1911" s="2"/>
      <c r="G1911" s="2"/>
      <c r="H1911" s="2"/>
      <c r="I1911" s="2"/>
      <c r="J1911" s="2"/>
      <c r="K1911" s="2"/>
      <c r="L1911" s="2"/>
      <c r="M1911" s="2"/>
      <c r="N1911" s="2"/>
      <c r="O1911" s="2"/>
      <c r="P1911" s="2"/>
      <c r="Q1911" s="2"/>
      <c r="R1911" s="2"/>
      <c r="S1911" s="2"/>
      <c r="T1911" s="2"/>
      <c r="U1911" s="2"/>
      <c r="V1911" s="2"/>
      <c r="W1911" s="2"/>
    </row>
    <row r="1912" spans="1:23" ht="75" customHeight="1" x14ac:dyDescent="0.15">
      <c r="A1912" s="2"/>
      <c r="B1912" s="2"/>
      <c r="C1912" s="2"/>
      <c r="D1912" s="2"/>
      <c r="E1912" s="2"/>
      <c r="F1912" s="2"/>
      <c r="G1912" s="2"/>
      <c r="H1912" s="2"/>
      <c r="I1912" s="2"/>
      <c r="J1912" s="2"/>
      <c r="K1912" s="2"/>
      <c r="L1912" s="2"/>
      <c r="M1912" s="2"/>
      <c r="N1912" s="2"/>
      <c r="O1912" s="2"/>
      <c r="P1912" s="2"/>
      <c r="Q1912" s="2"/>
      <c r="R1912" s="2"/>
      <c r="S1912" s="2"/>
      <c r="T1912" s="2"/>
      <c r="U1912" s="2"/>
      <c r="V1912" s="2"/>
      <c r="W1912" s="2"/>
    </row>
    <row r="1913" spans="1:23" ht="75" customHeight="1" x14ac:dyDescent="0.15">
      <c r="A1913" s="2"/>
      <c r="B1913" s="2"/>
      <c r="C1913" s="2"/>
      <c r="D1913" s="2"/>
      <c r="E1913" s="2"/>
      <c r="F1913" s="2"/>
      <c r="G1913" s="2"/>
      <c r="H1913" s="2"/>
      <c r="I1913" s="2"/>
      <c r="J1913" s="2"/>
      <c r="K1913" s="2"/>
      <c r="L1913" s="2"/>
      <c r="M1913" s="2"/>
      <c r="N1913" s="2"/>
      <c r="O1913" s="2"/>
      <c r="P1913" s="2"/>
      <c r="Q1913" s="2"/>
      <c r="R1913" s="2"/>
      <c r="S1913" s="2"/>
      <c r="T1913" s="2"/>
      <c r="U1913" s="2"/>
      <c r="V1913" s="2"/>
      <c r="W1913" s="2"/>
    </row>
    <row r="1914" spans="1:23" ht="75" customHeight="1" x14ac:dyDescent="0.15">
      <c r="A1914" s="2"/>
      <c r="B1914" s="2"/>
      <c r="C1914" s="2"/>
      <c r="D1914" s="2"/>
      <c r="E1914" s="2"/>
      <c r="F1914" s="2"/>
      <c r="G1914" s="2"/>
      <c r="H1914" s="2"/>
      <c r="I1914" s="2"/>
      <c r="J1914" s="2"/>
      <c r="K1914" s="2"/>
      <c r="L1914" s="2"/>
      <c r="M1914" s="2"/>
      <c r="N1914" s="2"/>
      <c r="O1914" s="2"/>
      <c r="P1914" s="2"/>
      <c r="Q1914" s="2"/>
      <c r="R1914" s="2"/>
      <c r="S1914" s="2"/>
      <c r="T1914" s="2"/>
      <c r="U1914" s="2"/>
      <c r="V1914" s="2"/>
      <c r="W1914" s="2"/>
    </row>
    <row r="1915" spans="1:23" ht="75" customHeight="1" x14ac:dyDescent="0.15">
      <c r="A1915" s="2"/>
      <c r="B1915" s="2"/>
      <c r="C1915" s="2"/>
      <c r="D1915" s="2"/>
      <c r="E1915" s="2"/>
      <c r="F1915" s="2"/>
      <c r="G1915" s="2"/>
      <c r="H1915" s="2"/>
      <c r="I1915" s="2"/>
      <c r="J1915" s="2"/>
      <c r="K1915" s="2"/>
      <c r="L1915" s="2"/>
      <c r="M1915" s="2"/>
      <c r="N1915" s="2"/>
      <c r="O1915" s="2"/>
      <c r="P1915" s="2"/>
      <c r="Q1915" s="2"/>
      <c r="R1915" s="2"/>
      <c r="S1915" s="2"/>
      <c r="T1915" s="2"/>
      <c r="U1915" s="2"/>
      <c r="V1915" s="2"/>
      <c r="W1915" s="2"/>
    </row>
    <row r="1916" spans="1:23" ht="75" customHeight="1" x14ac:dyDescent="0.15">
      <c r="A1916" s="2"/>
      <c r="B1916" s="2"/>
      <c r="C1916" s="2"/>
      <c r="D1916" s="2"/>
      <c r="E1916" s="2"/>
      <c r="F1916" s="2"/>
      <c r="G1916" s="2"/>
      <c r="H1916" s="2"/>
      <c r="I1916" s="2"/>
      <c r="J1916" s="2"/>
      <c r="K1916" s="2"/>
      <c r="L1916" s="2"/>
      <c r="M1916" s="2"/>
      <c r="N1916" s="2"/>
      <c r="O1916" s="2"/>
      <c r="P1916" s="2"/>
      <c r="Q1916" s="2"/>
      <c r="R1916" s="2"/>
      <c r="S1916" s="2"/>
      <c r="T1916" s="2"/>
      <c r="U1916" s="2"/>
      <c r="V1916" s="2"/>
      <c r="W1916" s="2"/>
    </row>
    <row r="1917" spans="1:23" ht="75" customHeight="1" x14ac:dyDescent="0.15">
      <c r="A1917" s="2"/>
      <c r="B1917" s="2"/>
      <c r="C1917" s="2"/>
      <c r="D1917" s="2"/>
      <c r="E1917" s="2"/>
      <c r="F1917" s="2"/>
      <c r="G1917" s="2"/>
      <c r="H1917" s="2"/>
      <c r="I1917" s="2"/>
      <c r="J1917" s="2"/>
      <c r="K1917" s="2"/>
      <c r="L1917" s="2"/>
      <c r="M1917" s="2"/>
      <c r="N1917" s="2"/>
      <c r="O1917" s="2"/>
      <c r="P1917" s="2"/>
      <c r="Q1917" s="2"/>
      <c r="R1917" s="2"/>
      <c r="S1917" s="2"/>
      <c r="T1917" s="2"/>
      <c r="U1917" s="2"/>
      <c r="V1917" s="2"/>
      <c r="W1917" s="2"/>
    </row>
    <row r="1918" spans="1:23" ht="75" customHeight="1" x14ac:dyDescent="0.15">
      <c r="A1918" s="2"/>
      <c r="B1918" s="2"/>
      <c r="C1918" s="2"/>
      <c r="D1918" s="2"/>
      <c r="E1918" s="2"/>
      <c r="F1918" s="2"/>
      <c r="G1918" s="2"/>
      <c r="H1918" s="2"/>
      <c r="I1918" s="2"/>
      <c r="J1918" s="2"/>
      <c r="K1918" s="2"/>
      <c r="L1918" s="2"/>
      <c r="M1918" s="2"/>
      <c r="N1918" s="2"/>
      <c r="O1918" s="2"/>
      <c r="P1918" s="2"/>
      <c r="Q1918" s="2"/>
      <c r="R1918" s="2"/>
      <c r="S1918" s="2"/>
      <c r="T1918" s="2"/>
      <c r="U1918" s="2"/>
      <c r="V1918" s="2"/>
      <c r="W1918" s="2"/>
    </row>
    <row r="1919" spans="1:23" ht="75" customHeight="1" x14ac:dyDescent="0.15">
      <c r="A1919" s="2"/>
      <c r="B1919" s="2"/>
      <c r="C1919" s="2"/>
      <c r="D1919" s="2"/>
      <c r="E1919" s="2"/>
      <c r="F1919" s="2"/>
      <c r="G1919" s="2"/>
      <c r="H1919" s="2"/>
      <c r="I1919" s="2"/>
      <c r="J1919" s="2"/>
      <c r="K1919" s="2"/>
      <c r="L1919" s="2"/>
      <c r="M1919" s="2"/>
      <c r="N1919" s="2"/>
      <c r="O1919" s="2"/>
      <c r="P1919" s="2"/>
      <c r="Q1919" s="2"/>
      <c r="R1919" s="2"/>
      <c r="S1919" s="2"/>
      <c r="T1919" s="2"/>
      <c r="U1919" s="2"/>
      <c r="V1919" s="2"/>
      <c r="W1919" s="2"/>
    </row>
    <row r="1920" spans="1:23" ht="75" customHeight="1" x14ac:dyDescent="0.15">
      <c r="A1920" s="2"/>
      <c r="B1920" s="2"/>
      <c r="C1920" s="2"/>
      <c r="D1920" s="2"/>
      <c r="E1920" s="2"/>
      <c r="F1920" s="2"/>
      <c r="G1920" s="2"/>
      <c r="H1920" s="2"/>
      <c r="I1920" s="2"/>
      <c r="J1920" s="2"/>
      <c r="K1920" s="2"/>
      <c r="L1920" s="2"/>
      <c r="M1920" s="2"/>
      <c r="N1920" s="2"/>
      <c r="O1920" s="2"/>
      <c r="P1920" s="2"/>
      <c r="Q1920" s="2"/>
      <c r="R1920" s="2"/>
      <c r="S1920" s="2"/>
      <c r="T1920" s="2"/>
      <c r="U1920" s="2"/>
      <c r="V1920" s="2"/>
      <c r="W1920" s="2"/>
    </row>
    <row r="1921" spans="1:23" ht="75" customHeight="1" x14ac:dyDescent="0.15">
      <c r="A1921" s="2"/>
      <c r="B1921" s="2"/>
      <c r="C1921" s="2"/>
      <c r="D1921" s="2"/>
      <c r="E1921" s="2"/>
      <c r="F1921" s="2"/>
      <c r="G1921" s="2"/>
      <c r="H1921" s="2"/>
      <c r="I1921" s="2"/>
      <c r="J1921" s="2"/>
      <c r="K1921" s="2"/>
      <c r="L1921" s="2"/>
      <c r="M1921" s="2"/>
      <c r="N1921" s="2"/>
      <c r="O1921" s="2"/>
      <c r="P1921" s="2"/>
      <c r="Q1921" s="2"/>
      <c r="R1921" s="2"/>
      <c r="S1921" s="2"/>
      <c r="T1921" s="2"/>
      <c r="U1921" s="2"/>
      <c r="V1921" s="2"/>
      <c r="W1921" s="2"/>
    </row>
    <row r="1922" spans="1:23" ht="75" customHeight="1" x14ac:dyDescent="0.15">
      <c r="A1922" s="2"/>
      <c r="B1922" s="2"/>
      <c r="C1922" s="2"/>
      <c r="D1922" s="2"/>
      <c r="E1922" s="2"/>
      <c r="F1922" s="2"/>
      <c r="G1922" s="2"/>
      <c r="H1922" s="2"/>
      <c r="I1922" s="2"/>
      <c r="J1922" s="2"/>
      <c r="K1922" s="2"/>
      <c r="L1922" s="2"/>
      <c r="M1922" s="2"/>
      <c r="N1922" s="2"/>
      <c r="O1922" s="2"/>
      <c r="P1922" s="2"/>
      <c r="Q1922" s="2"/>
      <c r="R1922" s="2"/>
      <c r="S1922" s="2"/>
      <c r="T1922" s="2"/>
      <c r="U1922" s="2"/>
      <c r="V1922" s="2"/>
      <c r="W1922" s="2"/>
    </row>
    <row r="1923" spans="1:23" ht="75" customHeight="1" x14ac:dyDescent="0.15">
      <c r="A1923" s="2"/>
      <c r="B1923" s="2"/>
      <c r="C1923" s="2"/>
      <c r="D1923" s="2"/>
      <c r="E1923" s="2"/>
      <c r="F1923" s="2"/>
      <c r="G1923" s="2"/>
      <c r="H1923" s="2"/>
      <c r="I1923" s="2"/>
      <c r="J1923" s="2"/>
      <c r="K1923" s="2"/>
      <c r="L1923" s="2"/>
      <c r="M1923" s="2"/>
      <c r="N1923" s="2"/>
      <c r="O1923" s="2"/>
      <c r="P1923" s="2"/>
      <c r="Q1923" s="2"/>
      <c r="R1923" s="2"/>
      <c r="S1923" s="2"/>
      <c r="T1923" s="2"/>
      <c r="U1923" s="2"/>
      <c r="V1923" s="2"/>
      <c r="W1923" s="2"/>
    </row>
    <row r="1924" spans="1:23" ht="75" customHeight="1" x14ac:dyDescent="0.15">
      <c r="A1924" s="2"/>
      <c r="B1924" s="2"/>
      <c r="C1924" s="2"/>
      <c r="D1924" s="2"/>
      <c r="E1924" s="2"/>
      <c r="F1924" s="2"/>
      <c r="G1924" s="2"/>
      <c r="H1924" s="2"/>
      <c r="I1924" s="2"/>
      <c r="J1924" s="2"/>
      <c r="K1924" s="2"/>
      <c r="L1924" s="2"/>
      <c r="M1924" s="2"/>
      <c r="N1924" s="2"/>
      <c r="O1924" s="2"/>
      <c r="P1924" s="2"/>
      <c r="Q1924" s="2"/>
      <c r="R1924" s="2"/>
      <c r="S1924" s="2"/>
      <c r="T1924" s="2"/>
      <c r="U1924" s="2"/>
      <c r="V1924" s="2"/>
      <c r="W1924" s="2"/>
    </row>
    <row r="1925" spans="1:23" ht="75" customHeight="1" x14ac:dyDescent="0.15">
      <c r="A1925" s="2"/>
      <c r="B1925" s="2"/>
      <c r="C1925" s="2"/>
      <c r="D1925" s="2"/>
      <c r="E1925" s="2"/>
      <c r="F1925" s="2"/>
      <c r="G1925" s="2"/>
      <c r="H1925" s="2"/>
      <c r="I1925" s="2"/>
      <c r="J1925" s="2"/>
      <c r="K1925" s="2"/>
      <c r="L1925" s="2"/>
      <c r="M1925" s="2"/>
      <c r="N1925" s="2"/>
      <c r="O1925" s="2"/>
      <c r="P1925" s="2"/>
      <c r="Q1925" s="2"/>
      <c r="R1925" s="2"/>
      <c r="S1925" s="2"/>
      <c r="T1925" s="2"/>
      <c r="U1925" s="2"/>
      <c r="V1925" s="2"/>
      <c r="W1925" s="2"/>
    </row>
    <row r="1926" spans="1:23" ht="75" customHeight="1" x14ac:dyDescent="0.15">
      <c r="A1926" s="2"/>
      <c r="B1926" s="2"/>
      <c r="C1926" s="2"/>
      <c r="D1926" s="2"/>
      <c r="E1926" s="2"/>
      <c r="F1926" s="2"/>
      <c r="G1926" s="2"/>
      <c r="H1926" s="2"/>
      <c r="I1926" s="2"/>
      <c r="J1926" s="2"/>
      <c r="K1926" s="2"/>
      <c r="L1926" s="2"/>
      <c r="M1926" s="2"/>
      <c r="N1926" s="2"/>
      <c r="O1926" s="2"/>
      <c r="P1926" s="2"/>
      <c r="Q1926" s="2"/>
      <c r="R1926" s="2"/>
      <c r="S1926" s="2"/>
      <c r="T1926" s="2"/>
      <c r="U1926" s="2"/>
      <c r="V1926" s="2"/>
      <c r="W1926" s="2"/>
    </row>
    <row r="1927" spans="1:23" ht="75" customHeight="1" x14ac:dyDescent="0.15">
      <c r="A1927" s="2"/>
      <c r="B1927" s="2"/>
      <c r="C1927" s="2"/>
      <c r="D1927" s="2"/>
      <c r="E1927" s="2"/>
      <c r="F1927" s="2"/>
      <c r="G1927" s="2"/>
      <c r="H1927" s="2"/>
      <c r="I1927" s="2"/>
      <c r="J1927" s="2"/>
      <c r="K1927" s="2"/>
      <c r="L1927" s="2"/>
      <c r="M1927" s="2"/>
      <c r="N1927" s="2"/>
      <c r="O1927" s="2"/>
      <c r="P1927" s="2"/>
      <c r="Q1927" s="2"/>
      <c r="R1927" s="2"/>
      <c r="S1927" s="2"/>
      <c r="T1927" s="2"/>
      <c r="U1927" s="2"/>
      <c r="V1927" s="2"/>
      <c r="W1927" s="2"/>
    </row>
    <row r="1928" spans="1:23" ht="75" customHeight="1" x14ac:dyDescent="0.15">
      <c r="A1928" s="2"/>
      <c r="B1928" s="2"/>
      <c r="C1928" s="2"/>
      <c r="D1928" s="2"/>
      <c r="E1928" s="2"/>
      <c r="F1928" s="2"/>
      <c r="G1928" s="2"/>
      <c r="H1928" s="2"/>
      <c r="I1928" s="2"/>
      <c r="J1928" s="2"/>
      <c r="K1928" s="2"/>
      <c r="L1928" s="2"/>
      <c r="M1928" s="2"/>
      <c r="N1928" s="2"/>
      <c r="O1928" s="2"/>
      <c r="P1928" s="2"/>
      <c r="Q1928" s="2"/>
      <c r="R1928" s="2"/>
      <c r="S1928" s="2"/>
      <c r="T1928" s="2"/>
      <c r="U1928" s="2"/>
      <c r="V1928" s="2"/>
      <c r="W1928" s="2"/>
    </row>
    <row r="1929" spans="1:23" ht="75" customHeight="1" x14ac:dyDescent="0.15">
      <c r="A1929" s="2"/>
      <c r="B1929" s="2"/>
      <c r="C1929" s="2"/>
      <c r="D1929" s="2"/>
      <c r="E1929" s="2"/>
      <c r="F1929" s="2"/>
      <c r="G1929" s="2"/>
      <c r="H1929" s="2"/>
      <c r="I1929" s="2"/>
      <c r="J1929" s="2"/>
      <c r="K1929" s="2"/>
      <c r="L1929" s="2"/>
      <c r="M1929" s="2"/>
      <c r="N1929" s="2"/>
      <c r="O1929" s="2"/>
      <c r="P1929" s="2"/>
      <c r="Q1929" s="2"/>
      <c r="R1929" s="2"/>
      <c r="S1929" s="2"/>
      <c r="T1929" s="2"/>
      <c r="U1929" s="2"/>
      <c r="V1929" s="2"/>
      <c r="W1929" s="2"/>
    </row>
    <row r="1930" spans="1:23" ht="75" customHeight="1" x14ac:dyDescent="0.15">
      <c r="A1930" s="2"/>
      <c r="B1930" s="2"/>
      <c r="C1930" s="2"/>
      <c r="D1930" s="2"/>
      <c r="E1930" s="2"/>
      <c r="F1930" s="2"/>
      <c r="G1930" s="2"/>
      <c r="H1930" s="2"/>
      <c r="I1930" s="2"/>
      <c r="J1930" s="2"/>
      <c r="K1930" s="2"/>
      <c r="L1930" s="2"/>
      <c r="M1930" s="2"/>
      <c r="N1930" s="2"/>
      <c r="O1930" s="2"/>
      <c r="P1930" s="2"/>
      <c r="Q1930" s="2"/>
      <c r="R1930" s="2"/>
      <c r="S1930" s="2"/>
      <c r="T1930" s="2"/>
      <c r="U1930" s="2"/>
      <c r="V1930" s="2"/>
      <c r="W1930" s="2"/>
    </row>
    <row r="1931" spans="1:23" ht="75" customHeight="1" x14ac:dyDescent="0.15">
      <c r="A1931" s="2"/>
      <c r="B1931" s="2"/>
      <c r="C1931" s="2"/>
      <c r="D1931" s="2"/>
      <c r="E1931" s="2"/>
      <c r="F1931" s="2"/>
      <c r="G1931" s="2"/>
      <c r="H1931" s="2"/>
      <c r="I1931" s="2"/>
      <c r="J1931" s="2"/>
      <c r="K1931" s="2"/>
      <c r="L1931" s="2"/>
      <c r="M1931" s="2"/>
      <c r="N1931" s="2"/>
      <c r="O1931" s="2"/>
      <c r="P1931" s="2"/>
      <c r="Q1931" s="2"/>
      <c r="R1931" s="2"/>
      <c r="S1931" s="2"/>
      <c r="T1931" s="2"/>
      <c r="U1931" s="2"/>
      <c r="V1931" s="2"/>
      <c r="W1931" s="2"/>
    </row>
    <row r="1932" spans="1:23" ht="75" customHeight="1" x14ac:dyDescent="0.15">
      <c r="A1932" s="2"/>
      <c r="B1932" s="2"/>
      <c r="C1932" s="2"/>
      <c r="D1932" s="2"/>
      <c r="E1932" s="2"/>
      <c r="F1932" s="2"/>
      <c r="G1932" s="2"/>
      <c r="H1932" s="2"/>
      <c r="I1932" s="2"/>
      <c r="J1932" s="2"/>
      <c r="K1932" s="2"/>
      <c r="L1932" s="2"/>
      <c r="M1932" s="2"/>
      <c r="N1932" s="2"/>
      <c r="O1932" s="2"/>
      <c r="P1932" s="2"/>
      <c r="Q1932" s="2"/>
      <c r="R1932" s="2"/>
      <c r="S1932" s="2"/>
      <c r="T1932" s="2"/>
      <c r="U1932" s="2"/>
      <c r="V1932" s="2"/>
      <c r="W1932" s="2"/>
    </row>
    <row r="1933" spans="1:23" ht="75" customHeight="1" x14ac:dyDescent="0.15">
      <c r="A1933" s="2"/>
      <c r="B1933" s="2"/>
      <c r="C1933" s="2"/>
      <c r="D1933" s="2"/>
      <c r="E1933" s="2"/>
      <c r="F1933" s="2"/>
      <c r="G1933" s="2"/>
      <c r="H1933" s="2"/>
      <c r="I1933" s="2"/>
      <c r="J1933" s="2"/>
      <c r="K1933" s="2"/>
      <c r="L1933" s="2"/>
      <c r="M1933" s="2"/>
      <c r="N1933" s="2"/>
      <c r="O1933" s="2"/>
      <c r="P1933" s="2"/>
      <c r="Q1933" s="2"/>
      <c r="R1933" s="2"/>
      <c r="S1933" s="2"/>
      <c r="T1933" s="2"/>
      <c r="U1933" s="2"/>
      <c r="V1933" s="2"/>
      <c r="W1933" s="2"/>
    </row>
    <row r="1934" spans="1:23" ht="75" customHeight="1" x14ac:dyDescent="0.15">
      <c r="A1934" s="2"/>
      <c r="B1934" s="2"/>
      <c r="C1934" s="2"/>
      <c r="D1934" s="2"/>
      <c r="E1934" s="2"/>
      <c r="F1934" s="2"/>
      <c r="G1934" s="2"/>
      <c r="H1934" s="2"/>
      <c r="I1934" s="2"/>
      <c r="J1934" s="2"/>
      <c r="K1934" s="2"/>
      <c r="L1934" s="2"/>
      <c r="M1934" s="2"/>
      <c r="N1934" s="2"/>
      <c r="O1934" s="2"/>
      <c r="P1934" s="2"/>
      <c r="Q1934" s="2"/>
      <c r="R1934" s="2"/>
      <c r="S1934" s="2"/>
      <c r="T1934" s="2"/>
      <c r="U1934" s="2"/>
      <c r="V1934" s="2"/>
      <c r="W1934" s="2"/>
    </row>
    <row r="1935" spans="1:23" ht="75" customHeight="1" x14ac:dyDescent="0.15">
      <c r="A1935" s="2"/>
      <c r="B1935" s="2"/>
      <c r="C1935" s="2"/>
      <c r="D1935" s="2"/>
      <c r="E1935" s="2"/>
      <c r="F1935" s="2"/>
      <c r="G1935" s="2"/>
      <c r="H1935" s="2"/>
      <c r="I1935" s="2"/>
      <c r="J1935" s="2"/>
      <c r="K1935" s="2"/>
      <c r="L1935" s="2"/>
      <c r="M1935" s="2"/>
      <c r="N1935" s="2"/>
      <c r="O1935" s="2"/>
      <c r="P1935" s="2"/>
      <c r="Q1935" s="2"/>
      <c r="R1935" s="2"/>
      <c r="S1935" s="2"/>
      <c r="T1935" s="2"/>
      <c r="U1935" s="2"/>
      <c r="V1935" s="2"/>
      <c r="W1935" s="2"/>
    </row>
    <row r="1936" spans="1:23" ht="75" customHeight="1" x14ac:dyDescent="0.15">
      <c r="A1936" s="2"/>
      <c r="B1936" s="2"/>
      <c r="C1936" s="2"/>
      <c r="D1936" s="2"/>
      <c r="E1936" s="2"/>
      <c r="F1936" s="2"/>
      <c r="G1936" s="2"/>
      <c r="H1936" s="2"/>
      <c r="I1936" s="2"/>
      <c r="J1936" s="2"/>
      <c r="K1936" s="2"/>
      <c r="L1936" s="2"/>
      <c r="M1936" s="2"/>
      <c r="N1936" s="2"/>
      <c r="O1936" s="2"/>
      <c r="P1936" s="2"/>
      <c r="Q1936" s="2"/>
      <c r="R1936" s="2"/>
      <c r="S1936" s="2"/>
      <c r="T1936" s="2"/>
      <c r="U1936" s="2"/>
      <c r="V1936" s="2"/>
      <c r="W1936" s="2"/>
    </row>
    <row r="1937" spans="1:23" ht="75" customHeight="1" x14ac:dyDescent="0.15">
      <c r="A1937" s="2"/>
      <c r="B1937" s="2"/>
      <c r="C1937" s="2"/>
      <c r="D1937" s="2"/>
      <c r="E1937" s="2"/>
      <c r="F1937" s="2"/>
      <c r="G1937" s="2"/>
      <c r="H1937" s="2"/>
      <c r="I1937" s="2"/>
      <c r="J1937" s="2"/>
      <c r="K1937" s="2"/>
      <c r="L1937" s="2"/>
      <c r="M1937" s="2"/>
      <c r="N1937" s="2"/>
      <c r="O1937" s="2"/>
      <c r="P1937" s="2"/>
      <c r="Q1937" s="2"/>
      <c r="R1937" s="2"/>
      <c r="S1937" s="2"/>
      <c r="T1937" s="2"/>
      <c r="U1937" s="2"/>
      <c r="V1937" s="2"/>
      <c r="W1937" s="2"/>
    </row>
    <row r="1938" spans="1:23" ht="75" customHeight="1" x14ac:dyDescent="0.15">
      <c r="A1938" s="2"/>
      <c r="B1938" s="2"/>
      <c r="C1938" s="2"/>
      <c r="D1938" s="2"/>
      <c r="E1938" s="2"/>
      <c r="F1938" s="2"/>
      <c r="G1938" s="2"/>
      <c r="H1938" s="2"/>
      <c r="I1938" s="2"/>
      <c r="J1938" s="2"/>
      <c r="K1938" s="2"/>
      <c r="L1938" s="2"/>
      <c r="M1938" s="2"/>
      <c r="N1938" s="2"/>
      <c r="O1938" s="2"/>
      <c r="P1938" s="2"/>
      <c r="Q1938" s="2"/>
      <c r="R1938" s="2"/>
      <c r="S1938" s="2"/>
      <c r="T1938" s="2"/>
      <c r="U1938" s="2"/>
      <c r="V1938" s="2"/>
      <c r="W1938" s="2"/>
    </row>
    <row r="1939" spans="1:23" ht="75" customHeight="1" x14ac:dyDescent="0.15">
      <c r="A1939" s="2"/>
      <c r="B1939" s="2"/>
      <c r="C1939" s="2"/>
      <c r="D1939" s="2"/>
      <c r="E1939" s="2"/>
      <c r="F1939" s="2"/>
      <c r="G1939" s="2"/>
      <c r="H1939" s="2"/>
      <c r="I1939" s="2"/>
      <c r="J1939" s="2"/>
      <c r="K1939" s="2"/>
      <c r="L1939" s="2"/>
      <c r="M1939" s="2"/>
      <c r="N1939" s="2"/>
      <c r="O1939" s="2"/>
      <c r="P1939" s="2"/>
      <c r="Q1939" s="2"/>
      <c r="R1939" s="2"/>
      <c r="S1939" s="2"/>
      <c r="T1939" s="2"/>
      <c r="U1939" s="2"/>
      <c r="V1939" s="2"/>
      <c r="W1939" s="2"/>
    </row>
    <row r="1940" spans="1:23" ht="75" customHeight="1" x14ac:dyDescent="0.15">
      <c r="A1940" s="2"/>
      <c r="B1940" s="2"/>
      <c r="C1940" s="2"/>
      <c r="D1940" s="2"/>
      <c r="E1940" s="2"/>
      <c r="F1940" s="2"/>
      <c r="G1940" s="2"/>
      <c r="H1940" s="2"/>
      <c r="I1940" s="2"/>
      <c r="J1940" s="2"/>
      <c r="K1940" s="2"/>
      <c r="L1940" s="2"/>
      <c r="M1940" s="2"/>
      <c r="N1940" s="2"/>
      <c r="O1940" s="2"/>
      <c r="P1940" s="2"/>
      <c r="Q1940" s="2"/>
      <c r="R1940" s="2"/>
      <c r="S1940" s="2"/>
      <c r="T1940" s="2"/>
      <c r="U1940" s="2"/>
      <c r="V1940" s="2"/>
      <c r="W1940" s="2"/>
    </row>
    <row r="1941" spans="1:23" ht="75" customHeight="1" x14ac:dyDescent="0.15">
      <c r="A1941" s="2"/>
      <c r="B1941" s="2"/>
      <c r="C1941" s="2"/>
      <c r="D1941" s="2"/>
      <c r="E1941" s="2"/>
      <c r="F1941" s="2"/>
      <c r="G1941" s="2"/>
      <c r="H1941" s="2"/>
      <c r="I1941" s="2"/>
      <c r="J1941" s="2"/>
      <c r="K1941" s="2"/>
      <c r="L1941" s="2"/>
      <c r="M1941" s="2"/>
      <c r="N1941" s="2"/>
      <c r="O1941" s="2"/>
      <c r="P1941" s="2"/>
      <c r="Q1941" s="2"/>
      <c r="R1941" s="2"/>
      <c r="S1941" s="2"/>
      <c r="T1941" s="2"/>
      <c r="U1941" s="2"/>
      <c r="V1941" s="2"/>
      <c r="W1941" s="2"/>
    </row>
    <row r="1942" spans="1:23" ht="75" customHeight="1" x14ac:dyDescent="0.15">
      <c r="A1942" s="2"/>
      <c r="B1942" s="2"/>
      <c r="C1942" s="2"/>
      <c r="D1942" s="2"/>
      <c r="E1942" s="2"/>
      <c r="F1942" s="2"/>
      <c r="G1942" s="2"/>
      <c r="H1942" s="2"/>
      <c r="I1942" s="2"/>
      <c r="J1942" s="2"/>
      <c r="K1942" s="2"/>
      <c r="L1942" s="2"/>
      <c r="M1942" s="2"/>
      <c r="N1942" s="2"/>
      <c r="O1942" s="2"/>
      <c r="P1942" s="2"/>
      <c r="Q1942" s="2"/>
      <c r="R1942" s="2"/>
      <c r="S1942" s="2"/>
      <c r="T1942" s="2"/>
      <c r="U1942" s="2"/>
      <c r="V1942" s="2"/>
      <c r="W1942" s="2"/>
    </row>
    <row r="1943" spans="1:23" ht="75" customHeight="1" x14ac:dyDescent="0.15">
      <c r="A1943" s="2"/>
      <c r="B1943" s="2"/>
      <c r="C1943" s="2"/>
      <c r="D1943" s="2"/>
      <c r="E1943" s="2"/>
      <c r="F1943" s="2"/>
      <c r="G1943" s="2"/>
      <c r="H1943" s="2"/>
      <c r="I1943" s="2"/>
      <c r="J1943" s="2"/>
      <c r="K1943" s="2"/>
      <c r="L1943" s="2"/>
      <c r="M1943" s="2"/>
      <c r="N1943" s="2"/>
      <c r="O1943" s="2"/>
      <c r="P1943" s="2"/>
      <c r="Q1943" s="2"/>
      <c r="R1943" s="2"/>
      <c r="S1943" s="2"/>
      <c r="T1943" s="2"/>
      <c r="U1943" s="2"/>
      <c r="V1943" s="2"/>
      <c r="W1943" s="2"/>
    </row>
    <row r="1944" spans="1:23" ht="75" customHeight="1" x14ac:dyDescent="0.15">
      <c r="A1944" s="2"/>
      <c r="B1944" s="2"/>
      <c r="C1944" s="2"/>
      <c r="D1944" s="2"/>
      <c r="E1944" s="2"/>
      <c r="F1944" s="2"/>
      <c r="G1944" s="2"/>
      <c r="H1944" s="2"/>
      <c r="I1944" s="2"/>
      <c r="J1944" s="2"/>
      <c r="K1944" s="2"/>
      <c r="L1944" s="2"/>
      <c r="M1944" s="2"/>
      <c r="N1944" s="2"/>
      <c r="O1944" s="2"/>
      <c r="P1944" s="2"/>
      <c r="Q1944" s="2"/>
      <c r="R1944" s="2"/>
      <c r="S1944" s="2"/>
      <c r="T1944" s="2"/>
      <c r="U1944" s="2"/>
      <c r="V1944" s="2"/>
      <c r="W1944" s="2"/>
    </row>
    <row r="1945" spans="1:23" ht="75" customHeight="1" x14ac:dyDescent="0.15">
      <c r="A1945" s="2"/>
      <c r="B1945" s="2"/>
      <c r="C1945" s="2"/>
      <c r="D1945" s="2"/>
      <c r="E1945" s="2"/>
      <c r="F1945" s="2"/>
      <c r="G1945" s="2"/>
      <c r="H1945" s="2"/>
      <c r="I1945" s="2"/>
      <c r="J1945" s="2"/>
      <c r="K1945" s="2"/>
      <c r="L1945" s="2"/>
      <c r="M1945" s="2"/>
      <c r="N1945" s="2"/>
      <c r="O1945" s="2"/>
      <c r="P1945" s="2"/>
      <c r="Q1945" s="2"/>
      <c r="R1945" s="2"/>
      <c r="S1945" s="2"/>
      <c r="T1945" s="2"/>
      <c r="U1945" s="2"/>
      <c r="V1945" s="2"/>
      <c r="W1945" s="2"/>
    </row>
    <row r="1946" spans="1:23" ht="75" customHeight="1" x14ac:dyDescent="0.15">
      <c r="A1946" s="2"/>
      <c r="B1946" s="2"/>
      <c r="C1946" s="2"/>
      <c r="D1946" s="2"/>
      <c r="E1946" s="2"/>
      <c r="F1946" s="2"/>
      <c r="G1946" s="2"/>
      <c r="H1946" s="2"/>
      <c r="I1946" s="2"/>
      <c r="J1946" s="2"/>
      <c r="K1946" s="2"/>
      <c r="L1946" s="2"/>
      <c r="M1946" s="2"/>
      <c r="N1946" s="2"/>
      <c r="O1946" s="2"/>
      <c r="P1946" s="2"/>
      <c r="Q1946" s="2"/>
      <c r="R1946" s="2"/>
      <c r="S1946" s="2"/>
      <c r="T1946" s="2"/>
      <c r="U1946" s="2"/>
      <c r="V1946" s="2"/>
      <c r="W1946" s="2"/>
    </row>
    <row r="1947" spans="1:23" ht="75" customHeight="1" x14ac:dyDescent="0.15">
      <c r="A1947" s="2"/>
      <c r="B1947" s="2"/>
      <c r="C1947" s="2"/>
      <c r="D1947" s="2"/>
      <c r="E1947" s="2"/>
      <c r="F1947" s="2"/>
      <c r="G1947" s="2"/>
      <c r="H1947" s="2"/>
      <c r="I1947" s="2"/>
      <c r="J1947" s="2"/>
      <c r="K1947" s="2"/>
      <c r="L1947" s="2"/>
      <c r="M1947" s="2"/>
      <c r="N1947" s="2"/>
      <c r="O1947" s="2"/>
      <c r="P1947" s="2"/>
      <c r="Q1947" s="2"/>
      <c r="R1947" s="2"/>
      <c r="S1947" s="2"/>
      <c r="T1947" s="2"/>
      <c r="U1947" s="2"/>
      <c r="V1947" s="2"/>
      <c r="W1947" s="2"/>
    </row>
    <row r="1948" spans="1:23" ht="75" customHeight="1" x14ac:dyDescent="0.15">
      <c r="A1948" s="2"/>
      <c r="B1948" s="2"/>
      <c r="C1948" s="2"/>
      <c r="D1948" s="2"/>
      <c r="E1948" s="2"/>
      <c r="F1948" s="2"/>
      <c r="G1948" s="2"/>
      <c r="H1948" s="2"/>
      <c r="I1948" s="2"/>
      <c r="J1948" s="2"/>
      <c r="K1948" s="2"/>
      <c r="L1948" s="2"/>
      <c r="M1948" s="2"/>
      <c r="N1948" s="2"/>
      <c r="O1948" s="2"/>
      <c r="P1948" s="2"/>
      <c r="Q1948" s="2"/>
      <c r="R1948" s="2"/>
      <c r="S1948" s="2"/>
      <c r="T1948" s="2"/>
      <c r="U1948" s="2"/>
      <c r="V1948" s="2"/>
      <c r="W1948" s="2"/>
    </row>
    <row r="1949" spans="1:23" ht="75" customHeight="1" x14ac:dyDescent="0.15">
      <c r="A1949" s="2"/>
      <c r="B1949" s="2"/>
      <c r="C1949" s="2"/>
      <c r="D1949" s="2"/>
      <c r="E1949" s="2"/>
      <c r="F1949" s="2"/>
      <c r="G1949" s="2"/>
      <c r="H1949" s="2"/>
      <c r="I1949" s="2"/>
      <c r="J1949" s="2"/>
      <c r="K1949" s="2"/>
      <c r="L1949" s="2"/>
      <c r="M1949" s="2"/>
      <c r="N1949" s="2"/>
      <c r="O1949" s="2"/>
      <c r="P1949" s="2"/>
      <c r="Q1949" s="2"/>
      <c r="R1949" s="2"/>
      <c r="S1949" s="2"/>
      <c r="T1949" s="2"/>
      <c r="U1949" s="2"/>
      <c r="V1949" s="2"/>
      <c r="W1949" s="2"/>
    </row>
    <row r="1950" spans="1:23" ht="75" customHeight="1" x14ac:dyDescent="0.15">
      <c r="A1950" s="2"/>
      <c r="B1950" s="2"/>
      <c r="C1950" s="2"/>
      <c r="D1950" s="2"/>
      <c r="E1950" s="2"/>
      <c r="F1950" s="2"/>
      <c r="G1950" s="2"/>
      <c r="H1950" s="2"/>
      <c r="I1950" s="2"/>
      <c r="J1950" s="2"/>
      <c r="K1950" s="2"/>
      <c r="L1950" s="2"/>
      <c r="M1950" s="2"/>
      <c r="N1950" s="2"/>
      <c r="O1950" s="2"/>
      <c r="P1950" s="2"/>
      <c r="Q1950" s="2"/>
      <c r="R1950" s="2"/>
      <c r="S1950" s="2"/>
      <c r="T1950" s="2"/>
      <c r="U1950" s="2"/>
      <c r="V1950" s="2"/>
      <c r="W1950" s="2"/>
    </row>
    <row r="1951" spans="1:23" ht="75" customHeight="1" x14ac:dyDescent="0.15">
      <c r="A1951" s="2"/>
      <c r="B1951" s="2"/>
      <c r="C1951" s="2"/>
      <c r="D1951" s="2"/>
      <c r="E1951" s="2"/>
      <c r="F1951" s="2"/>
      <c r="G1951" s="2"/>
      <c r="H1951" s="2"/>
      <c r="I1951" s="2"/>
      <c r="J1951" s="2"/>
      <c r="K1951" s="2"/>
      <c r="L1951" s="2"/>
      <c r="M1951" s="2"/>
      <c r="N1951" s="2"/>
      <c r="O1951" s="2"/>
      <c r="P1951" s="2"/>
      <c r="Q1951" s="2"/>
      <c r="R1951" s="2"/>
      <c r="S1951" s="2"/>
      <c r="T1951" s="2"/>
      <c r="U1951" s="2"/>
      <c r="V1951" s="2"/>
      <c r="W1951" s="2"/>
    </row>
    <row r="1952" spans="1:23" ht="75" customHeight="1" x14ac:dyDescent="0.15">
      <c r="A1952" s="2"/>
      <c r="B1952" s="2"/>
      <c r="C1952" s="2"/>
      <c r="D1952" s="2"/>
      <c r="E1952" s="2"/>
      <c r="F1952" s="2"/>
      <c r="G1952" s="2"/>
      <c r="H1952" s="2"/>
      <c r="I1952" s="2"/>
      <c r="J1952" s="2"/>
      <c r="K1952" s="2"/>
      <c r="L1952" s="2"/>
      <c r="M1952" s="2"/>
      <c r="N1952" s="2"/>
      <c r="O1952" s="2"/>
      <c r="P1952" s="2"/>
      <c r="Q1952" s="2"/>
      <c r="R1952" s="2"/>
      <c r="S1952" s="2"/>
      <c r="T1952" s="2"/>
      <c r="U1952" s="2"/>
      <c r="V1952" s="2"/>
      <c r="W1952" s="2"/>
    </row>
    <row r="1953" spans="1:23" ht="75" customHeight="1" x14ac:dyDescent="0.15">
      <c r="A1953" s="2"/>
      <c r="B1953" s="2"/>
      <c r="C1953" s="2"/>
      <c r="D1953" s="2"/>
      <c r="E1953" s="2"/>
      <c r="F1953" s="2"/>
      <c r="G1953" s="2"/>
      <c r="H1953" s="2"/>
      <c r="I1953" s="2"/>
      <c r="J1953" s="2"/>
      <c r="K1953" s="2"/>
      <c r="L1953" s="2"/>
      <c r="M1953" s="2"/>
      <c r="N1953" s="2"/>
      <c r="O1953" s="2"/>
      <c r="P1953" s="2"/>
      <c r="Q1953" s="2"/>
      <c r="R1953" s="2"/>
      <c r="S1953" s="2"/>
      <c r="T1953" s="2"/>
      <c r="U1953" s="2"/>
      <c r="V1953" s="2"/>
      <c r="W1953" s="2"/>
    </row>
    <row r="1954" spans="1:23" ht="75" customHeight="1" x14ac:dyDescent="0.15">
      <c r="A1954" s="2"/>
      <c r="B1954" s="2"/>
      <c r="C1954" s="2"/>
      <c r="D1954" s="2"/>
      <c r="E1954" s="2"/>
      <c r="F1954" s="2"/>
      <c r="G1954" s="2"/>
      <c r="H1954" s="2"/>
      <c r="I1954" s="2"/>
      <c r="J1954" s="2"/>
      <c r="K1954" s="2"/>
      <c r="L1954" s="2"/>
      <c r="M1954" s="2"/>
      <c r="N1954" s="2"/>
      <c r="O1954" s="2"/>
      <c r="P1954" s="2"/>
      <c r="Q1954" s="2"/>
      <c r="R1954" s="2"/>
      <c r="S1954" s="2"/>
      <c r="T1954" s="2"/>
      <c r="U1954" s="2"/>
      <c r="V1954" s="2"/>
      <c r="W1954" s="2"/>
    </row>
    <row r="1955" spans="1:23" ht="75" customHeight="1" x14ac:dyDescent="0.15">
      <c r="A1955" s="2"/>
      <c r="B1955" s="2"/>
      <c r="C1955" s="2"/>
      <c r="D1955" s="2"/>
      <c r="E1955" s="2"/>
      <c r="F1955" s="2"/>
      <c r="G1955" s="2"/>
      <c r="H1955" s="2"/>
      <c r="I1955" s="2"/>
      <c r="J1955" s="2"/>
      <c r="K1955" s="2"/>
      <c r="L1955" s="2"/>
      <c r="M1955" s="2"/>
      <c r="N1955" s="2"/>
      <c r="O1955" s="2"/>
      <c r="P1955" s="2"/>
      <c r="Q1955" s="2"/>
      <c r="R1955" s="2"/>
      <c r="S1955" s="2"/>
      <c r="T1955" s="2"/>
      <c r="U1955" s="2"/>
      <c r="V1955" s="2"/>
      <c r="W1955" s="2"/>
    </row>
    <row r="1956" spans="1:23" ht="75" customHeight="1" x14ac:dyDescent="0.15">
      <c r="A1956" s="2"/>
      <c r="B1956" s="2"/>
      <c r="C1956" s="2"/>
      <c r="D1956" s="2"/>
      <c r="E1956" s="2"/>
      <c r="F1956" s="2"/>
      <c r="G1956" s="2"/>
      <c r="H1956" s="2"/>
      <c r="I1956" s="2"/>
      <c r="J1956" s="2"/>
      <c r="K1956" s="2"/>
      <c r="L1956" s="2"/>
      <c r="M1956" s="2"/>
      <c r="N1956" s="2"/>
      <c r="O1956" s="2"/>
      <c r="P1956" s="2"/>
      <c r="Q1956" s="2"/>
      <c r="R1956" s="2"/>
      <c r="S1956" s="2"/>
      <c r="T1956" s="2"/>
      <c r="U1956" s="2"/>
      <c r="V1956" s="2"/>
      <c r="W1956" s="2"/>
    </row>
    <row r="1957" spans="1:23" ht="75" customHeight="1" x14ac:dyDescent="0.15">
      <c r="A1957" s="2"/>
      <c r="B1957" s="2"/>
      <c r="C1957" s="2"/>
      <c r="D1957" s="2"/>
      <c r="E1957" s="2"/>
      <c r="F1957" s="2"/>
      <c r="G1957" s="2"/>
      <c r="H1957" s="2"/>
      <c r="I1957" s="2"/>
      <c r="J1957" s="2"/>
      <c r="K1957" s="2"/>
      <c r="L1957" s="2"/>
      <c r="M1957" s="2"/>
      <c r="N1957" s="2"/>
      <c r="O1957" s="2"/>
      <c r="P1957" s="2"/>
      <c r="Q1957" s="2"/>
      <c r="R1957" s="2"/>
      <c r="S1957" s="2"/>
      <c r="T1957" s="2"/>
      <c r="U1957" s="2"/>
      <c r="V1957" s="2"/>
      <c r="W1957" s="2"/>
    </row>
    <row r="1958" spans="1:23" ht="75" customHeight="1" x14ac:dyDescent="0.15">
      <c r="A1958" s="2"/>
      <c r="B1958" s="2"/>
      <c r="C1958" s="2"/>
      <c r="D1958" s="2"/>
      <c r="E1958" s="2"/>
      <c r="F1958" s="2"/>
      <c r="G1958" s="2"/>
      <c r="H1958" s="2"/>
      <c r="I1958" s="2"/>
      <c r="J1958" s="2"/>
      <c r="K1958" s="2"/>
      <c r="L1958" s="2"/>
      <c r="M1958" s="2"/>
      <c r="N1958" s="2"/>
      <c r="O1958" s="2"/>
      <c r="P1958" s="2"/>
      <c r="Q1958" s="2"/>
      <c r="R1958" s="2"/>
      <c r="S1958" s="2"/>
      <c r="T1958" s="2"/>
      <c r="U1958" s="2"/>
      <c r="V1958" s="2"/>
      <c r="W1958" s="2"/>
    </row>
    <row r="1959" spans="1:23" ht="75" customHeight="1" x14ac:dyDescent="0.15">
      <c r="A1959" s="2"/>
      <c r="B1959" s="2"/>
      <c r="C1959" s="2"/>
      <c r="D1959" s="2"/>
      <c r="E1959" s="2"/>
      <c r="F1959" s="2"/>
      <c r="G1959" s="2"/>
      <c r="H1959" s="2"/>
      <c r="I1959" s="2"/>
      <c r="J1959" s="2"/>
      <c r="K1959" s="2"/>
      <c r="L1959" s="2"/>
      <c r="M1959" s="2"/>
      <c r="N1959" s="2"/>
      <c r="O1959" s="2"/>
      <c r="P1959" s="2"/>
      <c r="Q1959" s="2"/>
      <c r="R1959" s="2"/>
      <c r="S1959" s="2"/>
      <c r="T1959" s="2"/>
      <c r="U1959" s="2"/>
      <c r="V1959" s="2"/>
      <c r="W1959" s="2"/>
    </row>
    <row r="1960" spans="1:23" ht="75" customHeight="1" x14ac:dyDescent="0.15">
      <c r="A1960" s="2"/>
      <c r="B1960" s="2"/>
      <c r="C1960" s="2"/>
      <c r="D1960" s="2"/>
      <c r="E1960" s="2"/>
      <c r="F1960" s="2"/>
      <c r="G1960" s="2"/>
      <c r="H1960" s="2"/>
      <c r="I1960" s="2"/>
      <c r="J1960" s="2"/>
      <c r="K1960" s="2"/>
      <c r="L1960" s="2"/>
      <c r="M1960" s="2"/>
      <c r="N1960" s="2"/>
      <c r="O1960" s="2"/>
      <c r="P1960" s="2"/>
      <c r="Q1960" s="2"/>
      <c r="R1960" s="2"/>
      <c r="S1960" s="2"/>
      <c r="T1960" s="2"/>
      <c r="U1960" s="2"/>
      <c r="V1960" s="2"/>
      <c r="W1960" s="2"/>
    </row>
    <row r="1961" spans="1:23" ht="75" customHeight="1" x14ac:dyDescent="0.15">
      <c r="A1961" s="2"/>
      <c r="B1961" s="2"/>
      <c r="C1961" s="2"/>
      <c r="D1961" s="2"/>
      <c r="E1961" s="2"/>
      <c r="F1961" s="2"/>
      <c r="G1961" s="2"/>
      <c r="H1961" s="2"/>
      <c r="I1961" s="2"/>
      <c r="J1961" s="2"/>
      <c r="K1961" s="2"/>
      <c r="L1961" s="2"/>
      <c r="M1961" s="2"/>
      <c r="N1961" s="2"/>
      <c r="O1961" s="2"/>
      <c r="P1961" s="2"/>
      <c r="Q1961" s="2"/>
      <c r="R1961" s="2"/>
      <c r="S1961" s="2"/>
      <c r="T1961" s="2"/>
      <c r="U1961" s="2"/>
      <c r="V1961" s="2"/>
      <c r="W1961" s="2"/>
    </row>
    <row r="1962" spans="1:23" ht="75" customHeight="1" x14ac:dyDescent="0.15">
      <c r="A1962" s="2"/>
      <c r="B1962" s="2"/>
      <c r="C1962" s="2"/>
      <c r="D1962" s="2"/>
      <c r="E1962" s="2"/>
      <c r="F1962" s="2"/>
      <c r="G1962" s="2"/>
      <c r="H1962" s="2"/>
      <c r="I1962" s="2"/>
      <c r="J1962" s="2"/>
      <c r="K1962" s="2"/>
      <c r="L1962" s="2"/>
      <c r="M1962" s="2"/>
      <c r="N1962" s="2"/>
      <c r="O1962" s="2"/>
      <c r="P1962" s="2"/>
      <c r="Q1962" s="2"/>
      <c r="R1962" s="2"/>
      <c r="S1962" s="2"/>
      <c r="T1962" s="2"/>
      <c r="U1962" s="2"/>
      <c r="V1962" s="2"/>
      <c r="W1962" s="2"/>
    </row>
    <row r="1963" spans="1:23" ht="75" customHeight="1" x14ac:dyDescent="0.15">
      <c r="A1963" s="2"/>
      <c r="B1963" s="2"/>
      <c r="C1963" s="2"/>
      <c r="D1963" s="2"/>
      <c r="E1963" s="2"/>
      <c r="F1963" s="2"/>
      <c r="G1963" s="2"/>
      <c r="H1963" s="2"/>
      <c r="I1963" s="2"/>
      <c r="J1963" s="2"/>
      <c r="K1963" s="2"/>
      <c r="L1963" s="2"/>
      <c r="M1963" s="2"/>
      <c r="N1963" s="2"/>
      <c r="O1963" s="2"/>
      <c r="P1963" s="2"/>
      <c r="Q1963" s="2"/>
      <c r="R1963" s="2"/>
      <c r="S1963" s="2"/>
      <c r="T1963" s="2"/>
      <c r="U1963" s="2"/>
      <c r="V1963" s="2"/>
      <c r="W1963" s="2"/>
    </row>
    <row r="1964" spans="1:23" ht="75" customHeight="1" x14ac:dyDescent="0.15">
      <c r="A1964" s="2"/>
      <c r="B1964" s="2"/>
      <c r="C1964" s="2"/>
      <c r="D1964" s="2"/>
      <c r="E1964" s="2"/>
      <c r="F1964" s="2"/>
      <c r="G1964" s="2"/>
      <c r="H1964" s="2"/>
      <c r="I1964" s="2"/>
      <c r="J1964" s="2"/>
      <c r="K1964" s="2"/>
      <c r="L1964" s="2"/>
      <c r="M1964" s="2"/>
      <c r="N1964" s="2"/>
      <c r="O1964" s="2"/>
      <c r="P1964" s="2"/>
      <c r="Q1964" s="2"/>
      <c r="R1964" s="2"/>
      <c r="S1964" s="2"/>
      <c r="T1964" s="2"/>
      <c r="U1964" s="2"/>
      <c r="V1964" s="2"/>
      <c r="W1964" s="2"/>
    </row>
    <row r="1965" spans="1:23" ht="75" customHeight="1" x14ac:dyDescent="0.15">
      <c r="A1965" s="2"/>
      <c r="B1965" s="2"/>
      <c r="C1965" s="2"/>
      <c r="D1965" s="2"/>
      <c r="E1965" s="2"/>
      <c r="F1965" s="2"/>
      <c r="G1965" s="2"/>
      <c r="H1965" s="2"/>
      <c r="I1965" s="2"/>
      <c r="J1965" s="2"/>
      <c r="K1965" s="2"/>
      <c r="L1965" s="2"/>
      <c r="M1965" s="2"/>
      <c r="N1965" s="2"/>
      <c r="O1965" s="2"/>
      <c r="P1965" s="2"/>
      <c r="Q1965" s="2"/>
      <c r="R1965" s="2"/>
      <c r="S1965" s="2"/>
      <c r="T1965" s="2"/>
      <c r="U1965" s="2"/>
      <c r="V1965" s="2"/>
      <c r="W1965" s="2"/>
    </row>
    <row r="1966" spans="1:23" ht="75" customHeight="1" x14ac:dyDescent="0.15">
      <c r="A1966" s="2"/>
      <c r="B1966" s="2"/>
      <c r="C1966" s="2"/>
      <c r="D1966" s="2"/>
      <c r="E1966" s="2"/>
      <c r="F1966" s="2"/>
      <c r="G1966" s="2"/>
      <c r="H1966" s="2"/>
      <c r="I1966" s="2"/>
      <c r="J1966" s="2"/>
      <c r="K1966" s="2"/>
      <c r="L1966" s="2"/>
      <c r="M1966" s="2"/>
      <c r="N1966" s="2"/>
      <c r="O1966" s="2"/>
      <c r="P1966" s="2"/>
      <c r="Q1966" s="2"/>
      <c r="R1966" s="2"/>
      <c r="S1966" s="2"/>
      <c r="T1966" s="2"/>
      <c r="U1966" s="2"/>
      <c r="V1966" s="2"/>
      <c r="W1966" s="2"/>
    </row>
    <row r="1967" spans="1:23" ht="75" customHeight="1" x14ac:dyDescent="0.15">
      <c r="A1967" s="2"/>
      <c r="B1967" s="2"/>
      <c r="C1967" s="2"/>
      <c r="D1967" s="2"/>
      <c r="E1967" s="2"/>
      <c r="F1967" s="2"/>
      <c r="G1967" s="2"/>
      <c r="H1967" s="2"/>
      <c r="I1967" s="2"/>
      <c r="J1967" s="2"/>
      <c r="K1967" s="2"/>
      <c r="L1967" s="2"/>
      <c r="M1967" s="2"/>
      <c r="N1967" s="2"/>
      <c r="O1967" s="2"/>
      <c r="P1967" s="2"/>
      <c r="Q1967" s="2"/>
      <c r="R1967" s="2"/>
      <c r="S1967" s="2"/>
      <c r="T1967" s="2"/>
      <c r="U1967" s="2"/>
      <c r="V1967" s="2"/>
      <c r="W1967" s="2"/>
    </row>
    <row r="1968" spans="1:23" ht="75" customHeight="1" x14ac:dyDescent="0.15">
      <c r="A1968" s="2"/>
      <c r="B1968" s="2"/>
      <c r="C1968" s="2"/>
      <c r="D1968" s="2"/>
      <c r="E1968" s="2"/>
      <c r="F1968" s="2"/>
      <c r="G1968" s="2"/>
      <c r="H1968" s="2"/>
      <c r="I1968" s="2"/>
      <c r="J1968" s="2"/>
      <c r="K1968" s="2"/>
      <c r="L1968" s="2"/>
      <c r="M1968" s="2"/>
      <c r="N1968" s="2"/>
      <c r="O1968" s="2"/>
      <c r="P1968" s="2"/>
      <c r="Q1968" s="2"/>
      <c r="R1968" s="2"/>
      <c r="S1968" s="2"/>
      <c r="T1968" s="2"/>
      <c r="U1968" s="2"/>
      <c r="V1968" s="2"/>
      <c r="W1968" s="2"/>
    </row>
    <row r="1969" spans="1:23" ht="75" customHeight="1" x14ac:dyDescent="0.15">
      <c r="A1969" s="2"/>
      <c r="B1969" s="2"/>
      <c r="C1969" s="2"/>
      <c r="D1969" s="2"/>
      <c r="E1969" s="2"/>
      <c r="F1969" s="2"/>
      <c r="G1969" s="2"/>
      <c r="H1969" s="2"/>
      <c r="I1969" s="2"/>
      <c r="J1969" s="2"/>
      <c r="K1969" s="2"/>
      <c r="L1969" s="2"/>
      <c r="M1969" s="2"/>
      <c r="N1969" s="2"/>
      <c r="O1969" s="2"/>
      <c r="P1969" s="2"/>
      <c r="Q1969" s="2"/>
      <c r="R1969" s="2"/>
      <c r="S1969" s="2"/>
      <c r="T1969" s="2"/>
      <c r="U1969" s="2"/>
      <c r="V1969" s="2"/>
      <c r="W1969" s="2"/>
    </row>
    <row r="1970" spans="1:23" ht="75" customHeight="1" x14ac:dyDescent="0.15">
      <c r="A1970" s="2"/>
      <c r="B1970" s="2"/>
      <c r="C1970" s="2"/>
      <c r="D1970" s="2"/>
      <c r="E1970" s="2"/>
      <c r="F1970" s="2"/>
      <c r="G1970" s="2"/>
      <c r="H1970" s="2"/>
      <c r="I1970" s="2"/>
      <c r="J1970" s="2"/>
      <c r="K1970" s="2"/>
      <c r="L1970" s="2"/>
      <c r="M1970" s="2"/>
      <c r="N1970" s="2"/>
      <c r="O1970" s="2"/>
      <c r="P1970" s="2"/>
      <c r="Q1970" s="2"/>
      <c r="R1970" s="2"/>
      <c r="S1970" s="2"/>
      <c r="T1970" s="2"/>
      <c r="U1970" s="2"/>
      <c r="V1970" s="2"/>
      <c r="W1970" s="2"/>
    </row>
    <row r="1971" spans="1:23" ht="75" customHeight="1" x14ac:dyDescent="0.15">
      <c r="A1971" s="2"/>
      <c r="B1971" s="2"/>
      <c r="C1971" s="2"/>
      <c r="D1971" s="2"/>
      <c r="E1971" s="2"/>
      <c r="F1971" s="2"/>
      <c r="G1971" s="2"/>
      <c r="H1971" s="2"/>
      <c r="I1971" s="2"/>
      <c r="J1971" s="2"/>
      <c r="K1971" s="2"/>
      <c r="L1971" s="2"/>
      <c r="M1971" s="2"/>
      <c r="N1971" s="2"/>
      <c r="O1971" s="2"/>
      <c r="P1971" s="2"/>
      <c r="Q1971" s="2"/>
      <c r="R1971" s="2"/>
      <c r="S1971" s="2"/>
      <c r="T1971" s="2"/>
      <c r="U1971" s="2"/>
      <c r="V1971" s="2"/>
      <c r="W1971" s="2"/>
    </row>
    <row r="1972" spans="1:23" ht="75" customHeight="1" x14ac:dyDescent="0.15">
      <c r="A1972" s="2"/>
      <c r="B1972" s="2"/>
      <c r="C1972" s="2"/>
      <c r="D1972" s="2"/>
      <c r="E1972" s="2"/>
      <c r="F1972" s="2"/>
      <c r="G1972" s="2"/>
      <c r="H1972" s="2"/>
      <c r="I1972" s="2"/>
      <c r="J1972" s="2"/>
      <c r="K1972" s="2"/>
      <c r="L1972" s="2"/>
      <c r="M1972" s="2"/>
      <c r="N1972" s="2"/>
      <c r="O1972" s="2"/>
      <c r="P1972" s="2"/>
      <c r="Q1972" s="2"/>
      <c r="R1972" s="2"/>
      <c r="S1972" s="2"/>
      <c r="T1972" s="2"/>
      <c r="U1972" s="2"/>
      <c r="V1972" s="2"/>
      <c r="W1972" s="2"/>
    </row>
    <row r="1973" spans="1:23" ht="75" customHeight="1" x14ac:dyDescent="0.15">
      <c r="A1973" s="2"/>
      <c r="B1973" s="2"/>
      <c r="C1973" s="2"/>
      <c r="D1973" s="2"/>
      <c r="E1973" s="2"/>
      <c r="F1973" s="2"/>
      <c r="G1973" s="2"/>
      <c r="H1973" s="2"/>
      <c r="I1973" s="2"/>
      <c r="J1973" s="2"/>
      <c r="K1973" s="2"/>
      <c r="L1973" s="2"/>
      <c r="M1973" s="2"/>
      <c r="N1973" s="2"/>
      <c r="O1973" s="2"/>
      <c r="P1973" s="2"/>
      <c r="Q1973" s="2"/>
      <c r="R1973" s="2"/>
      <c r="S1973" s="2"/>
      <c r="T1973" s="2"/>
      <c r="U1973" s="2"/>
      <c r="V1973" s="2"/>
      <c r="W1973" s="2"/>
    </row>
    <row r="1974" spans="1:23" ht="75" customHeight="1" x14ac:dyDescent="0.15">
      <c r="A1974" s="2"/>
      <c r="B1974" s="2"/>
      <c r="C1974" s="2"/>
      <c r="D1974" s="2"/>
      <c r="E1974" s="2"/>
      <c r="F1974" s="2"/>
      <c r="G1974" s="2"/>
      <c r="H1974" s="2"/>
      <c r="I1974" s="2"/>
      <c r="J1974" s="2"/>
      <c r="K1974" s="2"/>
      <c r="L1974" s="2"/>
      <c r="M1974" s="2"/>
      <c r="N1974" s="2"/>
      <c r="O1974" s="2"/>
      <c r="P1974" s="2"/>
      <c r="Q1974" s="2"/>
      <c r="R1974" s="2"/>
      <c r="S1974" s="2"/>
      <c r="T1974" s="2"/>
      <c r="U1974" s="2"/>
      <c r="V1974" s="2"/>
      <c r="W1974" s="2"/>
    </row>
    <row r="1975" spans="1:23" ht="75" customHeight="1" x14ac:dyDescent="0.15">
      <c r="A1975" s="2"/>
      <c r="B1975" s="2"/>
      <c r="C1975" s="2"/>
      <c r="D1975" s="2"/>
      <c r="E1975" s="2"/>
      <c r="F1975" s="2"/>
      <c r="G1975" s="2"/>
      <c r="H1975" s="2"/>
      <c r="I1975" s="2"/>
      <c r="J1975" s="2"/>
      <c r="K1975" s="2"/>
      <c r="L1975" s="2"/>
      <c r="M1975" s="2"/>
      <c r="N1975" s="2"/>
      <c r="O1975" s="2"/>
      <c r="P1975" s="2"/>
      <c r="Q1975" s="2"/>
      <c r="R1975" s="2"/>
      <c r="S1975" s="2"/>
      <c r="T1975" s="2"/>
      <c r="U1975" s="2"/>
      <c r="V1975" s="2"/>
      <c r="W1975" s="2"/>
    </row>
    <row r="1976" spans="1:23" ht="75" customHeight="1" x14ac:dyDescent="0.15">
      <c r="A1976" s="2"/>
      <c r="B1976" s="2"/>
      <c r="C1976" s="2"/>
      <c r="D1976" s="2"/>
      <c r="E1976" s="2"/>
      <c r="F1976" s="2"/>
      <c r="G1976" s="2"/>
      <c r="H1976" s="2"/>
      <c r="I1976" s="2"/>
      <c r="J1976" s="2"/>
      <c r="K1976" s="2"/>
      <c r="L1976" s="2"/>
      <c r="M1976" s="2"/>
      <c r="N1976" s="2"/>
      <c r="O1976" s="2"/>
      <c r="P1976" s="2"/>
      <c r="Q1976" s="2"/>
      <c r="R1976" s="2"/>
      <c r="S1976" s="2"/>
      <c r="T1976" s="2"/>
      <c r="U1976" s="2"/>
      <c r="V1976" s="2"/>
      <c r="W1976" s="2"/>
    </row>
    <row r="1977" spans="1:23" ht="75" customHeight="1" x14ac:dyDescent="0.15">
      <c r="A1977" s="2"/>
      <c r="B1977" s="2"/>
      <c r="C1977" s="2"/>
      <c r="D1977" s="2"/>
      <c r="E1977" s="2"/>
      <c r="F1977" s="2"/>
      <c r="G1977" s="2"/>
      <c r="H1977" s="2"/>
      <c r="I1977" s="2"/>
      <c r="J1977" s="2"/>
      <c r="K1977" s="2"/>
      <c r="L1977" s="2"/>
      <c r="M1977" s="2"/>
      <c r="N1977" s="2"/>
      <c r="O1977" s="2"/>
      <c r="P1977" s="2"/>
      <c r="Q1977" s="2"/>
      <c r="R1977" s="2"/>
      <c r="S1977" s="2"/>
      <c r="T1977" s="2"/>
      <c r="U1977" s="2"/>
      <c r="V1977" s="2"/>
      <c r="W1977" s="2"/>
    </row>
    <row r="1978" spans="1:23" ht="75" customHeight="1" x14ac:dyDescent="0.15">
      <c r="A1978" s="2"/>
      <c r="B1978" s="2"/>
      <c r="C1978" s="2"/>
      <c r="D1978" s="2"/>
      <c r="E1978" s="2"/>
      <c r="F1978" s="2"/>
      <c r="G1978" s="2"/>
      <c r="H1978" s="2"/>
      <c r="I1978" s="2"/>
      <c r="J1978" s="2"/>
      <c r="K1978" s="2"/>
      <c r="L1978" s="2"/>
      <c r="M1978" s="2"/>
      <c r="N1978" s="2"/>
      <c r="O1978" s="2"/>
      <c r="P1978" s="2"/>
      <c r="Q1978" s="2"/>
      <c r="R1978" s="2"/>
      <c r="S1978" s="2"/>
      <c r="T1978" s="2"/>
      <c r="U1978" s="2"/>
      <c r="V1978" s="2"/>
      <c r="W1978" s="2"/>
    </row>
    <row r="1979" spans="1:23" ht="75" customHeight="1" x14ac:dyDescent="0.15">
      <c r="A1979" s="2"/>
      <c r="B1979" s="2"/>
      <c r="C1979" s="2"/>
      <c r="D1979" s="2"/>
      <c r="E1979" s="2"/>
      <c r="F1979" s="2"/>
      <c r="G1979" s="2"/>
      <c r="H1979" s="2"/>
      <c r="I1979" s="2"/>
      <c r="J1979" s="2"/>
      <c r="K1979" s="2"/>
      <c r="L1979" s="2"/>
      <c r="M1979" s="2"/>
      <c r="N1979" s="2"/>
      <c r="O1979" s="2"/>
      <c r="P1979" s="2"/>
      <c r="Q1979" s="2"/>
      <c r="R1979" s="2"/>
      <c r="S1979" s="2"/>
      <c r="T1979" s="2"/>
      <c r="U1979" s="2"/>
      <c r="V1979" s="2"/>
      <c r="W1979" s="2"/>
    </row>
    <row r="1980" spans="1:23" ht="75" customHeight="1" x14ac:dyDescent="0.15">
      <c r="A1980" s="2"/>
      <c r="B1980" s="2"/>
      <c r="C1980" s="2"/>
      <c r="D1980" s="2"/>
      <c r="E1980" s="2"/>
      <c r="F1980" s="2"/>
      <c r="G1980" s="2"/>
      <c r="H1980" s="2"/>
      <c r="I1980" s="2"/>
      <c r="J1980" s="2"/>
      <c r="K1980" s="2"/>
      <c r="L1980" s="2"/>
      <c r="M1980" s="2"/>
      <c r="N1980" s="2"/>
      <c r="O1980" s="2"/>
      <c r="P1980" s="2"/>
      <c r="Q1980" s="2"/>
      <c r="R1980" s="2"/>
      <c r="S1980" s="2"/>
      <c r="T1980" s="2"/>
      <c r="U1980" s="2"/>
      <c r="V1980" s="2"/>
      <c r="W1980" s="2"/>
    </row>
    <row r="1981" spans="1:23" ht="75" customHeight="1" x14ac:dyDescent="0.15">
      <c r="A1981" s="2"/>
      <c r="B1981" s="2"/>
      <c r="C1981" s="2"/>
      <c r="D1981" s="2"/>
      <c r="E1981" s="2"/>
      <c r="F1981" s="2"/>
      <c r="G1981" s="2"/>
      <c r="H1981" s="2"/>
      <c r="I1981" s="2"/>
      <c r="J1981" s="2"/>
      <c r="K1981" s="2"/>
      <c r="L1981" s="2"/>
      <c r="M1981" s="2"/>
      <c r="N1981" s="2"/>
      <c r="O1981" s="2"/>
      <c r="P1981" s="2"/>
      <c r="Q1981" s="2"/>
      <c r="R1981" s="2"/>
      <c r="S1981" s="2"/>
      <c r="T1981" s="2"/>
      <c r="U1981" s="2"/>
      <c r="V1981" s="2"/>
      <c r="W1981" s="2"/>
    </row>
    <row r="1982" spans="1:23" ht="75" customHeight="1" x14ac:dyDescent="0.15">
      <c r="A1982" s="2"/>
      <c r="B1982" s="2"/>
      <c r="C1982" s="2"/>
      <c r="D1982" s="2"/>
      <c r="E1982" s="2"/>
      <c r="F1982" s="2"/>
      <c r="G1982" s="2"/>
      <c r="H1982" s="2"/>
      <c r="I1982" s="2"/>
      <c r="J1982" s="2"/>
      <c r="K1982" s="2"/>
      <c r="L1982" s="2"/>
      <c r="M1982" s="2"/>
      <c r="N1982" s="2"/>
      <c r="O1982" s="2"/>
      <c r="P1982" s="2"/>
      <c r="Q1982" s="2"/>
      <c r="R1982" s="2"/>
      <c r="S1982" s="2"/>
      <c r="T1982" s="2"/>
      <c r="U1982" s="2"/>
      <c r="V1982" s="2"/>
      <c r="W1982" s="2"/>
    </row>
    <row r="1983" spans="1:23" ht="75" customHeight="1" x14ac:dyDescent="0.15">
      <c r="A1983" s="2"/>
      <c r="B1983" s="2"/>
      <c r="C1983" s="2"/>
      <c r="D1983" s="2"/>
      <c r="E1983" s="2"/>
      <c r="F1983" s="2"/>
      <c r="G1983" s="2"/>
      <c r="H1983" s="2"/>
      <c r="I1983" s="2"/>
      <c r="J1983" s="2"/>
      <c r="K1983" s="2"/>
      <c r="L1983" s="2"/>
      <c r="M1983" s="2"/>
      <c r="N1983" s="2"/>
      <c r="O1983" s="2"/>
      <c r="P1983" s="2"/>
      <c r="Q1983" s="2"/>
      <c r="R1983" s="2"/>
      <c r="S1983" s="2"/>
      <c r="T1983" s="2"/>
      <c r="U1983" s="2"/>
      <c r="V1983" s="2"/>
      <c r="W1983" s="2"/>
    </row>
    <row r="1984" spans="1:23" ht="75" customHeight="1" x14ac:dyDescent="0.15">
      <c r="A1984" s="2"/>
      <c r="B1984" s="2"/>
      <c r="C1984" s="2"/>
      <c r="D1984" s="2"/>
      <c r="E1984" s="2"/>
      <c r="F1984" s="2"/>
      <c r="G1984" s="2"/>
      <c r="H1984" s="2"/>
      <c r="I1984" s="2"/>
      <c r="J1984" s="2"/>
      <c r="K1984" s="2"/>
      <c r="L1984" s="2"/>
      <c r="M1984" s="2"/>
      <c r="N1984" s="2"/>
      <c r="O1984" s="2"/>
      <c r="P1984" s="2"/>
      <c r="Q1984" s="2"/>
      <c r="R1984" s="2"/>
      <c r="S1984" s="2"/>
      <c r="T1984" s="2"/>
      <c r="U1984" s="2"/>
      <c r="V1984" s="2"/>
      <c r="W1984" s="2"/>
    </row>
    <row r="1985" spans="1:23" ht="75" customHeight="1" x14ac:dyDescent="0.15">
      <c r="A1985" s="2"/>
      <c r="B1985" s="2"/>
      <c r="C1985" s="2"/>
      <c r="D1985" s="2"/>
      <c r="E1985" s="2"/>
      <c r="F1985" s="2"/>
      <c r="G1985" s="2"/>
      <c r="H1985" s="2"/>
      <c r="I1985" s="2"/>
      <c r="J1985" s="2"/>
      <c r="K1985" s="2"/>
      <c r="L1985" s="2"/>
      <c r="M1985" s="2"/>
      <c r="N1985" s="2"/>
      <c r="O1985" s="2"/>
      <c r="P1985" s="2"/>
      <c r="Q1985" s="2"/>
      <c r="R1985" s="2"/>
      <c r="S1985" s="2"/>
      <c r="T1985" s="2"/>
      <c r="U1985" s="2"/>
      <c r="V1985" s="2"/>
      <c r="W1985" s="2"/>
    </row>
    <row r="1986" spans="1:23" ht="75" customHeight="1" x14ac:dyDescent="0.15">
      <c r="A1986" s="2"/>
      <c r="B1986" s="2"/>
      <c r="C1986" s="2"/>
      <c r="D1986" s="2"/>
      <c r="E1986" s="2"/>
      <c r="F1986" s="2"/>
      <c r="G1986" s="2"/>
      <c r="H1986" s="2"/>
      <c r="I1986" s="2"/>
      <c r="J1986" s="2"/>
      <c r="K1986" s="2"/>
      <c r="L1986" s="2"/>
      <c r="M1986" s="2"/>
      <c r="N1986" s="2"/>
      <c r="O1986" s="2"/>
      <c r="P1986" s="2"/>
      <c r="Q1986" s="2"/>
      <c r="R1986" s="2"/>
      <c r="S1986" s="2"/>
      <c r="T1986" s="2"/>
      <c r="U1986" s="2"/>
      <c r="V1986" s="2"/>
      <c r="W1986" s="2"/>
    </row>
    <row r="1987" spans="1:23" ht="75" customHeight="1" x14ac:dyDescent="0.15">
      <c r="A1987" s="2"/>
      <c r="B1987" s="2"/>
      <c r="C1987" s="2"/>
      <c r="D1987" s="2"/>
      <c r="E1987" s="2"/>
      <c r="F1987" s="2"/>
      <c r="G1987" s="2"/>
      <c r="H1987" s="2"/>
      <c r="I1987" s="2"/>
      <c r="J1987" s="2"/>
      <c r="K1987" s="2"/>
      <c r="L1987" s="2"/>
      <c r="M1987" s="2"/>
      <c r="N1987" s="2"/>
      <c r="O1987" s="2"/>
      <c r="P1987" s="2"/>
      <c r="Q1987" s="2"/>
      <c r="R1987" s="2"/>
      <c r="S1987" s="2"/>
      <c r="T1987" s="2"/>
      <c r="U1987" s="2"/>
      <c r="V1987" s="2"/>
      <c r="W1987" s="2"/>
    </row>
    <row r="1988" spans="1:23" ht="75" customHeight="1" x14ac:dyDescent="0.15">
      <c r="A1988" s="2"/>
      <c r="B1988" s="2"/>
      <c r="C1988" s="2"/>
      <c r="D1988" s="2"/>
      <c r="E1988" s="2"/>
      <c r="F1988" s="2"/>
      <c r="G1988" s="2"/>
      <c r="H1988" s="2"/>
      <c r="I1988" s="2"/>
      <c r="J1988" s="2"/>
      <c r="K1988" s="2"/>
      <c r="L1988" s="2"/>
      <c r="M1988" s="2"/>
      <c r="N1988" s="2"/>
      <c r="O1988" s="2"/>
      <c r="P1988" s="2"/>
      <c r="Q1988" s="2"/>
      <c r="R1988" s="2"/>
      <c r="S1988" s="2"/>
      <c r="T1988" s="2"/>
      <c r="U1988" s="2"/>
      <c r="V1988" s="2"/>
      <c r="W1988" s="2"/>
    </row>
    <row r="1989" spans="1:23" ht="75" customHeight="1" x14ac:dyDescent="0.15">
      <c r="A1989" s="2"/>
      <c r="B1989" s="2"/>
      <c r="C1989" s="2"/>
      <c r="D1989" s="2"/>
      <c r="E1989" s="2"/>
      <c r="F1989" s="2"/>
      <c r="G1989" s="2"/>
      <c r="H1989" s="2"/>
      <c r="I1989" s="2"/>
      <c r="J1989" s="2"/>
      <c r="K1989" s="2"/>
      <c r="L1989" s="2"/>
      <c r="M1989" s="2"/>
      <c r="N1989" s="2"/>
      <c r="O1989" s="2"/>
      <c r="P1989" s="2"/>
      <c r="Q1989" s="2"/>
      <c r="R1989" s="2"/>
      <c r="S1989" s="2"/>
      <c r="T1989" s="2"/>
      <c r="U1989" s="2"/>
      <c r="V1989" s="2"/>
      <c r="W1989" s="2"/>
    </row>
    <row r="1990" spans="1:23" ht="75" customHeight="1" x14ac:dyDescent="0.15">
      <c r="A1990" s="2"/>
      <c r="B1990" s="2"/>
      <c r="C1990" s="2"/>
      <c r="D1990" s="2"/>
      <c r="E1990" s="2"/>
      <c r="F1990" s="2"/>
      <c r="G1990" s="2"/>
      <c r="H1990" s="2"/>
      <c r="I1990" s="2"/>
      <c r="J1990" s="2"/>
      <c r="K1990" s="2"/>
      <c r="L1990" s="2"/>
      <c r="M1990" s="2"/>
      <c r="N1990" s="2"/>
      <c r="O1990" s="2"/>
      <c r="P1990" s="2"/>
      <c r="Q1990" s="2"/>
      <c r="R1990" s="2"/>
      <c r="S1990" s="2"/>
      <c r="T1990" s="2"/>
      <c r="U1990" s="2"/>
      <c r="V1990" s="2"/>
      <c r="W1990" s="2"/>
    </row>
    <row r="1991" spans="1:23" ht="75" customHeight="1" x14ac:dyDescent="0.15">
      <c r="A1991" s="2"/>
      <c r="B1991" s="2"/>
      <c r="C1991" s="2"/>
      <c r="D1991" s="2"/>
      <c r="E1991" s="2"/>
      <c r="F1991" s="2"/>
      <c r="G1991" s="2"/>
      <c r="H1991" s="2"/>
      <c r="I1991" s="2"/>
      <c r="J1991" s="2"/>
      <c r="K1991" s="2"/>
      <c r="L1991" s="2"/>
      <c r="M1991" s="2"/>
      <c r="N1991" s="2"/>
      <c r="O1991" s="2"/>
      <c r="P1991" s="2"/>
      <c r="Q1991" s="2"/>
      <c r="R1991" s="2"/>
      <c r="S1991" s="2"/>
      <c r="T1991" s="2"/>
      <c r="U1991" s="2"/>
      <c r="V1991" s="2"/>
      <c r="W1991" s="2"/>
    </row>
    <row r="1992" spans="1:23" ht="75" customHeight="1" x14ac:dyDescent="0.15">
      <c r="A1992" s="2"/>
      <c r="B1992" s="2"/>
      <c r="C1992" s="2"/>
      <c r="D1992" s="2"/>
      <c r="E1992" s="2"/>
      <c r="F1992" s="2"/>
      <c r="G1992" s="2"/>
      <c r="H1992" s="2"/>
      <c r="I1992" s="2"/>
      <c r="J1992" s="2"/>
      <c r="K1992" s="2"/>
      <c r="L1992" s="2"/>
      <c r="M1992" s="2"/>
      <c r="N1992" s="2"/>
      <c r="O1992" s="2"/>
      <c r="P1992" s="2"/>
      <c r="Q1992" s="2"/>
      <c r="R1992" s="2"/>
      <c r="S1992" s="2"/>
      <c r="T1992" s="2"/>
      <c r="U1992" s="2"/>
      <c r="V1992" s="2"/>
      <c r="W1992" s="2"/>
    </row>
    <row r="1993" spans="1:23" ht="75" customHeight="1" x14ac:dyDescent="0.15">
      <c r="A1993" s="2"/>
      <c r="B1993" s="2"/>
      <c r="C1993" s="2"/>
      <c r="D1993" s="2"/>
      <c r="E1993" s="2"/>
      <c r="F1993" s="2"/>
      <c r="G1993" s="2"/>
      <c r="H1993" s="2"/>
      <c r="I1993" s="2"/>
      <c r="J1993" s="2"/>
      <c r="K1993" s="2"/>
      <c r="L1993" s="2"/>
      <c r="M1993" s="2"/>
      <c r="N1993" s="2"/>
      <c r="O1993" s="2"/>
      <c r="P1993" s="2"/>
      <c r="Q1993" s="2"/>
      <c r="R1993" s="2"/>
      <c r="S1993" s="2"/>
      <c r="T1993" s="2"/>
      <c r="U1993" s="2"/>
      <c r="V1993" s="2"/>
      <c r="W1993" s="2"/>
    </row>
    <row r="1994" spans="1:23" ht="75" customHeight="1" x14ac:dyDescent="0.15">
      <c r="A1994" s="2"/>
      <c r="B1994" s="2"/>
      <c r="C1994" s="2"/>
      <c r="D1994" s="2"/>
      <c r="E1994" s="2"/>
      <c r="F1994" s="2"/>
      <c r="G1994" s="2"/>
      <c r="H1994" s="2"/>
      <c r="I1994" s="2"/>
      <c r="J1994" s="2"/>
      <c r="K1994" s="2"/>
      <c r="L1994" s="2"/>
      <c r="M1994" s="2"/>
      <c r="N1994" s="2"/>
      <c r="O1994" s="2"/>
      <c r="P1994" s="2"/>
      <c r="Q1994" s="2"/>
      <c r="R1994" s="2"/>
      <c r="S1994" s="2"/>
      <c r="T1994" s="2"/>
      <c r="U1994" s="2"/>
      <c r="V1994" s="2"/>
      <c r="W1994" s="2"/>
    </row>
    <row r="1995" spans="1:23" ht="75" customHeight="1" x14ac:dyDescent="0.15">
      <c r="A1995" s="2"/>
      <c r="B1995" s="2"/>
      <c r="C1995" s="2"/>
      <c r="D1995" s="2"/>
      <c r="E1995" s="2"/>
      <c r="F1995" s="2"/>
      <c r="G1995" s="2"/>
      <c r="H1995" s="2"/>
      <c r="I1995" s="2"/>
      <c r="J1995" s="2"/>
      <c r="K1995" s="2"/>
      <c r="L1995" s="2"/>
      <c r="M1995" s="2"/>
      <c r="N1995" s="2"/>
      <c r="O1995" s="2"/>
      <c r="P1995" s="2"/>
      <c r="Q1995" s="2"/>
      <c r="R1995" s="2"/>
      <c r="S1995" s="2"/>
      <c r="T1995" s="2"/>
      <c r="U1995" s="2"/>
      <c r="V1995" s="2"/>
      <c r="W1995" s="2"/>
    </row>
    <row r="1996" spans="1:23" ht="75" customHeight="1" x14ac:dyDescent="0.15">
      <c r="A1996" s="2"/>
      <c r="B1996" s="2"/>
      <c r="C1996" s="2"/>
      <c r="D1996" s="2"/>
      <c r="E1996" s="2"/>
      <c r="F1996" s="2"/>
      <c r="G1996" s="2"/>
      <c r="H1996" s="2"/>
      <c r="I1996" s="2"/>
      <c r="J1996" s="2"/>
      <c r="K1996" s="2"/>
      <c r="L1996" s="2"/>
      <c r="M1996" s="2"/>
      <c r="N1996" s="2"/>
      <c r="O1996" s="2"/>
      <c r="P1996" s="2"/>
      <c r="Q1996" s="2"/>
      <c r="R1996" s="2"/>
      <c r="S1996" s="2"/>
      <c r="T1996" s="2"/>
      <c r="U1996" s="2"/>
      <c r="V1996" s="2"/>
      <c r="W1996" s="2"/>
    </row>
    <row r="1997" spans="1:23" ht="75" customHeight="1" x14ac:dyDescent="0.15">
      <c r="A1997" s="2"/>
      <c r="B1997" s="2"/>
      <c r="C1997" s="2"/>
      <c r="D1997" s="2"/>
      <c r="E1997" s="2"/>
      <c r="F1997" s="2"/>
      <c r="G1997" s="2"/>
      <c r="H1997" s="2"/>
      <c r="I1997" s="2"/>
      <c r="J1997" s="2"/>
      <c r="K1997" s="2"/>
      <c r="L1997" s="2"/>
      <c r="M1997" s="2"/>
      <c r="N1997" s="2"/>
      <c r="O1997" s="2"/>
      <c r="P1997" s="2"/>
      <c r="Q1997" s="2"/>
      <c r="R1997" s="2"/>
      <c r="S1997" s="2"/>
      <c r="T1997" s="2"/>
      <c r="U1997" s="2"/>
      <c r="V1997" s="2"/>
      <c r="W1997" s="2"/>
    </row>
    <row r="1998" spans="1:23" ht="75" customHeight="1" x14ac:dyDescent="0.15">
      <c r="A1998" s="2"/>
      <c r="B1998" s="2"/>
      <c r="C1998" s="2"/>
      <c r="D1998" s="2"/>
      <c r="E1998" s="2"/>
      <c r="F1998" s="2"/>
      <c r="G1998" s="2"/>
      <c r="H1998" s="2"/>
      <c r="I1998" s="2"/>
      <c r="J1998" s="2"/>
      <c r="K1998" s="2"/>
      <c r="L1998" s="2"/>
      <c r="M1998" s="2"/>
      <c r="N1998" s="2"/>
      <c r="O1998" s="2"/>
      <c r="P1998" s="2"/>
      <c r="Q1998" s="2"/>
      <c r="R1998" s="2"/>
      <c r="S1998" s="2"/>
      <c r="T1998" s="2"/>
      <c r="U1998" s="2"/>
      <c r="V1998" s="2"/>
      <c r="W1998" s="2"/>
    </row>
    <row r="1999" spans="1:23" ht="75" customHeight="1" x14ac:dyDescent="0.15">
      <c r="A1999" s="2"/>
      <c r="B1999" s="2"/>
      <c r="C1999" s="2"/>
      <c r="D1999" s="2"/>
      <c r="E1999" s="2"/>
      <c r="F1999" s="2"/>
      <c r="G1999" s="2"/>
      <c r="H1999" s="2"/>
      <c r="I1999" s="2"/>
      <c r="J1999" s="2"/>
      <c r="K1999" s="2"/>
      <c r="L1999" s="2"/>
      <c r="M1999" s="2"/>
      <c r="N1999" s="2"/>
      <c r="O1999" s="2"/>
      <c r="P1999" s="2"/>
      <c r="Q1999" s="2"/>
      <c r="R1999" s="2"/>
      <c r="S1999" s="2"/>
      <c r="T1999" s="2"/>
      <c r="U1999" s="2"/>
      <c r="V1999" s="2"/>
      <c r="W1999" s="2"/>
    </row>
    <row r="2000" spans="1:23" ht="75" customHeight="1" x14ac:dyDescent="0.15">
      <c r="A2000" s="2"/>
      <c r="B2000" s="2"/>
      <c r="C2000" s="2"/>
      <c r="D2000" s="2"/>
      <c r="E2000" s="2"/>
      <c r="F2000" s="2"/>
      <c r="G2000" s="2"/>
      <c r="H2000" s="2"/>
      <c r="I2000" s="2"/>
      <c r="J2000" s="2"/>
      <c r="K2000" s="2"/>
      <c r="L2000" s="2"/>
      <c r="M2000" s="2"/>
      <c r="N2000" s="2"/>
      <c r="O2000" s="2"/>
      <c r="P2000" s="2"/>
      <c r="Q2000" s="2"/>
      <c r="R2000" s="2"/>
      <c r="S2000" s="2"/>
      <c r="T2000" s="2"/>
      <c r="U2000" s="2"/>
      <c r="V2000" s="2"/>
      <c r="W2000" s="2"/>
    </row>
  </sheetData>
  <autoFilter ref="A1:W2000"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887_final_labels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Junze Ye</cp:lastModifiedBy>
  <dcterms:modified xsi:type="dcterms:W3CDTF">2025-12-21T01:27:55Z</dcterms:modified>
</cp:coreProperties>
</file>